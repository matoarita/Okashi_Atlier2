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80DF4A1-B12F-4EB8-B5B5-9D5285C21F14}" xr6:coauthVersionLast="47" xr6:coauthVersionMax="47" xr10:uidLastSave="{00000000-0000-0000-0000-000000000000}"/>
  <bookViews>
    <workbookView minimized="1" xWindow="390" yWindow="390" windowWidth="25560" windowHeight="14325" tabRatio="776" firstSheet="1" activeTab="4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38" l="1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1" i="36"/>
  <c r="B72" i="36"/>
  <c r="B73" i="36"/>
  <c r="B74" i="36"/>
  <c r="B75" i="36"/>
  <c r="B76" i="36"/>
  <c r="B77" i="36"/>
  <c r="B78" i="36"/>
  <c r="B79" i="36"/>
  <c r="B80" i="36"/>
  <c r="B82" i="36"/>
  <c r="B83" i="36"/>
  <c r="B84" i="36"/>
  <c r="B81" i="36"/>
  <c r="A81" i="36"/>
  <c r="A80" i="36"/>
  <c r="A79" i="36"/>
  <c r="A78" i="36"/>
  <c r="A77" i="36"/>
  <c r="A76" i="36"/>
  <c r="A75" i="36"/>
  <c r="A74" i="36"/>
  <c r="A73" i="36"/>
  <c r="A84" i="36"/>
  <c r="A83" i="36"/>
  <c r="A82" i="36"/>
  <c r="A45" i="36"/>
  <c r="A44" i="36"/>
  <c r="A43" i="36"/>
  <c r="A69" i="36"/>
  <c r="A68" i="36"/>
  <c r="A67" i="36"/>
  <c r="A60" i="36"/>
  <c r="A59" i="36"/>
  <c r="A58" i="36"/>
  <c r="A54" i="36"/>
  <c r="A53" i="36"/>
  <c r="A52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19" i="31"/>
  <c r="A18" i="31"/>
  <c r="A17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22" i="30"/>
  <c r="A21" i="30"/>
  <c r="A20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A16" i="29"/>
  <c r="A15" i="29"/>
  <c r="A14" i="29"/>
  <c r="B7" i="28"/>
  <c r="A7" i="28"/>
  <c r="B6" i="28"/>
  <c r="A6" i="28"/>
  <c r="B5" i="28"/>
  <c r="A5" i="28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55" i="26"/>
  <c r="A55" i="26"/>
  <c r="B54" i="26"/>
  <c r="A54" i="26"/>
  <c r="B53" i="26"/>
  <c r="A53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A7" i="26"/>
  <c r="A6" i="26"/>
  <c r="A5" i="26"/>
  <c r="A13" i="26"/>
  <c r="A12" i="26"/>
  <c r="A11" i="26"/>
  <c r="A43" i="26"/>
  <c r="A42" i="26"/>
  <c r="A41" i="26"/>
  <c r="A52" i="26"/>
  <c r="A51" i="26"/>
  <c r="A50" i="26"/>
  <c r="A49" i="26"/>
  <c r="A48" i="26"/>
  <c r="A47" i="26"/>
  <c r="A46" i="26"/>
  <c r="A45" i="26"/>
  <c r="A44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0" i="26"/>
  <c r="A9" i="26"/>
  <c r="A8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0" i="9"/>
  <c r="A10" i="9"/>
  <c r="B9" i="9"/>
  <c r="A9" i="9"/>
  <c r="B8" i="9"/>
  <c r="A8" i="9"/>
  <c r="B3" i="9"/>
  <c r="B4" i="9"/>
  <c r="B5" i="9"/>
  <c r="B6" i="9"/>
  <c r="B7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10" i="8"/>
  <c r="A10" i="8"/>
  <c r="B9" i="8"/>
  <c r="A9" i="8"/>
  <c r="B8" i="8"/>
  <c r="A8" i="8"/>
  <c r="B3" i="8"/>
  <c r="B4" i="8"/>
  <c r="B5" i="8"/>
  <c r="B6" i="8"/>
  <c r="B7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3" i="13"/>
  <c r="A13" i="13"/>
  <c r="B12" i="13"/>
  <c r="A12" i="13"/>
  <c r="B11" i="13"/>
  <c r="A11" i="13"/>
  <c r="B3" i="13"/>
  <c r="B4" i="13"/>
  <c r="B5" i="13"/>
  <c r="B6" i="13"/>
  <c r="B7" i="13"/>
  <c r="B8" i="13"/>
  <c r="B9" i="13"/>
  <c r="B10" i="13"/>
  <c r="A10" i="13"/>
  <c r="A9" i="13"/>
  <c r="A8" i="13"/>
  <c r="B16" i="12"/>
  <c r="A16" i="12"/>
  <c r="B15" i="12"/>
  <c r="A15" i="12"/>
  <c r="B14" i="12"/>
  <c r="A14" i="12"/>
  <c r="B3" i="12"/>
  <c r="B4" i="12"/>
  <c r="B5" i="12"/>
  <c r="B6" i="12"/>
  <c r="B7" i="12"/>
  <c r="B8" i="12"/>
  <c r="B9" i="12"/>
  <c r="B10" i="12"/>
  <c r="B11" i="12"/>
  <c r="B12" i="12"/>
  <c r="B13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25" i="9"/>
  <c r="A24" i="9"/>
  <c r="A23" i="9"/>
  <c r="A25" i="8"/>
  <c r="A24" i="8"/>
  <c r="A23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16" i="9"/>
  <c r="A15" i="9"/>
  <c r="A14" i="9"/>
  <c r="A15" i="8"/>
  <c r="A16" i="8"/>
  <c r="A14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66" i="36"/>
  <c r="A65" i="36"/>
  <c r="A64" i="36"/>
  <c r="A63" i="36"/>
  <c r="A62" i="36"/>
  <c r="A61" i="36"/>
  <c r="A57" i="36"/>
  <c r="A56" i="36"/>
  <c r="A55" i="36"/>
  <c r="A51" i="36"/>
  <c r="A50" i="36"/>
  <c r="A49" i="36"/>
  <c r="A42" i="36"/>
  <c r="A41" i="36"/>
  <c r="A40" i="36"/>
  <c r="A12" i="36"/>
  <c r="A11" i="36"/>
  <c r="A10" i="36"/>
  <c r="A9" i="36"/>
  <c r="A8" i="36"/>
  <c r="A7" i="36"/>
  <c r="A6" i="36"/>
  <c r="A5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2" i="9"/>
  <c r="A21" i="9"/>
  <c r="A20" i="9"/>
  <c r="A19" i="9"/>
  <c r="A18" i="9"/>
  <c r="A17" i="9"/>
  <c r="A7" i="9"/>
  <c r="A6" i="9"/>
  <c r="A5" i="9"/>
  <c r="A13" i="8"/>
  <c r="A12" i="8"/>
  <c r="A11" i="8"/>
  <c r="A21" i="8"/>
  <c r="A22" i="8"/>
  <c r="A20" i="8"/>
  <c r="A18" i="8"/>
  <c r="A19" i="8"/>
  <c r="A17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7" i="13"/>
  <c r="A6" i="13"/>
  <c r="A5" i="13"/>
  <c r="A13" i="12"/>
  <c r="A12" i="12"/>
  <c r="A11" i="12"/>
  <c r="A10" i="12"/>
  <c r="A9" i="12"/>
  <c r="A8" i="12"/>
  <c r="A7" i="12"/>
  <c r="A6" i="12"/>
  <c r="A5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3" i="9"/>
  <c r="A12" i="9"/>
  <c r="A11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72" i="36"/>
  <c r="A71" i="36"/>
  <c r="A70" i="36"/>
  <c r="A48" i="36"/>
  <c r="A47" i="36"/>
  <c r="A46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7" i="8"/>
  <c r="A6" i="8"/>
  <c r="A5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22" i="30"/>
  <c r="B20" i="30"/>
  <c r="B21" i="30"/>
  <c r="B16" i="29"/>
  <c r="B14" i="29"/>
  <c r="B15" i="29"/>
  <c r="B18" i="31"/>
  <c r="B17" i="31"/>
  <c r="B19" i="31"/>
</calcChain>
</file>

<file path=xl/sharedStrings.xml><?xml version="1.0" encoding="utf-8"?>
<sst xmlns="http://schemas.openxmlformats.org/spreadsheetml/2006/main" count="17560" uniqueCount="324">
  <si>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</si>
  <si>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</si>
  <si>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</si>
  <si>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</si>
  <si>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</si>
  <si>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</si>
  <si>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</si>
  <si>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</si>
  <si>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</si>
  <si>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</si>
  <si>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</si>
  <si>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</si>
  <si>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</si>
  <si>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</si>
  <si>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</si>
  <si>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</si>
  <si>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</si>
  <si>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</si>
  <si>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</si>
  <si>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</si>
  <si>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</si>
  <si>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</si>
  <si>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</si>
  <si>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</si>
  <si>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</si>
  <si>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</si>
  <si>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</si>
  <si>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</si>
  <si>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</si>
  <si>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</si>
  <si>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</si>
  <si>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</si>
  <si>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</si>
  <si>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</si>
  <si>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</si>
  <si>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</si>
  <si>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</si>
  <si>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</si>
  <si>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</si>
  <si>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</si>
  <si>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</si>
  <si>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</si>
  <si>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</si>
  <si>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</si>
  <si>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</si>
  <si>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</si>
  <si>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</si>
  <si>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</si>
  <si>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</si>
  <si>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</si>
  <si>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</si>
  <si>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</si>
  <si>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</si>
  <si>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</si>
  <si>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</si>
  <si>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</si>
  <si>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</si>
  <si>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</si>
  <si>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</si>
  <si>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</si>
  <si>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</si>
  <si>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</si>
  <si>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</si>
  <si>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</si>
  <si>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</si>
  <si>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</si>
  <si>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</si>
  <si>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</si>
  <si>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</si>
  <si>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</si>
  <si>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</si>
  <si>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</si>
  <si>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</si>
  <si>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</si>
  <si>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</si>
  <si>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</si>
  <si>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</si>
  <si>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</si>
  <si>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</si>
  <si>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</si>
  <si>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</si>
  <si>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</si>
  <si>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</si>
  <si>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</si>
  <si>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</si>
  <si>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</si>
  <si>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</si>
  <si>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</si>
  <si>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</si>
  <si>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</si>
  <si>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</si>
  <si>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</si>
  <si>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</si>
  <si>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</si>
  <si>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</si>
  <si>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</si>
  <si>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</si>
  <si>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</si>
  <si>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</si>
  <si>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</si>
  <si>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</si>
  <si>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</si>
  <si>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</si>
  <si>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</si>
  <si>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</si>
  <si>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</si>
  <si>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</si>
  <si>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</si>
  <si>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</si>
  <si>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</si>
  <si>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</si>
  <si>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</si>
  <si>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</si>
  <si>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</si>
  <si>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</si>
  <si>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</si>
  <si>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</si>
  <si>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</si>
  <si>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</si>
  <si>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</si>
  <si>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</si>
  <si>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</si>
  <si>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</si>
  <si>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</si>
  <si>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</si>
  <si>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</si>
  <si>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</si>
  <si>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</si>
  <si>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</si>
  <si>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</si>
  <si>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</si>
  <si>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</si>
  <si>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</si>
  <si>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</si>
  <si>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</si>
  <si>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</si>
  <si>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</si>
  <si>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</si>
  <si>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</si>
  <si>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</si>
  <si>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</si>
  <si>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</si>
  <si>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</si>
  <si>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</si>
  <si>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</si>
  <si>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</si>
  <si>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</si>
  <si>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</si>
  <si>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</si>
  <si>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</si>
  <si>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</si>
  <si>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</si>
  <si>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</si>
  <si>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</si>
  <si>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</si>
  <si>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</si>
  <si>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</si>
  <si>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</si>
  <si>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</si>
  <si>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</si>
  <si>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</si>
  <si>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</si>
  <si>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</si>
  <si>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</si>
  <si>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</si>
  <si>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</si>
  <si>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</si>
  <si>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</si>
  <si>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</si>
  <si>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</si>
  <si>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</si>
  <si>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</si>
  <si>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</si>
  <si>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</si>
  <si>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</si>
  <si>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</si>
  <si>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</si>
  <si>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</si>
  <si>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</si>
  <si>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</si>
  <si>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</si>
  <si>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</si>
  <si>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</si>
  <si>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</si>
  <si>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</si>
  <si>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</si>
  <si>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</si>
  <si>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</si>
  <si>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</si>
  <si>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</si>
  <si>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</si>
  <si>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</si>
  <si>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</si>
  <si>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</si>
  <si>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</si>
  <si>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</si>
  <si>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</si>
  <si>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</si>
  <si>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</si>
  <si>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</si>
  <si>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</si>
  <si>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</si>
  <si>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</si>
  <si>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#クッキーノービスカップ</t>
    <phoneticPr fontId="2"/>
  </si>
  <si>
    <t>#ラスクブロカント</t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</si>
  <si>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phoneticPr fontId="2"/>
  </si>
  <si>
    <r>
      <t>#</t>
    </r>
    <r>
      <rPr>
        <sz val="10"/>
        <rFont val="ＭＳ Ｐゴシック"/>
        <family val="2"/>
        <charset val="128"/>
      </rPr>
      <t>ルミエールカンデラ</t>
    </r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</si>
  <si>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</si>
  <si>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</si>
  <si>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</si>
  <si>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</si>
  <si>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</si>
  <si>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</si>
  <si>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r>
      <t>##</t>
    </r>
    <r>
      <rPr>
        <sz val="10"/>
        <rFont val="ＭＳ Ｐゴシック"/>
        <family val="2"/>
        <charset val="128"/>
      </rPr>
      <t>プラトンアカデミー一回戦　焼き菓子##</t>
    </r>
    <rPh sb="11" eb="14">
      <t>イッカイセン</t>
    </rPh>
    <rPh sb="15" eb="16">
      <t>ヤ</t>
    </rPh>
    <rPh sb="17" eb="19">
      <t>ガシ</t>
    </rPh>
    <phoneticPr fontId="2"/>
  </si>
  <si>
    <r>
      <t>##</t>
    </r>
    <r>
      <rPr>
        <sz val="10"/>
        <rFont val="ＭＳ Ｐゴシック"/>
        <family val="2"/>
        <charset val="128"/>
      </rPr>
      <t>未使用　一回戦　焼き菓子##</t>
    </r>
    <rPh sb="2" eb="5">
      <t>ミシヨウ</t>
    </rPh>
    <rPh sb="6" eb="9">
      <t>イッカイセン</t>
    </rPh>
    <rPh sb="10" eb="11">
      <t>ヤ</t>
    </rPh>
    <rPh sb="12" eb="14">
      <t>ガシ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</si>
  <si>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</si>
  <si>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</si>
  <si>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</si>
  <si>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</si>
  <si>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</si>
  <si>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#オランジーナパティスリーアワード　 ケーキかクリームブリュレ</t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</si>
  <si>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</si>
  <si>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</si>
  <si>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</si>
  <si>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</si>
  <si>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</si>
  <si>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</si>
  <si>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</t>
    </r>
    <rPh sb="22" eb="24">
      <t>シュウバン</t>
    </rPh>
    <rPh sb="27" eb="29">
      <t>キジュン</t>
    </rPh>
    <rPh sb="30" eb="33">
      <t>ナンイド</t>
    </rPh>
    <rPh sb="33" eb="34">
      <t>タカ</t>
    </rPh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</si>
  <si>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</si>
  <si>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</si>
  <si>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</si>
  <si>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</si>
  <si>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</si>
  <si>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</si>
  <si>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</si>
  <si>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</si>
  <si>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</si>
  <si>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</t>
    </r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</si>
  <si>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</si>
  <si>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</si>
  <si>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</si>
  <si>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</si>
  <si>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ゴージャスな飲み物</t>
    </r>
    <rPh sb="19" eb="20">
      <t>ノ</t>
    </rPh>
    <rPh sb="21" eb="22">
      <t>モノ</t>
    </rPh>
    <phoneticPr fontId="2"/>
  </si>
  <si>
    <t>a_JuiceFroat</t>
    <phoneticPr fontId="2"/>
  </si>
  <si>
    <r>
      <t>#</t>
    </r>
    <r>
      <rPr>
        <sz val="10"/>
        <rFont val="ＭＳ Ｐゴシック"/>
        <family val="2"/>
        <charset val="128"/>
      </rPr>
      <t>おみやげお菓子</t>
    </r>
    <rPh sb="6" eb="8">
      <t>カシ</t>
    </rPh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</si>
  <si>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</si>
  <si>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</si>
  <si>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</si>
  <si>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</si>
  <si>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</si>
  <si>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</si>
  <si>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</si>
  <si>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</si>
  <si>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</si>
  <si>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</si>
  <si>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</si>
  <si>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</si>
  <si>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</si>
  <si>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</si>
  <si>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</si>
  <si>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</si>
  <si>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</si>
  <si>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</si>
  <si>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</si>
  <si>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</si>
  <si>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r>
      <t>#</t>
    </r>
    <r>
      <rPr>
        <sz val="10"/>
        <rFont val="ＭＳ Ｐゴシック"/>
        <family val="2"/>
        <charset val="128"/>
      </rPr>
      <t>遥かなる蒼賞</t>
    </r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</si>
  <si>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</t>
    </r>
    <rPh sb="17" eb="19">
      <t>マホウ</t>
    </rPh>
    <rPh sb="22" eb="24">
      <t>ゲンテイ</t>
    </rPh>
    <phoneticPr fontId="2"/>
  </si>
  <si>
    <t>bush_de_noel_buttefly</t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</si>
  <si>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</t>
    </r>
    <rPh sb="4" eb="7">
      <t>ヨウガシ</t>
    </rPh>
    <rPh sb="7" eb="9">
      <t>ギジュツ</t>
    </rPh>
    <rPh sb="18" eb="20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</si>
  <si>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</t>
    </r>
    <phoneticPr fontId="2"/>
  </si>
  <si>
    <r>
      <t>#</t>
    </r>
    <r>
      <rPr>
        <sz val="10"/>
        <rFont val="ＭＳ Ｐゴシック"/>
        <family val="2"/>
        <charset val="128"/>
      </rPr>
      <t>アデュルティ・ガトー</t>
    </r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</si>
  <si>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</si>
  <si>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</si>
  <si>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</si>
  <si>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</si>
  <si>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</si>
  <si>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</t>
    </r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</si>
  <si>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</si>
  <si>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</si>
  <si>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</si>
  <si>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</si>
  <si>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</si>
  <si>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</si>
  <si>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</t>
    </r>
    <rPh sb="8" eb="10">
      <t>チョウコク</t>
    </rPh>
    <rPh sb="13" eb="15">
      <t>ゲンテイ</t>
    </rPh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</si>
  <si>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</si>
  <si>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</si>
  <si>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</si>
  <si>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</si>
  <si>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</si>
  <si>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</si>
  <si>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</si>
  <si>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</si>
  <si>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</si>
  <si>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</si>
  <si>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</si>
  <si>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soda_starlight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</si>
  <si>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</si>
  <si>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</si>
  <si>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</si>
  <si>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</si>
  <si>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</si>
  <si>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</si>
  <si>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</t>
    </r>
    <rPh sb="10" eb="14">
      <t>ジユウカダイ</t>
    </rPh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</si>
  <si>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</si>
  <si>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</si>
  <si>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</si>
  <si>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</si>
  <si>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</si>
  <si>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</si>
  <si>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</si>
  <si>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</si>
  <si>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</si>
  <si>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</si>
  <si>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</si>
  <si>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</si>
  <si>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</si>
  <si>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</si>
  <si>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</si>
  <si>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ワールドチャンピオン一回戦　チョコレート##</t>
    </r>
    <rPh sb="12" eb="15">
      <t>イッカイセン</t>
    </rPh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</si>
  <si>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</si>
  <si>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</si>
  <si>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</si>
  <si>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</si>
  <si>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</t>
    </r>
    <rPh sb="15" eb="18">
      <t>イッカイセン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</si>
</sst>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7" fillId="4" borderId="0" xfId="0" applyFont="1" applyFill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4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ROW()-2+20000</f>
        <v>20000</v>
      </c>
      <c r="B2" s="6">
        <v>20000</v>
      </c>
      <c r="C2" s="6" t="s">
        <v>214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84"/>
  <sheetViews>
    <sheetView zoomScale="85" zoomScaleNormal="85" workbookViewId="0">
      <pane ySplit="1" topLeftCell="A23" activePane="bottomLeft" state="frozen"/>
      <selection activeCell="D1" sqref="D1"/>
      <selection pane="bottomLeft" activeCell="D81" sqref="D8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ROW()-2+30000</f>
        <v>30000</v>
      </c>
      <c r="B2" s="6">
        <v>30000</v>
      </c>
      <c r="C2" s="6" t="s">
        <v>213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ROW()-2+30000</f>
        <v>30001</v>
      </c>
      <c r="B3" s="3">
        <f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5" si="0">ROW()-2+30000</f>
        <v>30002</v>
      </c>
      <c r="B4" s="3">
        <f>INDEX(B:B,MATCH(30000,B:B,0),1)+(ROW()-MATCH(30000,B:B,0))</f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30003</v>
      </c>
      <c r="B5" s="3">
        <f>INDEX(B:B,MATCH(30000,B:B,0),1)+(ROW()-MATCH(30000,B:B,0))</f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0"/>
        <v>30004</v>
      </c>
      <c r="B6" s="3">
        <f>INDEX(B:B,MATCH(30000,B:B,0),1)+(ROW()-MATCH(30000,B:B,0))</f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0"/>
        <v>30005</v>
      </c>
      <c r="B7" s="3">
        <f>INDEX(B:B,MATCH(30000,B:B,0),1)+(ROW()-MATCH(30000,B:B,0))</f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0"/>
        <v>30006</v>
      </c>
      <c r="B8" s="3">
        <f>INDEX(B:B,MATCH(30000,B:B,0),1)+(ROW()-MATCH(30000,B:B,0))</f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0"/>
        <v>30007</v>
      </c>
      <c r="B9" s="3">
        <f>INDEX(B:B,MATCH(30000,B:B,0),1)+(ROW()-MATCH(30000,B:B,0))</f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0"/>
        <v>30008</v>
      </c>
      <c r="B10" s="3">
        <f>INDEX(B:B,MATCH(30000,B:B,0),1)+(ROW()-MATCH(30000,B:B,0))</f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30009</v>
      </c>
      <c r="B11" s="3">
        <f>INDEX(B:B,MATCH(30000,B:B,0),1)+(ROW()-MATCH(30000,B:B,0))</f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30010</v>
      </c>
      <c r="B12" s="3">
        <f>INDEX(B:B,MATCH(30000,B:B,0),1)+(ROW()-MATCH(30000,B:B,0))</f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30011</v>
      </c>
      <c r="B13" s="3">
        <f>INDEX(B:B,MATCH(30000,B:B,0),1)+(ROW()-MATCH(30000,B:B,0))</f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30012</v>
      </c>
      <c r="B14" s="3">
        <f>INDEX(B:B,MATCH(30000,B:B,0),1)+(ROW()-MATCH(30000,B:B,0))</f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0"/>
        <v>30013</v>
      </c>
      <c r="B15" s="3">
        <f>INDEX(B:B,MATCH(30000,B:B,0),1)+(ROW()-MATCH(30000,B:B,0))</f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0"/>
        <v>30014</v>
      </c>
      <c r="B16" s="3">
        <f>INDEX(B:B,MATCH(30000,B:B,0),1)+(ROW()-MATCH(30000,B:B,0))</f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30015</v>
      </c>
      <c r="B17" s="3">
        <f>INDEX(B:B,MATCH(30000,B:B,0),1)+(ROW()-MATCH(30000,B:B,0))</f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30016</v>
      </c>
      <c r="B18" s="3">
        <f>INDEX(B:B,MATCH(30000,B:B,0),1)+(ROW()-MATCH(30000,B:B,0))</f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0"/>
        <v>30017</v>
      </c>
      <c r="B19" s="3">
        <f>INDEX(B:B,MATCH(30000,B:B,0),1)+(ROW()-MATCH(30000,B:B,0))</f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30018</v>
      </c>
      <c r="B20" s="3">
        <f>INDEX(B:B,MATCH(30000,B:B,0),1)+(ROW()-MATCH(30000,B:B,0))</f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30019</v>
      </c>
      <c r="B21" s="3">
        <f>INDEX(B:B,MATCH(30000,B:B,0),1)+(ROW()-MATCH(30000,B:B,0))</f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30020</v>
      </c>
      <c r="B22" s="3">
        <f>INDEX(B:B,MATCH(30000,B:B,0),1)+(ROW()-MATCH(30000,B:B,0))</f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30021</v>
      </c>
      <c r="B23" s="3">
        <f>INDEX(B:B,MATCH(30000,B:B,0),1)+(ROW()-MATCH(30000,B:B,0))</f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30022</v>
      </c>
      <c r="B24" s="3">
        <f>INDEX(B:B,MATCH(30000,B:B,0),1)+(ROW()-MATCH(30000,B:B,0))</f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0"/>
        <v>30023</v>
      </c>
      <c r="B25" s="3">
        <f>INDEX(B:B,MATCH(30000,B:B,0),1)+(ROW()-MATCH(30000,B:B,0))</f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30024</v>
      </c>
      <c r="B26" s="3">
        <f>INDEX(B:B,MATCH(30000,B:B,0),1)+(ROW()-MATCH(30000,B:B,0))</f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30025</v>
      </c>
      <c r="B27" s="3">
        <f>INDEX(B:B,MATCH(30000,B:B,0),1)+(ROW()-MATCH(30000,B:B,0))</f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0"/>
        <v>30026</v>
      </c>
      <c r="B28" s="3">
        <f>INDEX(B:B,MATCH(30000,B:B,0),1)+(ROW()-MATCH(30000,B:B,0))</f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30027</v>
      </c>
      <c r="B29" s="3">
        <f>INDEX(B:B,MATCH(30000,B:B,0),1)+(ROW()-MATCH(30000,B:B,0))</f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30028</v>
      </c>
      <c r="B30" s="3">
        <f>INDEX(B:B,MATCH(30000,B:B,0),1)+(ROW()-MATCH(30000,B:B,0))</f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0"/>
        <v>30029</v>
      </c>
      <c r="B31" s="3">
        <f>INDEX(B:B,MATCH(30000,B:B,0),1)+(ROW()-MATCH(30000,B:B,0))</f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30030</v>
      </c>
      <c r="B32" s="3">
        <f>INDEX(B:B,MATCH(30000,B:B,0),1)+(ROW()-MATCH(30000,B:B,0))</f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30031</v>
      </c>
      <c r="B33" s="3">
        <f>INDEX(B:B,MATCH(30000,B:B,0),1)+(ROW()-MATCH(30000,B:B,0))</f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30032</v>
      </c>
      <c r="B34" s="3">
        <f>INDEX(B:B,MATCH(30000,B:B,0),1)+(ROW()-MATCH(30000,B:B,0))</f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30033</v>
      </c>
      <c r="B35" s="3">
        <f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30034</v>
      </c>
      <c r="B36" s="3">
        <f>INDEX(B:B,MATCH(30000,B:B,0),1)+(ROW()-MATCH(30000,B:B,0))</f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30035</v>
      </c>
      <c r="B37" s="3">
        <f>INDEX(B:B,MATCH(30000,B:B,0),1)+(ROW()-MATCH(30000,B:B,0))</f>
        <v>30035</v>
      </c>
      <c r="C37" s="3" t="s">
        <v>7</v>
      </c>
      <c r="D37" s="3" t="s">
        <v>25</v>
      </c>
      <c r="E37" s="3">
        <v>0</v>
      </c>
      <c r="F37" s="3">
        <v>0</v>
      </c>
      <c r="G37" s="3">
        <v>54</v>
      </c>
      <c r="H37" s="3">
        <v>0</v>
      </c>
      <c r="I37" s="3">
        <v>40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82</v>
      </c>
      <c r="AD37" s="5" t="s">
        <v>27</v>
      </c>
      <c r="AE37" s="5" t="s">
        <v>66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</v>
      </c>
      <c r="AM37" s="5">
        <v>20</v>
      </c>
      <c r="AN37" s="5">
        <v>10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10" t="s">
        <v>165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30036</v>
      </c>
      <c r="B38" s="3">
        <f>INDEX(B:B,MATCH(30000,B:B,0),1)+(ROW()-MATCH(30000,B:B,0))</f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54</v>
      </c>
      <c r="H38" s="3">
        <v>0</v>
      </c>
      <c r="I38" s="3">
        <v>40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90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82</v>
      </c>
      <c r="AD38" s="5" t="s">
        <v>27</v>
      </c>
      <c r="AE38" s="5" t="s">
        <v>66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5</v>
      </c>
      <c r="AM38" s="5">
        <v>20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10" t="s">
        <v>165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30037</v>
      </c>
      <c r="B39" s="3">
        <f>INDEX(B:B,MATCH(30000,B:B,0),1)+(ROW()-MATCH(30000,B:B,0))</f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0</v>
      </c>
      <c r="I39" s="3">
        <v>40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82</v>
      </c>
      <c r="AD39" s="5" t="s">
        <v>27</v>
      </c>
      <c r="AE39" s="5" t="s">
        <v>66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20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10" t="s">
        <v>165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30038</v>
      </c>
      <c r="B40" s="3">
        <f>INDEX(B:B,MATCH(30000,B:B,0),1)+(ROW()-MATCH(30000,B:B,0))</f>
        <v>30038</v>
      </c>
      <c r="C40" s="3" t="s">
        <v>7</v>
      </c>
      <c r="D40" s="3" t="s">
        <v>53</v>
      </c>
      <c r="E40" s="3">
        <v>0</v>
      </c>
      <c r="F40" s="3">
        <v>0</v>
      </c>
      <c r="G40" s="3">
        <v>90</v>
      </c>
      <c r="H40" s="3">
        <v>50</v>
      </c>
      <c r="I40" s="3">
        <v>40</v>
      </c>
      <c r="J40" s="3">
        <v>0</v>
      </c>
      <c r="K40" s="3">
        <v>75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121</v>
      </c>
      <c r="AE40" s="5" t="s">
        <v>122</v>
      </c>
      <c r="AF40" s="5" t="s">
        <v>47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30</v>
      </c>
      <c r="AN40" s="5">
        <v>30</v>
      </c>
      <c r="AO40" s="5">
        <v>30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43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30039</v>
      </c>
      <c r="B41" s="3">
        <f>INDEX(B:B,MATCH(30000,B:B,0),1)+(ROW()-MATCH(30000,B:B,0))</f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90</v>
      </c>
      <c r="H41" s="3">
        <v>50</v>
      </c>
      <c r="I41" s="3">
        <v>40</v>
      </c>
      <c r="J41" s="3">
        <v>0</v>
      </c>
      <c r="K41" s="3">
        <v>75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110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121</v>
      </c>
      <c r="AE41" s="5" t="s">
        <v>122</v>
      </c>
      <c r="AF41" s="5" t="s">
        <v>47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30</v>
      </c>
      <c r="AN41" s="5">
        <v>30</v>
      </c>
      <c r="AO41" s="5">
        <v>30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44</v>
      </c>
      <c r="AW41" s="5">
        <v>0</v>
      </c>
      <c r="AX41" s="5">
        <v>0</v>
      </c>
    </row>
    <row r="42" spans="1:50" ht="15.75" customHeight="1" x14ac:dyDescent="0.2">
      <c r="A42" s="3">
        <f t="shared" si="0"/>
        <v>30040</v>
      </c>
      <c r="B42" s="3">
        <f>INDEX(B:B,MATCH(30000,B:B,0),1)+(ROW()-MATCH(30000,B:B,0))</f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90</v>
      </c>
      <c r="H42" s="3">
        <v>50</v>
      </c>
      <c r="I42" s="3">
        <v>40</v>
      </c>
      <c r="J42" s="3">
        <v>0</v>
      </c>
      <c r="K42" s="3">
        <v>90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67</v>
      </c>
      <c r="AD42" s="5" t="s">
        <v>22</v>
      </c>
      <c r="AE42" s="5" t="s">
        <v>121</v>
      </c>
      <c r="AF42" s="5" t="s">
        <v>122</v>
      </c>
      <c r="AG42" s="5" t="s">
        <v>47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100</v>
      </c>
      <c r="AM42" s="5">
        <v>20</v>
      </c>
      <c r="AN42" s="5">
        <v>10</v>
      </c>
      <c r="AO42" s="5">
        <v>10</v>
      </c>
      <c r="AP42" s="5">
        <v>10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30041</v>
      </c>
      <c r="B43" s="3">
        <f>INDEX(B:B,MATCH(30000,B:B,0),1)+(ROW()-MATCH(30000,B:B,0))</f>
        <v>30041</v>
      </c>
      <c r="C43" s="3" t="s">
        <v>223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110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60</v>
      </c>
      <c r="AD43" s="5" t="s">
        <v>23</v>
      </c>
      <c r="AE43" s="5" t="s">
        <v>66</v>
      </c>
      <c r="AF43" s="5" t="s">
        <v>27</v>
      </c>
      <c r="AG43" s="5" t="s">
        <v>39</v>
      </c>
      <c r="AH43" s="5" t="s">
        <v>131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7</v>
      </c>
      <c r="AN43" s="5">
        <v>20</v>
      </c>
      <c r="AO43" s="5">
        <v>20</v>
      </c>
      <c r="AP43" s="5">
        <v>30</v>
      </c>
      <c r="AQ43" s="5">
        <v>30</v>
      </c>
      <c r="AR43" s="5">
        <v>0</v>
      </c>
      <c r="AS43" s="5">
        <v>0</v>
      </c>
      <c r="AT43" s="5">
        <v>0</v>
      </c>
      <c r="AU43" s="5">
        <v>0</v>
      </c>
      <c r="AV43" s="4" t="s">
        <v>86</v>
      </c>
      <c r="AW43" s="5">
        <v>0</v>
      </c>
      <c r="AX43" s="5">
        <v>0</v>
      </c>
    </row>
    <row r="44" spans="1:50" ht="15.75" customHeight="1" x14ac:dyDescent="0.2">
      <c r="A44" s="3">
        <f t="shared" si="0"/>
        <v>30042</v>
      </c>
      <c r="B44" s="3">
        <f>INDEX(B:B,MATCH(30000,B:B,0),1)+(ROW()-MATCH(30000,B:B,0))</f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90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90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61</v>
      </c>
      <c r="AD44" s="5" t="s">
        <v>62</v>
      </c>
      <c r="AE44" s="5" t="s">
        <v>57</v>
      </c>
      <c r="AF44" s="5" t="s">
        <v>23</v>
      </c>
      <c r="AG44" s="5" t="s">
        <v>39</v>
      </c>
      <c r="AH44" s="5" t="s">
        <v>66</v>
      </c>
      <c r="AI44" s="5" t="s">
        <v>27</v>
      </c>
      <c r="AJ44" s="5" t="s">
        <v>131</v>
      </c>
      <c r="AK44" s="5" t="s">
        <v>7</v>
      </c>
      <c r="AL44" s="5">
        <v>20</v>
      </c>
      <c r="AM44" s="5">
        <v>20</v>
      </c>
      <c r="AN44" s="5">
        <v>10</v>
      </c>
      <c r="AO44" s="5">
        <v>10</v>
      </c>
      <c r="AP44" s="5">
        <v>30</v>
      </c>
      <c r="AQ44" s="5">
        <v>20</v>
      </c>
      <c r="AR44" s="5">
        <v>20</v>
      </c>
      <c r="AS44" s="5">
        <v>30</v>
      </c>
      <c r="AT44" s="5">
        <v>0</v>
      </c>
      <c r="AU44" s="5">
        <v>0</v>
      </c>
      <c r="AV44" s="4" t="s">
        <v>44</v>
      </c>
      <c r="AW44" s="5">
        <v>0</v>
      </c>
      <c r="AX44" s="5">
        <v>0</v>
      </c>
    </row>
    <row r="45" spans="1:50" ht="15.75" customHeight="1" x14ac:dyDescent="0.2">
      <c r="A45" s="3">
        <f t="shared" si="0"/>
        <v>30043</v>
      </c>
      <c r="B45" s="3">
        <f>INDEX(B:B,MATCH(30000,B:B,0),1)+(ROW()-MATCH(30000,B:B,0))</f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130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63</v>
      </c>
      <c r="AD45" s="5" t="s">
        <v>67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100</v>
      </c>
      <c r="AM45" s="5">
        <v>70</v>
      </c>
      <c r="AN45" s="5">
        <v>20</v>
      </c>
      <c r="AO45" s="5">
        <v>20</v>
      </c>
      <c r="AP45" s="5">
        <v>20</v>
      </c>
      <c r="AQ45" s="5">
        <v>30</v>
      </c>
      <c r="AR45" s="5">
        <v>30</v>
      </c>
      <c r="AS45" s="5">
        <v>0</v>
      </c>
      <c r="AT45" s="5">
        <v>0</v>
      </c>
      <c r="AU45" s="5">
        <v>0</v>
      </c>
      <c r="AV45" s="4" t="s">
        <v>45</v>
      </c>
      <c r="AW45" s="5">
        <v>0</v>
      </c>
      <c r="AX45" s="5">
        <v>1</v>
      </c>
    </row>
    <row r="46" spans="1:50" s="9" customFormat="1" ht="15.75" customHeight="1" x14ac:dyDescent="0.2">
      <c r="A46" s="6">
        <f>ROW()-2+30000</f>
        <v>30044</v>
      </c>
      <c r="B46" s="6">
        <v>31000</v>
      </c>
      <c r="C46" s="6" t="s">
        <v>212</v>
      </c>
      <c r="D46" s="6" t="s">
        <v>7</v>
      </c>
      <c r="E46" s="6">
        <v>30</v>
      </c>
      <c r="F46" s="6">
        <v>0</v>
      </c>
      <c r="G46" s="6">
        <v>80</v>
      </c>
      <c r="H46" s="6">
        <v>200</v>
      </c>
      <c r="I46" s="6">
        <v>0</v>
      </c>
      <c r="J46" s="6">
        <v>0</v>
      </c>
      <c r="K46" s="6">
        <v>0</v>
      </c>
      <c r="L46" s="6">
        <v>100</v>
      </c>
      <c r="M46" s="6">
        <v>0</v>
      </c>
      <c r="N46" s="6">
        <v>0</v>
      </c>
      <c r="O46" s="6">
        <v>0</v>
      </c>
      <c r="P46" s="6">
        <v>0</v>
      </c>
      <c r="Q46" s="6">
        <v>70</v>
      </c>
      <c r="R46" s="6">
        <v>0</v>
      </c>
      <c r="S46" s="6">
        <v>30</v>
      </c>
      <c r="T46" s="6">
        <v>30</v>
      </c>
      <c r="U46" s="6">
        <v>30</v>
      </c>
      <c r="V46" s="6">
        <v>30</v>
      </c>
      <c r="W46" s="6">
        <v>30</v>
      </c>
      <c r="X46" s="6">
        <v>30</v>
      </c>
      <c r="Y46" s="6">
        <v>30</v>
      </c>
      <c r="Z46" s="6">
        <v>30</v>
      </c>
      <c r="AA46" s="6">
        <v>30</v>
      </c>
      <c r="AB46" s="6">
        <v>30</v>
      </c>
      <c r="AC46" s="7" t="s">
        <v>70</v>
      </c>
      <c r="AD46" s="7" t="s">
        <v>7</v>
      </c>
      <c r="AE46" s="7" t="s">
        <v>7</v>
      </c>
      <c r="AF46" s="7" t="s">
        <v>7</v>
      </c>
      <c r="AG46" s="7" t="s">
        <v>7</v>
      </c>
      <c r="AH46" s="7" t="s">
        <v>7</v>
      </c>
      <c r="AI46" s="7" t="s">
        <v>7</v>
      </c>
      <c r="AJ46" s="7" t="s">
        <v>7</v>
      </c>
      <c r="AK46" s="7" t="s">
        <v>7</v>
      </c>
      <c r="AL46" s="7">
        <v>20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8" t="s">
        <v>147</v>
      </c>
      <c r="AW46" s="7">
        <v>0</v>
      </c>
      <c r="AX46" s="7">
        <v>0</v>
      </c>
    </row>
    <row r="47" spans="1:50" ht="15.75" customHeight="1" x14ac:dyDescent="0.2">
      <c r="A47" s="3">
        <f>ROW()-2+30000</f>
        <v>30045</v>
      </c>
      <c r="B47" s="3">
        <f>INDEX(B:B,MATCH(31000,B:B,0),1)+(ROW()-MATCH(31000,B:B,0))</f>
        <v>31001</v>
      </c>
      <c r="C47" s="3" t="s">
        <v>7</v>
      </c>
      <c r="D47" s="3" t="s">
        <v>7</v>
      </c>
      <c r="E47" s="3">
        <v>30</v>
      </c>
      <c r="F47" s="3">
        <v>0</v>
      </c>
      <c r="G47" s="3">
        <v>80</v>
      </c>
      <c r="H47" s="3">
        <v>200</v>
      </c>
      <c r="I47" s="3">
        <v>0</v>
      </c>
      <c r="J47" s="3">
        <v>0</v>
      </c>
      <c r="K47" s="3">
        <v>0</v>
      </c>
      <c r="L47" s="3">
        <v>100</v>
      </c>
      <c r="M47" s="3">
        <v>0</v>
      </c>
      <c r="N47" s="3">
        <v>0</v>
      </c>
      <c r="O47" s="3">
        <v>0</v>
      </c>
      <c r="P47" s="3">
        <v>0</v>
      </c>
      <c r="Q47" s="3">
        <v>90</v>
      </c>
      <c r="R47" s="3">
        <v>0</v>
      </c>
      <c r="S47" s="3">
        <v>30</v>
      </c>
      <c r="T47" s="3">
        <v>30</v>
      </c>
      <c r="U47" s="3">
        <v>30</v>
      </c>
      <c r="V47" s="3">
        <v>30</v>
      </c>
      <c r="W47" s="3">
        <v>30</v>
      </c>
      <c r="X47" s="3">
        <v>30</v>
      </c>
      <c r="Y47" s="3">
        <v>30</v>
      </c>
      <c r="Z47" s="3">
        <v>30</v>
      </c>
      <c r="AA47" s="3">
        <v>30</v>
      </c>
      <c r="AB47" s="3">
        <v>30</v>
      </c>
      <c r="AC47" s="5" t="s">
        <v>70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20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149</v>
      </c>
      <c r="AW47" s="5">
        <v>0</v>
      </c>
      <c r="AX47" s="5">
        <v>0</v>
      </c>
    </row>
    <row r="48" spans="1:50" ht="15.75" customHeight="1" x14ac:dyDescent="0.2">
      <c r="A48" s="3">
        <f t="shared" ref="A48:A84" si="1">ROW()-2+30000</f>
        <v>30046</v>
      </c>
      <c r="B48" s="3">
        <f>INDEX(B:B,MATCH(31000,B:B,0),1)+(ROW()-MATCH(31000,B:B,0))</f>
        <v>31002</v>
      </c>
      <c r="C48" s="3" t="s">
        <v>7</v>
      </c>
      <c r="D48" s="3" t="s">
        <v>7</v>
      </c>
      <c r="E48" s="3">
        <v>30</v>
      </c>
      <c r="F48" s="3">
        <v>0</v>
      </c>
      <c r="G48" s="3">
        <v>80</v>
      </c>
      <c r="H48" s="3">
        <v>200</v>
      </c>
      <c r="I48" s="3">
        <v>0</v>
      </c>
      <c r="J48" s="3">
        <v>0</v>
      </c>
      <c r="K48" s="3">
        <v>0</v>
      </c>
      <c r="L48" s="3">
        <v>100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30</v>
      </c>
      <c r="T48" s="3">
        <v>30</v>
      </c>
      <c r="U48" s="3">
        <v>30</v>
      </c>
      <c r="V48" s="3">
        <v>30</v>
      </c>
      <c r="W48" s="3">
        <v>30</v>
      </c>
      <c r="X48" s="3">
        <v>30</v>
      </c>
      <c r="Y48" s="3">
        <v>30</v>
      </c>
      <c r="Z48" s="3">
        <v>30</v>
      </c>
      <c r="AA48" s="3">
        <v>30</v>
      </c>
      <c r="AB48" s="3">
        <v>30</v>
      </c>
      <c r="AC48" s="5" t="s">
        <v>70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20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150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>INDEX(B:B,MATCH(31000,B:B,0),1)+(ROW()-MATCH(31000,B:B,0))</f>
        <v>31003</v>
      </c>
      <c r="C49" s="3" t="s">
        <v>7</v>
      </c>
      <c r="D49" s="3" t="s">
        <v>171</v>
      </c>
      <c r="E49" s="3">
        <v>0</v>
      </c>
      <c r="F49" s="3">
        <v>0</v>
      </c>
      <c r="G49" s="3">
        <v>54</v>
      </c>
      <c r="H49" s="3">
        <v>0</v>
      </c>
      <c r="I49" s="3">
        <v>0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26</v>
      </c>
      <c r="AD49" s="5" t="s">
        <v>28</v>
      </c>
      <c r="AE49" s="5" t="s">
        <v>82</v>
      </c>
      <c r="AF49" s="5" t="s">
        <v>27</v>
      </c>
      <c r="AG49" s="5" t="s">
        <v>36</v>
      </c>
      <c r="AH49" s="5" t="s">
        <v>66</v>
      </c>
      <c r="AI49" s="5" t="s">
        <v>7</v>
      </c>
      <c r="AJ49" s="5" t="s">
        <v>7</v>
      </c>
      <c r="AK49" s="5" t="s">
        <v>7</v>
      </c>
      <c r="AL49" s="5">
        <v>5</v>
      </c>
      <c r="AM49" s="5">
        <v>10</v>
      </c>
      <c r="AN49" s="5">
        <v>12</v>
      </c>
      <c r="AO49" s="5">
        <v>20</v>
      </c>
      <c r="AP49" s="5">
        <v>5</v>
      </c>
      <c r="AQ49" s="5">
        <v>10</v>
      </c>
      <c r="AR49" s="5">
        <v>0</v>
      </c>
      <c r="AS49" s="5">
        <v>0</v>
      </c>
      <c r="AT49" s="5">
        <v>0</v>
      </c>
      <c r="AU49" s="5">
        <v>0</v>
      </c>
      <c r="AV49" s="4" t="s">
        <v>86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>INDEX(B:B,MATCH(31000,B:B,0),1)+(ROW()-MATCH(31000,B:B,0))</f>
        <v>31004</v>
      </c>
      <c r="C50" s="3" t="s">
        <v>7</v>
      </c>
      <c r="D50" s="3" t="s">
        <v>7</v>
      </c>
      <c r="E50" s="3">
        <v>0</v>
      </c>
      <c r="F50" s="3">
        <v>0</v>
      </c>
      <c r="G50" s="3">
        <v>54</v>
      </c>
      <c r="H50" s="3">
        <v>0</v>
      </c>
      <c r="I50" s="3">
        <v>0</v>
      </c>
      <c r="J50" s="3">
        <v>40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70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26</v>
      </c>
      <c r="AD50" s="5" t="s">
        <v>28</v>
      </c>
      <c r="AE50" s="5" t="s">
        <v>82</v>
      </c>
      <c r="AF50" s="5" t="s">
        <v>27</v>
      </c>
      <c r="AG50" s="5" t="s">
        <v>36</v>
      </c>
      <c r="AH50" s="5" t="s">
        <v>66</v>
      </c>
      <c r="AI50" s="5" t="s">
        <v>7</v>
      </c>
      <c r="AJ50" s="5" t="s">
        <v>7</v>
      </c>
      <c r="AK50" s="5" t="s">
        <v>7</v>
      </c>
      <c r="AL50" s="5">
        <v>5</v>
      </c>
      <c r="AM50" s="5">
        <v>10</v>
      </c>
      <c r="AN50" s="5">
        <v>12</v>
      </c>
      <c r="AO50" s="5">
        <v>20</v>
      </c>
      <c r="AP50" s="5">
        <v>5</v>
      </c>
      <c r="AQ50" s="5">
        <v>10</v>
      </c>
      <c r="AR50" s="5">
        <v>0</v>
      </c>
      <c r="AS50" s="5">
        <v>0</v>
      </c>
      <c r="AT50" s="5">
        <v>0</v>
      </c>
      <c r="AU50" s="5">
        <v>0</v>
      </c>
      <c r="AV50" s="4" t="s">
        <v>44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>INDEX(B:B,MATCH(31000,B:B,0),1)+(ROW()-MATCH(31000,B:B,0))</f>
        <v>31005</v>
      </c>
      <c r="C51" s="3" t="s">
        <v>7</v>
      </c>
      <c r="D51" s="3" t="s">
        <v>7</v>
      </c>
      <c r="E51" s="3">
        <v>0</v>
      </c>
      <c r="F51" s="3">
        <v>0</v>
      </c>
      <c r="G51" s="3">
        <v>54</v>
      </c>
      <c r="H51" s="3">
        <v>0</v>
      </c>
      <c r="I51" s="3">
        <v>0</v>
      </c>
      <c r="J51" s="3">
        <v>110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26</v>
      </c>
      <c r="AD51" s="5" t="s">
        <v>28</v>
      </c>
      <c r="AE51" s="5" t="s">
        <v>82</v>
      </c>
      <c r="AF51" s="5" t="s">
        <v>27</v>
      </c>
      <c r="AG51" s="5" t="s">
        <v>36</v>
      </c>
      <c r="AH51" s="5" t="s">
        <v>66</v>
      </c>
      <c r="AI51" s="5" t="s">
        <v>7</v>
      </c>
      <c r="AJ51" s="5" t="s">
        <v>7</v>
      </c>
      <c r="AK51" s="5" t="s">
        <v>7</v>
      </c>
      <c r="AL51" s="5">
        <v>5</v>
      </c>
      <c r="AM51" s="5">
        <v>10</v>
      </c>
      <c r="AN51" s="5">
        <v>12</v>
      </c>
      <c r="AO51" s="5">
        <v>20</v>
      </c>
      <c r="AP51" s="5">
        <v>5</v>
      </c>
      <c r="AQ51" s="5">
        <v>10</v>
      </c>
      <c r="AR51" s="5">
        <v>0</v>
      </c>
      <c r="AS51" s="5">
        <v>0</v>
      </c>
      <c r="AT51" s="5">
        <v>0</v>
      </c>
      <c r="AU51" s="5">
        <v>0</v>
      </c>
      <c r="AV51" s="4" t="s">
        <v>45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>INDEX(B:B,MATCH(31000,B:B,0),1)+(ROW()-MATCH(31000,B:B,0))</f>
        <v>31006</v>
      </c>
      <c r="C52" s="3" t="s">
        <v>7</v>
      </c>
      <c r="D52" s="3" t="s">
        <v>218</v>
      </c>
      <c r="E52" s="3">
        <v>20</v>
      </c>
      <c r="F52" s="3">
        <v>0</v>
      </c>
      <c r="G52" s="3">
        <v>54</v>
      </c>
      <c r="H52" s="3">
        <v>0</v>
      </c>
      <c r="I52" s="3">
        <v>0</v>
      </c>
      <c r="J52" s="3">
        <v>60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26</v>
      </c>
      <c r="AD52" s="5" t="s">
        <v>28</v>
      </c>
      <c r="AE52" s="5" t="s">
        <v>82</v>
      </c>
      <c r="AF52" s="5" t="s">
        <v>27</v>
      </c>
      <c r="AG52" s="5" t="s">
        <v>36</v>
      </c>
      <c r="AH52" s="5" t="s">
        <v>66</v>
      </c>
      <c r="AI52" s="5" t="s">
        <v>7</v>
      </c>
      <c r="AJ52" s="5" t="s">
        <v>7</v>
      </c>
      <c r="AK52" s="5" t="s">
        <v>7</v>
      </c>
      <c r="AL52" s="5">
        <v>5</v>
      </c>
      <c r="AM52" s="5">
        <v>10</v>
      </c>
      <c r="AN52" s="5">
        <v>12</v>
      </c>
      <c r="AO52" s="5">
        <v>20</v>
      </c>
      <c r="AP52" s="5">
        <v>5</v>
      </c>
      <c r="AQ52" s="5">
        <v>10</v>
      </c>
      <c r="AR52" s="5">
        <v>0</v>
      </c>
      <c r="AS52" s="5">
        <v>0</v>
      </c>
      <c r="AT52" s="5">
        <v>0</v>
      </c>
      <c r="AU52" s="5">
        <v>0</v>
      </c>
      <c r="AV52" s="4" t="s">
        <v>86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>INDEX(B:B,MATCH(31000,B:B,0),1)+(ROW()-MATCH(31000,B:B,0))</f>
        <v>31007</v>
      </c>
      <c r="C53" s="3" t="s">
        <v>7</v>
      </c>
      <c r="D53" s="3" t="s">
        <v>7</v>
      </c>
      <c r="E53" s="3">
        <v>20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44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>INDEX(B:B,MATCH(31000,B:B,0),1)+(ROW()-MATCH(31000,B:B,0))</f>
        <v>31008</v>
      </c>
      <c r="C54" s="3" t="s">
        <v>7</v>
      </c>
      <c r="D54" s="3" t="s">
        <v>7</v>
      </c>
      <c r="E54" s="3">
        <v>20</v>
      </c>
      <c r="F54" s="3">
        <v>0</v>
      </c>
      <c r="G54" s="3">
        <v>54</v>
      </c>
      <c r="H54" s="3">
        <v>0</v>
      </c>
      <c r="I54" s="3">
        <v>0</v>
      </c>
      <c r="J54" s="3">
        <v>100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>INDEX(B:B,MATCH(31000,B:B,0),1)+(ROW()-MATCH(31000,B:B,0))</f>
        <v>31009</v>
      </c>
      <c r="C55" s="3" t="s">
        <v>7</v>
      </c>
      <c r="D55" s="3" t="s">
        <v>173</v>
      </c>
      <c r="E55" s="3">
        <v>0</v>
      </c>
      <c r="F55" s="3">
        <v>0</v>
      </c>
      <c r="G55" s="3">
        <v>230</v>
      </c>
      <c r="H55" s="3">
        <v>0</v>
      </c>
      <c r="I55" s="3">
        <v>0</v>
      </c>
      <c r="J55" s="3">
        <v>0</v>
      </c>
      <c r="K55" s="3">
        <v>100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43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>INDEX(B:B,MATCH(31000,B:B,0),1)+(ROW()-MATCH(31000,B:B,0))</f>
        <v>31010</v>
      </c>
      <c r="C56" s="3" t="s">
        <v>7</v>
      </c>
      <c r="D56" s="3" t="s">
        <v>7</v>
      </c>
      <c r="E56" s="3">
        <v>0</v>
      </c>
      <c r="F56" s="3">
        <v>0</v>
      </c>
      <c r="G56" s="3">
        <v>230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130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>INDEX(B:B,MATCH(31000,B:B,0),1)+(ROW()-MATCH(31000,B:B,0))</f>
        <v>31011</v>
      </c>
      <c r="C57" s="3" t="s">
        <v>7</v>
      </c>
      <c r="D57" s="3" t="s">
        <v>7</v>
      </c>
      <c r="E57" s="3">
        <v>0</v>
      </c>
      <c r="F57" s="3">
        <v>0</v>
      </c>
      <c r="G57" s="3">
        <v>230</v>
      </c>
      <c r="H57" s="3">
        <v>0</v>
      </c>
      <c r="I57" s="3">
        <v>0</v>
      </c>
      <c r="J57" s="3">
        <v>0</v>
      </c>
      <c r="K57" s="3">
        <v>120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45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>INDEX(B:B,MATCH(31000,B:B,0),1)+(ROW()-MATCH(31000,B:B,0))</f>
        <v>31012</v>
      </c>
      <c r="C58" s="3" t="s">
        <v>7</v>
      </c>
      <c r="D58" s="3" t="s">
        <v>226</v>
      </c>
      <c r="E58" s="3">
        <v>50</v>
      </c>
      <c r="F58" s="3">
        <v>0</v>
      </c>
      <c r="G58" s="3">
        <v>88</v>
      </c>
      <c r="H58" s="3">
        <v>0</v>
      </c>
      <c r="I58" s="3">
        <v>20</v>
      </c>
      <c r="J58" s="3">
        <v>0</v>
      </c>
      <c r="K58" s="3">
        <v>0</v>
      </c>
      <c r="L58" s="3">
        <v>0</v>
      </c>
      <c r="M58" s="3">
        <v>50</v>
      </c>
      <c r="N58" s="3">
        <v>0</v>
      </c>
      <c r="O58" s="3">
        <v>0</v>
      </c>
      <c r="P58" s="3">
        <v>0</v>
      </c>
      <c r="Q58" s="3">
        <v>70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66</v>
      </c>
      <c r="AD58" s="5" t="s">
        <v>82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20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>INDEX(B:B,MATCH(31000,B:B,0),1)+(ROW()-MATCH(31000,B:B,0))</f>
        <v>31013</v>
      </c>
      <c r="C59" s="3" t="s">
        <v>7</v>
      </c>
      <c r="D59" s="3" t="s">
        <v>7</v>
      </c>
      <c r="E59" s="3">
        <v>50</v>
      </c>
      <c r="F59" s="3">
        <v>0</v>
      </c>
      <c r="G59" s="3">
        <v>88</v>
      </c>
      <c r="H59" s="3">
        <v>0</v>
      </c>
      <c r="I59" s="3">
        <v>20</v>
      </c>
      <c r="J59" s="3">
        <v>0</v>
      </c>
      <c r="K59" s="3">
        <v>0</v>
      </c>
      <c r="L59" s="3">
        <v>0</v>
      </c>
      <c r="M59" s="3">
        <v>50</v>
      </c>
      <c r="N59" s="3">
        <v>0</v>
      </c>
      <c r="O59" s="3">
        <v>0</v>
      </c>
      <c r="P59" s="3">
        <v>0</v>
      </c>
      <c r="Q59" s="3">
        <v>90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66</v>
      </c>
      <c r="AD59" s="5" t="s">
        <v>82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20</v>
      </c>
      <c r="AM59" s="5">
        <v>20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225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>INDEX(B:B,MATCH(31000,B:B,0),1)+(ROW()-MATCH(31000,B:B,0))</f>
        <v>31014</v>
      </c>
      <c r="C60" s="3" t="s">
        <v>7</v>
      </c>
      <c r="D60" s="3" t="s">
        <v>7</v>
      </c>
      <c r="E60" s="3">
        <v>50</v>
      </c>
      <c r="F60" s="3">
        <v>0</v>
      </c>
      <c r="G60" s="3">
        <v>88</v>
      </c>
      <c r="H60" s="3">
        <v>0</v>
      </c>
      <c r="I60" s="3">
        <v>20</v>
      </c>
      <c r="J60" s="3">
        <v>0</v>
      </c>
      <c r="K60" s="3">
        <v>0</v>
      </c>
      <c r="L60" s="3">
        <v>0</v>
      </c>
      <c r="M60" s="3">
        <v>70</v>
      </c>
      <c r="N60" s="3">
        <v>0</v>
      </c>
      <c r="O60" s="3">
        <v>0</v>
      </c>
      <c r="P60" s="3">
        <v>0</v>
      </c>
      <c r="Q60" s="3">
        <v>110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66</v>
      </c>
      <c r="AD60" s="5" t="s">
        <v>82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20</v>
      </c>
      <c r="AM60" s="5">
        <v>20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225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>INDEX(B:B,MATCH(31000,B:B,0),1)+(ROW()-MATCH(31000,B:B,0))</f>
        <v>31015</v>
      </c>
      <c r="C61" s="3" t="s">
        <v>7</v>
      </c>
      <c r="D61" s="3" t="s">
        <v>208</v>
      </c>
      <c r="E61" s="3">
        <v>0</v>
      </c>
      <c r="F61" s="3">
        <v>0</v>
      </c>
      <c r="G61" s="3">
        <v>54</v>
      </c>
      <c r="H61" s="3">
        <v>20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22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207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>INDEX(B:B,MATCH(31000,B:B,0),1)+(ROW()-MATCH(31000,B:B,0))</f>
        <v>31016</v>
      </c>
      <c r="C62" s="3" t="s">
        <v>7</v>
      </c>
      <c r="D62" s="3" t="s">
        <v>7</v>
      </c>
      <c r="E62" s="3">
        <v>0</v>
      </c>
      <c r="F62" s="3">
        <v>0</v>
      </c>
      <c r="G62" s="3">
        <v>54</v>
      </c>
      <c r="H62" s="3">
        <v>20</v>
      </c>
      <c r="I62" s="3">
        <v>30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22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10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207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>INDEX(B:B,MATCH(31000,B:B,0),1)+(ROW()-MATCH(31000,B:B,0))</f>
        <v>31017</v>
      </c>
      <c r="C63" s="3" t="s">
        <v>7</v>
      </c>
      <c r="D63" s="3" t="s">
        <v>7</v>
      </c>
      <c r="E63" s="3">
        <v>0</v>
      </c>
      <c r="F63" s="3">
        <v>0</v>
      </c>
      <c r="G63" s="3">
        <v>54</v>
      </c>
      <c r="H63" s="3">
        <v>20</v>
      </c>
      <c r="I63" s="3">
        <v>30</v>
      </c>
      <c r="J63" s="3">
        <v>110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22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10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207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>INDEX(B:B,MATCH(31000,B:B,0),1)+(ROW()-MATCH(31000,B:B,0))</f>
        <v>31018</v>
      </c>
      <c r="C64" s="3" t="s">
        <v>7</v>
      </c>
      <c r="D64" s="3" t="s">
        <v>210</v>
      </c>
      <c r="E64" s="3">
        <v>0</v>
      </c>
      <c r="F64" s="3">
        <v>0</v>
      </c>
      <c r="G64" s="3">
        <v>55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75</v>
      </c>
      <c r="Q64" s="3">
        <v>55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46</v>
      </c>
      <c r="AD64" s="5" t="s">
        <v>65</v>
      </c>
      <c r="AE64" s="5" t="s">
        <v>202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-50</v>
      </c>
      <c r="AM64" s="5">
        <v>30</v>
      </c>
      <c r="AN64" s="5">
        <v>50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209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>INDEX(B:B,MATCH(31000,B:B,0),1)+(ROW()-MATCH(31000,B:B,0))</f>
        <v>31019</v>
      </c>
      <c r="C65" s="3" t="s">
        <v>7</v>
      </c>
      <c r="D65" s="3" t="s">
        <v>7</v>
      </c>
      <c r="E65" s="3">
        <v>0</v>
      </c>
      <c r="F65" s="3">
        <v>0</v>
      </c>
      <c r="G65" s="3">
        <v>55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75</v>
      </c>
      <c r="Q65" s="3">
        <v>65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46</v>
      </c>
      <c r="AD65" s="5" t="s">
        <v>65</v>
      </c>
      <c r="AE65" s="5" t="s">
        <v>202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-50</v>
      </c>
      <c r="AM65" s="5">
        <v>30</v>
      </c>
      <c r="AN65" s="5">
        <v>50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209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>INDEX(B:B,MATCH(31000,B:B,0),1)+(ROW()-MATCH(31000,B:B,0))</f>
        <v>31020</v>
      </c>
      <c r="C66" s="3" t="s">
        <v>7</v>
      </c>
      <c r="D66" s="3" t="s">
        <v>7</v>
      </c>
      <c r="E66" s="3">
        <v>0</v>
      </c>
      <c r="F66" s="3">
        <v>0</v>
      </c>
      <c r="G66" s="3">
        <v>55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105</v>
      </c>
      <c r="Q66" s="3">
        <v>55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46</v>
      </c>
      <c r="AD66" s="5" t="s">
        <v>65</v>
      </c>
      <c r="AE66" s="5" t="s">
        <v>202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-50</v>
      </c>
      <c r="AM66" s="5">
        <v>30</v>
      </c>
      <c r="AN66" s="5">
        <v>50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209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>INDEX(B:B,MATCH(31000,B:B,0),1)+(ROW()-MATCH(31000,B:B,0))</f>
        <v>31021</v>
      </c>
      <c r="C67" s="3" t="s">
        <v>223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110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70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60</v>
      </c>
      <c r="AD67" s="5" t="s">
        <v>23</v>
      </c>
      <c r="AE67" s="5" t="s">
        <v>66</v>
      </c>
      <c r="AF67" s="5" t="s">
        <v>27</v>
      </c>
      <c r="AG67" s="5" t="s">
        <v>39</v>
      </c>
      <c r="AH67" s="5" t="s">
        <v>131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7</v>
      </c>
      <c r="AN67" s="5">
        <v>20</v>
      </c>
      <c r="AO67" s="5">
        <v>20</v>
      </c>
      <c r="AP67" s="5">
        <v>30</v>
      </c>
      <c r="AQ67" s="5">
        <v>30</v>
      </c>
      <c r="AR67" s="5">
        <v>0</v>
      </c>
      <c r="AS67" s="5">
        <v>0</v>
      </c>
      <c r="AT67" s="5">
        <v>0</v>
      </c>
      <c r="AU67" s="5">
        <v>0</v>
      </c>
      <c r="AV67" s="4" t="s">
        <v>86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>INDEX(B:B,MATCH(31000,B:B,0),1)+(ROW()-MATCH(31000,B:B,0))</f>
        <v>31022</v>
      </c>
      <c r="C68" s="3" t="s">
        <v>7</v>
      </c>
      <c r="D68" s="3" t="s">
        <v>7</v>
      </c>
      <c r="E68" s="3">
        <v>0</v>
      </c>
      <c r="F68" s="3">
        <v>0</v>
      </c>
      <c r="G68" s="3">
        <v>80</v>
      </c>
      <c r="H68" s="3">
        <v>0</v>
      </c>
      <c r="I68" s="3">
        <v>0</v>
      </c>
      <c r="J68" s="3">
        <v>90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90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61</v>
      </c>
      <c r="AD68" s="5" t="s">
        <v>62</v>
      </c>
      <c r="AE68" s="5" t="s">
        <v>57</v>
      </c>
      <c r="AF68" s="5" t="s">
        <v>23</v>
      </c>
      <c r="AG68" s="5" t="s">
        <v>39</v>
      </c>
      <c r="AH68" s="5" t="s">
        <v>66</v>
      </c>
      <c r="AI68" s="5" t="s">
        <v>27</v>
      </c>
      <c r="AJ68" s="5" t="s">
        <v>131</v>
      </c>
      <c r="AK68" s="5" t="s">
        <v>7</v>
      </c>
      <c r="AL68" s="5">
        <v>20</v>
      </c>
      <c r="AM68" s="5">
        <v>20</v>
      </c>
      <c r="AN68" s="5">
        <v>10</v>
      </c>
      <c r="AO68" s="5">
        <v>10</v>
      </c>
      <c r="AP68" s="5">
        <v>30</v>
      </c>
      <c r="AQ68" s="5">
        <v>20</v>
      </c>
      <c r="AR68" s="5">
        <v>20</v>
      </c>
      <c r="AS68" s="5">
        <v>30</v>
      </c>
      <c r="AT68" s="5">
        <v>0</v>
      </c>
      <c r="AU68" s="5">
        <v>0</v>
      </c>
      <c r="AV68" s="4" t="s">
        <v>44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>INDEX(B:B,MATCH(31000,B:B,0),1)+(ROW()-MATCH(31000,B:B,0))</f>
        <v>31023</v>
      </c>
      <c r="C69" s="3" t="s">
        <v>7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130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63</v>
      </c>
      <c r="AD69" s="5" t="s">
        <v>67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100</v>
      </c>
      <c r="AM69" s="5">
        <v>70</v>
      </c>
      <c r="AN69" s="5">
        <v>20</v>
      </c>
      <c r="AO69" s="5">
        <v>20</v>
      </c>
      <c r="AP69" s="5">
        <v>20</v>
      </c>
      <c r="AQ69" s="5">
        <v>30</v>
      </c>
      <c r="AR69" s="5">
        <v>30</v>
      </c>
      <c r="AS69" s="5">
        <v>0</v>
      </c>
      <c r="AT69" s="5">
        <v>0</v>
      </c>
      <c r="AU69" s="5">
        <v>0</v>
      </c>
      <c r="AV69" s="4" t="s">
        <v>45</v>
      </c>
      <c r="AW69" s="5">
        <v>0</v>
      </c>
      <c r="AX69" s="5">
        <v>1</v>
      </c>
    </row>
    <row r="70" spans="1:50" s="9" customFormat="1" ht="15.75" customHeight="1" x14ac:dyDescent="0.2">
      <c r="A70" s="6">
        <f t="shared" si="1"/>
        <v>30068</v>
      </c>
      <c r="B70" s="6">
        <v>32000</v>
      </c>
      <c r="C70" s="6" t="s">
        <v>314</v>
      </c>
      <c r="D70" s="6" t="s">
        <v>7</v>
      </c>
      <c r="E70" s="6">
        <v>30</v>
      </c>
      <c r="F70" s="6">
        <v>0</v>
      </c>
      <c r="G70" s="6">
        <v>80</v>
      </c>
      <c r="H70" s="6">
        <v>200</v>
      </c>
      <c r="I70" s="6">
        <v>0</v>
      </c>
      <c r="J70" s="6">
        <v>0</v>
      </c>
      <c r="K70" s="6">
        <v>0</v>
      </c>
      <c r="L70" s="6">
        <v>100</v>
      </c>
      <c r="M70" s="6">
        <v>0</v>
      </c>
      <c r="N70" s="6">
        <v>0</v>
      </c>
      <c r="O70" s="6">
        <v>0</v>
      </c>
      <c r="P70" s="6">
        <v>0</v>
      </c>
      <c r="Q70" s="6">
        <v>70</v>
      </c>
      <c r="R70" s="6">
        <v>0</v>
      </c>
      <c r="S70" s="6">
        <v>30</v>
      </c>
      <c r="T70" s="6">
        <v>30</v>
      </c>
      <c r="U70" s="6">
        <v>30</v>
      </c>
      <c r="V70" s="6">
        <v>30</v>
      </c>
      <c r="W70" s="6">
        <v>30</v>
      </c>
      <c r="X70" s="6">
        <v>30</v>
      </c>
      <c r="Y70" s="6">
        <v>30</v>
      </c>
      <c r="Z70" s="6">
        <v>30</v>
      </c>
      <c r="AA70" s="6">
        <v>30</v>
      </c>
      <c r="AB70" s="6">
        <v>30</v>
      </c>
      <c r="AC70" s="7" t="s">
        <v>70</v>
      </c>
      <c r="AD70" s="7" t="s">
        <v>7</v>
      </c>
      <c r="AE70" s="7" t="s">
        <v>7</v>
      </c>
      <c r="AF70" s="7" t="s">
        <v>7</v>
      </c>
      <c r="AG70" s="7" t="s">
        <v>7</v>
      </c>
      <c r="AH70" s="7" t="s">
        <v>7</v>
      </c>
      <c r="AI70" s="7" t="s">
        <v>7</v>
      </c>
      <c r="AJ70" s="7" t="s">
        <v>7</v>
      </c>
      <c r="AK70" s="7" t="s">
        <v>7</v>
      </c>
      <c r="AL70" s="7">
        <v>20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8" t="s">
        <v>147</v>
      </c>
      <c r="AW70" s="7">
        <v>0</v>
      </c>
      <c r="AX70" s="7">
        <v>0</v>
      </c>
    </row>
    <row r="71" spans="1:50" ht="15.75" customHeight="1" x14ac:dyDescent="0.2">
      <c r="A71" s="3">
        <f t="shared" si="1"/>
        <v>30069</v>
      </c>
      <c r="B71" s="3">
        <f>INDEX(B:B,MATCH(32000,B:B,0),1)+(ROW()-MATCH(32000,B:B,0))</f>
        <v>32001</v>
      </c>
      <c r="C71" s="3" t="s">
        <v>7</v>
      </c>
      <c r="D71" s="3" t="s">
        <v>7</v>
      </c>
      <c r="E71" s="3">
        <v>30</v>
      </c>
      <c r="F71" s="3">
        <v>0</v>
      </c>
      <c r="G71" s="3">
        <v>80</v>
      </c>
      <c r="H71" s="3">
        <v>200</v>
      </c>
      <c r="I71" s="3">
        <v>0</v>
      </c>
      <c r="J71" s="3">
        <v>0</v>
      </c>
      <c r="K71" s="3">
        <v>0</v>
      </c>
      <c r="L71" s="3">
        <v>100</v>
      </c>
      <c r="M71" s="3">
        <v>0</v>
      </c>
      <c r="N71" s="3">
        <v>0</v>
      </c>
      <c r="O71" s="3">
        <v>0</v>
      </c>
      <c r="P71" s="3">
        <v>0</v>
      </c>
      <c r="Q71" s="3">
        <v>90</v>
      </c>
      <c r="R71" s="3">
        <v>0</v>
      </c>
      <c r="S71" s="3">
        <v>30</v>
      </c>
      <c r="T71" s="3">
        <v>30</v>
      </c>
      <c r="U71" s="3">
        <v>30</v>
      </c>
      <c r="V71" s="3">
        <v>30</v>
      </c>
      <c r="W71" s="3">
        <v>30</v>
      </c>
      <c r="X71" s="3">
        <v>30</v>
      </c>
      <c r="Y71" s="3">
        <v>30</v>
      </c>
      <c r="Z71" s="3">
        <v>30</v>
      </c>
      <c r="AA71" s="3">
        <v>30</v>
      </c>
      <c r="AB71" s="3">
        <v>30</v>
      </c>
      <c r="AC71" s="5" t="s">
        <v>70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20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149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>INDEX(B:B,MATCH(32000,B:B,0),1)+(ROW()-MATCH(32000,B:B,0))</f>
        <v>32002</v>
      </c>
      <c r="C72" s="3" t="s">
        <v>7</v>
      </c>
      <c r="D72" s="3" t="s">
        <v>7</v>
      </c>
      <c r="E72" s="3">
        <v>30</v>
      </c>
      <c r="F72" s="3">
        <v>0</v>
      </c>
      <c r="G72" s="3">
        <v>80</v>
      </c>
      <c r="H72" s="3">
        <v>200</v>
      </c>
      <c r="I72" s="3">
        <v>0</v>
      </c>
      <c r="J72" s="3">
        <v>0</v>
      </c>
      <c r="K72" s="3">
        <v>0</v>
      </c>
      <c r="L72" s="3">
        <v>100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30</v>
      </c>
      <c r="T72" s="3">
        <v>30</v>
      </c>
      <c r="U72" s="3">
        <v>30</v>
      </c>
      <c r="V72" s="3">
        <v>30</v>
      </c>
      <c r="W72" s="3">
        <v>30</v>
      </c>
      <c r="X72" s="3">
        <v>30</v>
      </c>
      <c r="Y72" s="3">
        <v>30</v>
      </c>
      <c r="Z72" s="3">
        <v>30</v>
      </c>
      <c r="AA72" s="3">
        <v>30</v>
      </c>
      <c r="AB72" s="3">
        <v>30</v>
      </c>
      <c r="AC72" s="5" t="s">
        <v>70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20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150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>INDEX(B:B,MATCH(32000,B:B,0),1)+(ROW()-MATCH(32000,B:B,0))</f>
        <v>32003</v>
      </c>
      <c r="C73" s="3" t="s">
        <v>7</v>
      </c>
      <c r="D73" s="3" t="s">
        <v>317</v>
      </c>
      <c r="E73" s="3">
        <v>0</v>
      </c>
      <c r="F73" s="3">
        <v>0</v>
      </c>
      <c r="G73" s="3">
        <v>100</v>
      </c>
      <c r="H73" s="3">
        <v>0</v>
      </c>
      <c r="I73" s="3">
        <v>0</v>
      </c>
      <c r="J73" s="3">
        <v>0</v>
      </c>
      <c r="K73" s="3">
        <v>0</v>
      </c>
      <c r="L73" s="3">
        <v>80</v>
      </c>
      <c r="M73" s="3">
        <v>0</v>
      </c>
      <c r="N73" s="3">
        <v>0</v>
      </c>
      <c r="O73" s="3">
        <v>0</v>
      </c>
      <c r="P73" s="3">
        <v>0</v>
      </c>
      <c r="Q73" s="3">
        <v>100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70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25</v>
      </c>
      <c r="AM73" s="5">
        <v>20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274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>INDEX(B:B,MATCH(32000,B:B,0),1)+(ROW()-MATCH(32000,B:B,0))</f>
        <v>32004</v>
      </c>
      <c r="C74" s="3" t="s">
        <v>7</v>
      </c>
      <c r="D74" s="3" t="s">
        <v>7</v>
      </c>
      <c r="E74" s="3">
        <v>0</v>
      </c>
      <c r="F74" s="3">
        <v>0</v>
      </c>
      <c r="G74" s="3">
        <v>100</v>
      </c>
      <c r="H74" s="3">
        <v>0</v>
      </c>
      <c r="I74" s="3">
        <v>0</v>
      </c>
      <c r="J74" s="3">
        <v>0</v>
      </c>
      <c r="K74" s="3">
        <v>0</v>
      </c>
      <c r="L74" s="3">
        <v>80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70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25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274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>INDEX(B:B,MATCH(32000,B:B,0),1)+(ROW()-MATCH(32000,B:B,0))</f>
        <v>32005</v>
      </c>
      <c r="C75" s="3" t="s">
        <v>7</v>
      </c>
      <c r="D75" s="3" t="s">
        <v>7</v>
      </c>
      <c r="E75" s="3">
        <v>0</v>
      </c>
      <c r="F75" s="3">
        <v>0</v>
      </c>
      <c r="G75" s="3">
        <v>100</v>
      </c>
      <c r="H75" s="3">
        <v>0</v>
      </c>
      <c r="I75" s="3">
        <v>0</v>
      </c>
      <c r="J75" s="3">
        <v>0</v>
      </c>
      <c r="K75" s="3">
        <v>0</v>
      </c>
      <c r="L75" s="3">
        <v>80</v>
      </c>
      <c r="M75" s="3">
        <v>0</v>
      </c>
      <c r="N75" s="3">
        <v>0</v>
      </c>
      <c r="O75" s="3">
        <v>0</v>
      </c>
      <c r="P75" s="3">
        <v>0</v>
      </c>
      <c r="Q75" s="3">
        <v>100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70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25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274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>INDEX(B:B,MATCH(32000,B:B,0),1)+(ROW()-MATCH(32000,B:B,0))</f>
        <v>32006</v>
      </c>
      <c r="C76" s="3" t="s">
        <v>7</v>
      </c>
      <c r="D76" s="3" t="s">
        <v>316</v>
      </c>
      <c r="E76" s="3">
        <v>0</v>
      </c>
      <c r="F76" s="3">
        <v>0</v>
      </c>
      <c r="G76" s="3">
        <v>60</v>
      </c>
      <c r="H76" s="3">
        <v>0</v>
      </c>
      <c r="I76" s="3">
        <v>0</v>
      </c>
      <c r="J76" s="3">
        <v>0</v>
      </c>
      <c r="K76" s="3">
        <v>0</v>
      </c>
      <c r="L76" s="3">
        <v>50</v>
      </c>
      <c r="M76" s="3">
        <v>50</v>
      </c>
      <c r="N76" s="3">
        <v>0</v>
      </c>
      <c r="O76" s="3">
        <v>0</v>
      </c>
      <c r="P76" s="3">
        <v>0</v>
      </c>
      <c r="Q76" s="3">
        <v>100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25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274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>INDEX(B:B,MATCH(32000,B:B,0),1)+(ROW()-MATCH(32000,B:B,0))</f>
        <v>32007</v>
      </c>
      <c r="C77" s="3" t="s">
        <v>7</v>
      </c>
      <c r="D77" s="3" t="s">
        <v>7</v>
      </c>
      <c r="E77" s="3">
        <v>0</v>
      </c>
      <c r="F77" s="3">
        <v>0</v>
      </c>
      <c r="G77" s="3">
        <v>60</v>
      </c>
      <c r="H77" s="3">
        <v>0</v>
      </c>
      <c r="I77" s="3">
        <v>0</v>
      </c>
      <c r="J77" s="3">
        <v>0</v>
      </c>
      <c r="K77" s="3">
        <v>0</v>
      </c>
      <c r="L77" s="3">
        <v>50</v>
      </c>
      <c r="M77" s="3">
        <v>50</v>
      </c>
      <c r="N77" s="3">
        <v>0</v>
      </c>
      <c r="O77" s="3">
        <v>0</v>
      </c>
      <c r="P77" s="3">
        <v>0</v>
      </c>
      <c r="Q77" s="3">
        <v>100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25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274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>INDEX(B:B,MATCH(32000,B:B,0),1)+(ROW()-MATCH(32000,B:B,0))</f>
        <v>32008</v>
      </c>
      <c r="C78" s="3" t="s">
        <v>7</v>
      </c>
      <c r="D78" s="3" t="s">
        <v>7</v>
      </c>
      <c r="E78" s="3">
        <v>0</v>
      </c>
      <c r="F78" s="3">
        <v>0</v>
      </c>
      <c r="G78" s="3">
        <v>60</v>
      </c>
      <c r="H78" s="3">
        <v>0</v>
      </c>
      <c r="I78" s="3">
        <v>0</v>
      </c>
      <c r="J78" s="3">
        <v>0</v>
      </c>
      <c r="K78" s="3">
        <v>0</v>
      </c>
      <c r="L78" s="3">
        <v>50</v>
      </c>
      <c r="M78" s="3">
        <v>50</v>
      </c>
      <c r="N78" s="3">
        <v>0</v>
      </c>
      <c r="O78" s="3">
        <v>0</v>
      </c>
      <c r="P78" s="3">
        <v>0</v>
      </c>
      <c r="Q78" s="3">
        <v>100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25</v>
      </c>
      <c r="AM78" s="5">
        <v>20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274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>INDEX(B:B,MATCH(32000,B:B,0),1)+(ROW()-MATCH(32000,B:B,0))</f>
        <v>32009</v>
      </c>
      <c r="C79" s="3" t="s">
        <v>7</v>
      </c>
      <c r="D79" s="3" t="s">
        <v>315</v>
      </c>
      <c r="E79" s="3">
        <v>0</v>
      </c>
      <c r="F79" s="3">
        <v>0</v>
      </c>
      <c r="G79" s="3">
        <v>100</v>
      </c>
      <c r="H79" s="3">
        <v>0</v>
      </c>
      <c r="I79" s="3">
        <v>0</v>
      </c>
      <c r="J79" s="3">
        <v>0</v>
      </c>
      <c r="K79" s="3">
        <v>0</v>
      </c>
      <c r="L79" s="3">
        <v>50</v>
      </c>
      <c r="M79" s="3">
        <v>0</v>
      </c>
      <c r="N79" s="3">
        <v>0</v>
      </c>
      <c r="O79" s="3">
        <v>0</v>
      </c>
      <c r="P79" s="3">
        <v>0</v>
      </c>
      <c r="Q79" s="3">
        <v>100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70</v>
      </c>
      <c r="AD79" s="5" t="s">
        <v>22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274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>INDEX(B:B,MATCH(32000,B:B,0),1)+(ROW()-MATCH(32000,B:B,0))</f>
        <v>32010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0</v>
      </c>
      <c r="J80" s="3">
        <v>0</v>
      </c>
      <c r="K80" s="3">
        <v>0</v>
      </c>
      <c r="L80" s="3">
        <v>50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22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274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>INDEX(B:B,MATCH(32000,B:B,0),1)+(ROW()-MATCH(32000,B:B,0))</f>
        <v>32011</v>
      </c>
      <c r="C81" s="3" t="s">
        <v>7</v>
      </c>
      <c r="D81" s="3" t="s">
        <v>7</v>
      </c>
      <c r="E81" s="3">
        <v>0</v>
      </c>
      <c r="F81" s="3">
        <v>0</v>
      </c>
      <c r="G81" s="3">
        <v>100</v>
      </c>
      <c r="H81" s="3">
        <v>0</v>
      </c>
      <c r="I81" s="3">
        <v>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22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274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>INDEX(B:B,MATCH(32000,B:B,0),1)+(ROW()-MATCH(32000,B:B,0))</f>
        <v>32012</v>
      </c>
      <c r="C82" s="3" t="s">
        <v>223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>INDEX(B:B,MATCH(32000,B:B,0),1)+(ROW()-MATCH(32000,B:B,0))</f>
        <v>32013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>INDEX(B:B,MATCH(32000,B:B,0),1)+(ROW()-MATCH(32000,B:B,0))</f>
        <v>32014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32" activePane="bottomLeft" state="frozen"/>
      <selection activeCell="D1" sqref="D1"/>
      <selection pane="bottomLeft" activeCell="A44" sqref="A44:XFD4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ROW()-2+40000</f>
        <v>40000</v>
      </c>
      <c r="B2" s="6">
        <v>40000</v>
      </c>
      <c r="C2" s="6" t="s">
        <v>318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ROW()-2+40000</f>
        <v>40001</v>
      </c>
      <c r="B3" s="3">
        <f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ROW()-2+40000</f>
        <v>40002</v>
      </c>
      <c r="B4" s="3">
        <f>INDEX(B:B,MATCH(40000,B:B,0),1)+(ROW()-MATCH(40000,B:B,0))</f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40003</v>
      </c>
      <c r="B5" s="3">
        <f>INDEX(B:B,MATCH(40000,B:B,0),1)+(ROW()-MATCH(40000,B:B,0))</f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40004</v>
      </c>
      <c r="B6" s="3">
        <f>INDEX(B:B,MATCH(40000,B:B,0),1)+(ROW()-MATCH(40000,B:B,0))</f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40005</v>
      </c>
      <c r="B7" s="3">
        <f>INDEX(B:B,MATCH(40000,B:B,0),1)+(ROW()-MATCH(40000,B:B,0))</f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40006</v>
      </c>
      <c r="B8" s="3">
        <f>INDEX(B:B,MATCH(40000,B:B,0),1)+(ROW()-MATCH(40000,B:B,0))</f>
        <v>40006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40007</v>
      </c>
      <c r="B9" s="3">
        <f>INDEX(B:B,MATCH(40000,B:B,0),1)+(ROW()-MATCH(40000,B:B,0))</f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40008</v>
      </c>
      <c r="B10" s="3">
        <f>INDEX(B:B,MATCH(40000,B:B,0),1)+(ROW()-MATCH(40000,B:B,0))</f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319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1">ROW()-2+40000</f>
        <v>40010</v>
      </c>
      <c r="B12" s="3">
        <f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40011</v>
      </c>
      <c r="B13" s="3">
        <f>INDEX(B:B,MATCH(41000,B:B,0),1)+(ROW()-MATCH(41000,B:B,0))</f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1"/>
        <v>40012</v>
      </c>
      <c r="B14" s="3">
        <f>INDEX(B:B,MATCH(41000,B:B,0),1)+(ROW()-MATCH(41000,B:B,0))</f>
        <v>41003</v>
      </c>
      <c r="C14" s="3" t="s">
        <v>184</v>
      </c>
      <c r="D14" s="3" t="s">
        <v>7</v>
      </c>
      <c r="E14" s="3">
        <v>30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70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40013</v>
      </c>
      <c r="B15" s="3">
        <f>INDEX(B:B,MATCH(41000,B:B,0),1)+(ROW()-MATCH(41000,B:B,0))</f>
        <v>41004</v>
      </c>
      <c r="C15" s="3" t="s">
        <v>7</v>
      </c>
      <c r="D15" s="3" t="s">
        <v>7</v>
      </c>
      <c r="E15" s="3">
        <v>30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70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40014</v>
      </c>
      <c r="B16" s="3">
        <f>INDEX(B:B,MATCH(41000,B:B,0),1)+(ROW()-MATCH(41000,B:B,0))</f>
        <v>41005</v>
      </c>
      <c r="C16" s="3" t="s">
        <v>7</v>
      </c>
      <c r="D16" s="3" t="s">
        <v>7</v>
      </c>
      <c r="E16" s="3">
        <v>30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70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40015</v>
      </c>
      <c r="B17" s="3">
        <f>INDEX(B:B,MATCH(41000,B:B,0),1)+(ROW()-MATCH(41000,B:B,0))</f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110</v>
      </c>
      <c r="H17" s="3">
        <v>80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100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40016</v>
      </c>
      <c r="B18" s="3">
        <f>INDEX(B:B,MATCH(41000,B:B,0),1)+(ROW()-MATCH(41000,B:B,0))</f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80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40017</v>
      </c>
      <c r="B19" s="3">
        <f>INDEX(B:B,MATCH(41000,B:B,0),1)+(ROW()-MATCH(41000,B:B,0))</f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80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40018</v>
      </c>
      <c r="B20" s="3">
        <f>INDEX(B:B,MATCH(41000,B:B,0),1)+(ROW()-MATCH(41000,B:B,0))</f>
        <v>41009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40019</v>
      </c>
      <c r="B21" s="3">
        <f>INDEX(B:B,MATCH(41000,B:B,0),1)+(ROW()-MATCH(41000,B:B,0))</f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40020</v>
      </c>
      <c r="B22" s="3">
        <f>INDEX(B:B,MATCH(41000,B:B,0),1)+(ROW()-MATCH(41000,B:B,0))</f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320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2">ROW()-2+40000</f>
        <v>40022</v>
      </c>
      <c r="B24" s="3">
        <f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2"/>
        <v>40023</v>
      </c>
      <c r="B25" s="3">
        <f>INDEX(B:B,MATCH(42000,B:B,0),1)+(ROW()-MATCH(42000,B:B,0))</f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2"/>
        <v>40024</v>
      </c>
      <c r="B26" s="3">
        <f>INDEX(B:B,MATCH(42000,B:B,0),1)+(ROW()-MATCH(42000,B:B,0))</f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2"/>
        <v>40025</v>
      </c>
      <c r="B27" s="3">
        <f>INDEX(B:B,MATCH(42000,B:B,0),1)+(ROW()-MATCH(42000,B:B,0))</f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2"/>
        <v>40026</v>
      </c>
      <c r="B28" s="3">
        <f>INDEX(B:B,MATCH(42000,B:B,0),1)+(ROW()-MATCH(42000,B:B,0))</f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2"/>
        <v>40027</v>
      </c>
      <c r="B29" s="3">
        <f>INDEX(B:B,MATCH(42000,B:B,0),1)+(ROW()-MATCH(42000,B:B,0))</f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2"/>
        <v>40028</v>
      </c>
      <c r="B30" s="3">
        <f>INDEX(B:B,MATCH(42000,B:B,0),1)+(ROW()-MATCH(42000,B:B,0))</f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2"/>
        <v>40029</v>
      </c>
      <c r="B31" s="3">
        <f>INDEX(B:B,MATCH(42000,B:B,0),1)+(ROW()-MATCH(42000,B:B,0))</f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2"/>
        <v>40030</v>
      </c>
      <c r="B32" s="3">
        <f t="shared" ref="B32:B34" si="3">INDEX(B:B,MATCH(42000,B:B,0),1)+(ROW()-MATCH(42000,B:B,0))</f>
        <v>42009</v>
      </c>
      <c r="C32" s="3" t="s">
        <v>221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2"/>
        <v>40031</v>
      </c>
      <c r="B33" s="3">
        <f t="shared" si="3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2"/>
        <v>40032</v>
      </c>
      <c r="B34" s="3">
        <f t="shared" si="3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2"/>
        <v>40033</v>
      </c>
      <c r="B35" s="3">
        <f>INDEX(B:B,MATCH(42000,B:B,0),1)+(ROW()-MATCH(42000,B:B,0))</f>
        <v>42012</v>
      </c>
      <c r="C35" s="3" t="s">
        <v>233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2"/>
        <v>40034</v>
      </c>
      <c r="B36" s="3">
        <f>INDEX(B:B,MATCH(42000,B:B,0),1)+(ROW()-MATCH(42000,B:B,0))</f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2"/>
        <v>40035</v>
      </c>
      <c r="B37" s="3">
        <f>INDEX(B:B,MATCH(42000,B:B,0),1)+(ROW()-MATCH(42000,B:B,0))</f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2"/>
        <v>40036</v>
      </c>
      <c r="B38" s="3">
        <f>INDEX(B:B,MATCH(42000,B:B,0),1)+(ROW()-MATCH(42000,B:B,0))</f>
        <v>42015</v>
      </c>
      <c r="C38" s="3" t="s">
        <v>228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229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2"/>
        <v>40037</v>
      </c>
      <c r="B39" s="3">
        <f>INDEX(B:B,MATCH(42000,B:B,0),1)+(ROW()-MATCH(42000,B:B,0))</f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229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2"/>
        <v>40038</v>
      </c>
      <c r="B40" s="3">
        <f>INDEX(B:B,MATCH(42000,B:B,0),1)+(ROW()-MATCH(42000,B:B,0))</f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229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2"/>
        <v>40039</v>
      </c>
      <c r="B41" s="3">
        <f>INDEX(B:B,MATCH(42000,B:B,0),1)+(ROW()-MATCH(42000,B:B,0))</f>
        <v>42018</v>
      </c>
      <c r="C41" s="3" t="s">
        <v>234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222</v>
      </c>
      <c r="AW41" s="5">
        <v>0</v>
      </c>
      <c r="AX41" s="5">
        <v>0</v>
      </c>
    </row>
    <row r="42" spans="1:50" ht="15.75" customHeight="1" x14ac:dyDescent="0.2">
      <c r="A42" s="3">
        <f t="shared" si="2"/>
        <v>40040</v>
      </c>
      <c r="B42" s="3">
        <f>INDEX(B:B,MATCH(42000,B:B,0),1)+(ROW()-MATCH(42000,B:B,0))</f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222</v>
      </c>
      <c r="AW42" s="5">
        <v>0</v>
      </c>
      <c r="AX42" s="5">
        <v>0</v>
      </c>
    </row>
    <row r="43" spans="1:50" ht="15.75" customHeight="1" x14ac:dyDescent="0.2">
      <c r="A43" s="3">
        <f t="shared" si="2"/>
        <v>40041</v>
      </c>
      <c r="B43" s="3">
        <f>INDEX(B:B,MATCH(42000,B:B,0),1)+(ROW()-MATCH(42000,B:B,0))</f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2"/>
        <v>40042</v>
      </c>
      <c r="B44" s="3">
        <f>INDEX(B:B,MATCH(42000,B:B,0),1)+(ROW()-MATCH(42000,B:B,0))</f>
        <v>42021</v>
      </c>
      <c r="C44" s="3" t="s">
        <v>230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2"/>
        <v>40043</v>
      </c>
      <c r="B45" s="3">
        <f>INDEX(B:B,MATCH(42000,B:B,0),1)+(ROW()-MATCH(42000,B:B,0))</f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2"/>
        <v>40044</v>
      </c>
      <c r="B46" s="3">
        <f>INDEX(B:B,MATCH(42000,B:B,0),1)+(ROW()-MATCH(42000,B:B,0))</f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2"/>
        <v>40045</v>
      </c>
      <c r="B47" s="3">
        <f>INDEX(B:B,MATCH(42000,B:B,0),1)+(ROW()-MATCH(42000,B:B,0))</f>
        <v>42024</v>
      </c>
      <c r="C47" s="3" t="s">
        <v>231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2"/>
        <v>40046</v>
      </c>
      <c r="B48" s="3">
        <f>INDEX(B:B,MATCH(42000,B:B,0),1)+(ROW()-MATCH(42000,B:B,0))</f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2"/>
        <v>40047</v>
      </c>
      <c r="B49" s="3">
        <f>INDEX(B:B,MATCH(42000,B:B,0),1)+(ROW()-MATCH(42000,B:B,0))</f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2"/>
        <v>40048</v>
      </c>
      <c r="B50" s="3">
        <f>INDEX(B:B,MATCH(42000,B:B,0),1)+(ROW()-MATCH(42000,B:B,0))</f>
        <v>42027</v>
      </c>
      <c r="C50" s="3" t="s">
        <v>232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2"/>
        <v>40049</v>
      </c>
      <c r="B51" s="3">
        <f>INDEX(B:B,MATCH(42000,B:B,0),1)+(ROW()-MATCH(42000,B:B,0))</f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2"/>
        <v>40050</v>
      </c>
      <c r="B52" s="3">
        <f>INDEX(B:B,MATCH(42000,B:B,0),1)+(ROW()-MATCH(42000,B:B,0))</f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2"/>
        <v>40051</v>
      </c>
      <c r="B53" s="3">
        <f>INDEX(B:B,MATCH(42000,B:B,0),1)+(ROW()-MATCH(42000,B:B,0))</f>
        <v>42030</v>
      </c>
      <c r="C53" s="3" t="s">
        <v>267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2"/>
        <v>40052</v>
      </c>
      <c r="B54" s="3">
        <f>INDEX(B:B,MATCH(42000,B:B,0),1)+(ROW()-MATCH(42000,B:B,0))</f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2"/>
        <v>40053</v>
      </c>
      <c r="B55" s="3">
        <f>INDEX(B:B,MATCH(42000,B:B,0),1)+(ROW()-MATCH(42000,B:B,0))</f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2"/>
        <v>40054</v>
      </c>
      <c r="B56" s="3">
        <f>INDEX(B:B,MATCH(42000,B:B,0),1)+(ROW()-MATCH(42000,B:B,0))</f>
        <v>42033</v>
      </c>
      <c r="C56" s="3" t="s">
        <v>248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2"/>
        <v>40055</v>
      </c>
      <c r="B57" s="3">
        <f>INDEX(B:B,MATCH(42000,B:B,0),1)+(ROW()-MATCH(42000,B:B,0))</f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2"/>
        <v>40056</v>
      </c>
      <c r="B58" s="3">
        <f>INDEX(B:B,MATCH(42000,B:B,0),1)+(ROW()-MATCH(42000,B:B,0))</f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2"/>
        <v>40057</v>
      </c>
      <c r="B59" s="3">
        <f>INDEX(B:B,MATCH(42000,B:B,0),1)+(ROW()-MATCH(42000,B:B,0))</f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2"/>
        <v>40058</v>
      </c>
      <c r="B60" s="3">
        <f>INDEX(B:B,MATCH(42000,B:B,0),1)+(ROW()-MATCH(42000,B:B,0))</f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2"/>
        <v>40059</v>
      </c>
      <c r="B61" s="3">
        <f>INDEX(B:B,MATCH(42000,B:B,0),1)+(ROW()-MATCH(42000,B:B,0))</f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2"/>
        <v>40060</v>
      </c>
      <c r="B62" s="3">
        <f>INDEX(B:B,MATCH(42000,B:B,0),1)+(ROW()-MATCH(42000,B:B,0))</f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2"/>
        <v>40061</v>
      </c>
      <c r="B63" s="3">
        <f>INDEX(B:B,MATCH(42000,B:B,0),1)+(ROW()-MATCH(42000,B:B,0))</f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2"/>
        <v>40062</v>
      </c>
      <c r="B64" s="3">
        <f>INDEX(B:B,MATCH(42000,B:B,0),1)+(ROW()-MATCH(42000,B:B,0))</f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2"/>
        <v>40063</v>
      </c>
      <c r="B65" s="3">
        <f>INDEX(B:B,MATCH(42000,B:B,0),1)+(ROW()-MATCH(42000,B:B,0))</f>
        <v>42042</v>
      </c>
      <c r="C65" s="3" t="s">
        <v>223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2"/>
        <v>40064</v>
      </c>
      <c r="B66" s="3">
        <f>INDEX(B:B,MATCH(42000,B:B,0),1)+(ROW()-MATCH(42000,B:B,0))</f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2"/>
        <v>40065</v>
      </c>
      <c r="B67" s="3">
        <f>INDEX(B:B,MATCH(42000,B:B,0),1)+(ROW()-MATCH(42000,B:B,0))</f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S20" sqref="S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ROW()-2+50000</f>
        <v>50000</v>
      </c>
      <c r="B2" s="6">
        <v>50000</v>
      </c>
      <c r="C2" s="6" t="s">
        <v>323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ROW()-2+50000</f>
        <v>50001</v>
      </c>
      <c r="B3" s="3">
        <f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ROW()-2+50000</f>
        <v>50002</v>
      </c>
      <c r="B4" s="3">
        <f>INDEX(B:B,MATCH(50000,B:B,0),1)+(ROW()-MATCH(50000,B:B,0))</f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50003</v>
      </c>
      <c r="B5" s="3">
        <f>INDEX(B:B,MATCH(50000,B:B,0),1)+(ROW()-MATCH(50000,B:B,0))</f>
        <v>50003</v>
      </c>
      <c r="C5" s="3" t="s">
        <v>230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50004</v>
      </c>
      <c r="B6" s="3">
        <f>INDEX(B:B,MATCH(50000,B:B,0),1)+(ROW()-MATCH(50000,B:B,0))</f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50005</v>
      </c>
      <c r="B7" s="3">
        <f>INDEX(B:B,MATCH(50000,B:B,0),1)+(ROW()-MATCH(50000,B:B,0))</f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50006</v>
      </c>
      <c r="B8" s="3">
        <f>INDEX(B:B,MATCH(50000,B:B,0),1)+(ROW()-MATCH(50000,B:B,0))</f>
        <v>50006</v>
      </c>
      <c r="C8" s="3" t="s">
        <v>231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50007</v>
      </c>
      <c r="B9" s="3">
        <f>INDEX(B:B,MATCH(50000,B:B,0),1)+(ROW()-MATCH(50000,B:B,0))</f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50008</v>
      </c>
      <c r="B10" s="3">
        <f>INDEX(B:B,MATCH(50000,B:B,0),1)+(ROW()-MATCH(50000,B:B,0))</f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50009</v>
      </c>
      <c r="B11" s="3">
        <f>INDEX(B:B,MATCH(50000,B:B,0),1)+(ROW()-MATCH(50000,B:B,0))</f>
        <v>50009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50010</v>
      </c>
      <c r="B12" s="3">
        <f>INDEX(B:B,MATCH(50000,B:B,0),1)+(ROW()-MATCH(50000,B:B,0))</f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50011</v>
      </c>
      <c r="B13" s="3">
        <f>INDEX(B:B,MATCH(50000,B:B,0),1)+(ROW()-MATCH(50000,B:B,0))</f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322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1">ROW()-2+50000</f>
        <v>50013</v>
      </c>
      <c r="B15" s="3">
        <f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1"/>
        <v>50014</v>
      </c>
      <c r="B16" s="3">
        <f>INDEX(B:B,MATCH(51000,B:B,0),1)+(ROW()-MATCH(51000,B:B,0))</f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1"/>
        <v>50015</v>
      </c>
      <c r="B17" s="3">
        <f>INDEX(B:B,MATCH(51000,B:B,0),1)+(ROW()-MATCH(51000,B:B,0))</f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50016</v>
      </c>
      <c r="B18" s="3">
        <f>INDEX(B:B,MATCH(51000,B:B,0),1)+(ROW()-MATCH(51000,B:B,0))</f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50017</v>
      </c>
      <c r="B19" s="3">
        <f>INDEX(B:B,MATCH(51000,B:B,0),1)+(ROW()-MATCH(51000,B:B,0))</f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1"/>
        <v>50018</v>
      </c>
      <c r="B20" s="3">
        <f>INDEX(B:B,MATCH(51000,B:B,0),1)+(ROW()-MATCH(51000,B:B,0))</f>
        <v>51006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50019</v>
      </c>
      <c r="B21" s="3">
        <f>INDEX(B:B,MATCH(51000,B:B,0),1)+(ROW()-MATCH(51000,B:B,0))</f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50020</v>
      </c>
      <c r="B22" s="3">
        <f>INDEX(B:B,MATCH(51000,B:B,0),1)+(ROW()-MATCH(51000,B:B,0))</f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20" customFormat="1" ht="15.75" customHeight="1" x14ac:dyDescent="0.2">
      <c r="A23" s="17">
        <f>ROW()-2+50000</f>
        <v>50021</v>
      </c>
      <c r="B23" s="17">
        <v>52000</v>
      </c>
      <c r="C23" s="17" t="s">
        <v>321</v>
      </c>
      <c r="D23" s="17" t="s">
        <v>7</v>
      </c>
      <c r="E23" s="17">
        <v>30</v>
      </c>
      <c r="F23" s="17">
        <v>0</v>
      </c>
      <c r="G23" s="17">
        <v>80</v>
      </c>
      <c r="H23" s="17">
        <v>200</v>
      </c>
      <c r="I23" s="17">
        <v>0</v>
      </c>
      <c r="J23" s="17">
        <v>0</v>
      </c>
      <c r="K23" s="17">
        <v>0</v>
      </c>
      <c r="L23" s="17">
        <v>100</v>
      </c>
      <c r="M23" s="17">
        <v>0</v>
      </c>
      <c r="N23" s="17">
        <v>0</v>
      </c>
      <c r="O23" s="17">
        <v>0</v>
      </c>
      <c r="P23" s="17">
        <v>0</v>
      </c>
      <c r="Q23" s="17">
        <v>70</v>
      </c>
      <c r="R23" s="17">
        <v>0</v>
      </c>
      <c r="S23" s="17">
        <v>30</v>
      </c>
      <c r="T23" s="17">
        <v>30</v>
      </c>
      <c r="U23" s="17">
        <v>30</v>
      </c>
      <c r="V23" s="17">
        <v>30</v>
      </c>
      <c r="W23" s="17">
        <v>30</v>
      </c>
      <c r="X23" s="17">
        <v>30</v>
      </c>
      <c r="Y23" s="17">
        <v>30</v>
      </c>
      <c r="Z23" s="17">
        <v>30</v>
      </c>
      <c r="AA23" s="17">
        <v>30</v>
      </c>
      <c r="AB23" s="17">
        <v>30</v>
      </c>
      <c r="AC23" s="18" t="s">
        <v>70</v>
      </c>
      <c r="AD23" s="18" t="s">
        <v>7</v>
      </c>
      <c r="AE23" s="18" t="s">
        <v>7</v>
      </c>
      <c r="AF23" s="18" t="s">
        <v>7</v>
      </c>
      <c r="AG23" s="18" t="s">
        <v>7</v>
      </c>
      <c r="AH23" s="18" t="s">
        <v>7</v>
      </c>
      <c r="AI23" s="18" t="s">
        <v>7</v>
      </c>
      <c r="AJ23" s="18" t="s">
        <v>7</v>
      </c>
      <c r="AK23" s="18" t="s">
        <v>7</v>
      </c>
      <c r="AL23" s="18">
        <v>20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9" t="s">
        <v>147</v>
      </c>
      <c r="AW23" s="18">
        <v>0</v>
      </c>
      <c r="AX23" s="18">
        <v>0</v>
      </c>
    </row>
    <row r="24" spans="1:50" ht="15.75" customHeight="1" x14ac:dyDescent="0.2">
      <c r="A24" s="3">
        <f t="shared" ref="A24:A28" si="2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2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2"/>
        <v>50024</v>
      </c>
      <c r="B26" s="3">
        <f>INDEX(B:B,MATCH(52000,B:B,0),1)+(ROW()-MATCH(52000,B:B,0))</f>
        <v>52003</v>
      </c>
      <c r="C26" s="3" t="s">
        <v>223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2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2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ROW()-2+100000</f>
        <v>100000</v>
      </c>
      <c r="B2" s="6">
        <v>100000</v>
      </c>
      <c r="C2" s="11" t="s">
        <v>203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20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20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20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218</v>
      </c>
      <c r="E8" s="3">
        <v>20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20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20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50</v>
      </c>
      <c r="K14" s="3">
        <v>0</v>
      </c>
      <c r="L14" s="3">
        <v>0</v>
      </c>
      <c r="M14" s="3">
        <v>100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50</v>
      </c>
      <c r="K15" s="3">
        <v>0</v>
      </c>
      <c r="L15" s="3">
        <v>0</v>
      </c>
      <c r="M15" s="3">
        <v>100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50</v>
      </c>
      <c r="K16" s="3">
        <v>0</v>
      </c>
      <c r="L16" s="3">
        <v>0</v>
      </c>
      <c r="M16" s="3">
        <v>150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ROW()-2+101000</f>
        <v>101000</v>
      </c>
      <c r="B2" s="6">
        <v>101000</v>
      </c>
      <c r="C2" s="11" t="s">
        <v>220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59" activePane="bottomLeft" state="frozen"/>
      <selection activeCell="D1" sqref="D1"/>
      <selection pane="bottomLeft" activeCell="A101" sqref="A101:XFD10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ROW()-2+102000</f>
        <v>102000</v>
      </c>
      <c r="B2" s="12">
        <v>102000</v>
      </c>
      <c r="C2" s="13" t="s">
        <v>219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ROW()-2+103000</f>
        <v>103000</v>
      </c>
      <c r="B2" s="6">
        <v>103000</v>
      </c>
      <c r="C2" s="11" t="s">
        <v>204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50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50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80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50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50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50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50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50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50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80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50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80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215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207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207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80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207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216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217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207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207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80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207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223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25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ROW()-2+104000</f>
        <v>104000</v>
      </c>
      <c r="B2" s="6">
        <v>104000</v>
      </c>
      <c r="C2" s="6" t="s">
        <v>205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ROW()-2+104000</f>
        <v>104001</v>
      </c>
      <c r="B3" s="3">
        <f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5" si="0">ROW()-2+104000</f>
        <v>104002</v>
      </c>
      <c r="B4" s="3">
        <f>INDEX(B:B,MATCH(104000,B:B,0),1)+(ROW()-MATCH(104000,B:B,0))</f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104003</v>
      </c>
      <c r="B5" s="3">
        <f>INDEX(B:B,MATCH(104000,B:B,0),1)+(ROW()-MATCH(104000,B:B,0))</f>
        <v>104003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104004</v>
      </c>
      <c r="B6" s="3">
        <f>INDEX(B:B,MATCH(104000,B:B,0),1)+(ROW()-MATCH(104000,B:B,0))</f>
        <v>104004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104005</v>
      </c>
      <c r="B7" s="3">
        <f>INDEX(B:B,MATCH(104000,B:B,0),1)+(ROW()-MATCH(104000,B:B,0))</f>
        <v>104005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104006</v>
      </c>
      <c r="B8" s="3">
        <f t="shared" ref="B8:B10" si="1">INDEX(B:B,MATCH(104000,B:B,0),1)+(ROW()-MATCH(104000,B:B,0))</f>
        <v>104006</v>
      </c>
      <c r="C8" s="3" t="s">
        <v>7</v>
      </c>
      <c r="D8" s="3" t="s">
        <v>218</v>
      </c>
      <c r="E8" s="3">
        <v>20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104007</v>
      </c>
      <c r="B9" s="3">
        <f t="shared" si="1"/>
        <v>104007</v>
      </c>
      <c r="C9" s="3" t="s">
        <v>7</v>
      </c>
      <c r="D9" s="3" t="s">
        <v>7</v>
      </c>
      <c r="E9" s="3">
        <v>20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104008</v>
      </c>
      <c r="B10" s="3">
        <f t="shared" si="1"/>
        <v>104008</v>
      </c>
      <c r="C10" s="3" t="s">
        <v>7</v>
      </c>
      <c r="D10" s="3" t="s">
        <v>7</v>
      </c>
      <c r="E10" s="3">
        <v>20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104009</v>
      </c>
      <c r="B11" s="3">
        <f t="shared" ref="B11:B25" si="2">INDEX(B:B,MATCH(104000,B:B,0),1)+(ROW()-MATCH(104000,B:B,0))</f>
        <v>104009</v>
      </c>
      <c r="C11" s="3" t="s">
        <v>7</v>
      </c>
      <c r="D11" s="3" t="s">
        <v>173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104010</v>
      </c>
      <c r="B12" s="3">
        <f t="shared" si="2"/>
        <v>104010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104011</v>
      </c>
      <c r="B13" s="3">
        <f t="shared" si="2"/>
        <v>104011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104012</v>
      </c>
      <c r="B14" s="3">
        <f t="shared" si="2"/>
        <v>104012</v>
      </c>
      <c r="C14" s="3" t="s">
        <v>7</v>
      </c>
      <c r="D14" s="3" t="s">
        <v>226</v>
      </c>
      <c r="E14" s="3">
        <v>50</v>
      </c>
      <c r="F14" s="3">
        <v>0</v>
      </c>
      <c r="G14" s="3">
        <v>88</v>
      </c>
      <c r="H14" s="3">
        <v>0</v>
      </c>
      <c r="I14" s="3">
        <v>20</v>
      </c>
      <c r="J14" s="3">
        <v>0</v>
      </c>
      <c r="K14" s="3">
        <v>0</v>
      </c>
      <c r="L14" s="3">
        <v>0</v>
      </c>
      <c r="M14" s="3">
        <v>50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66</v>
      </c>
      <c r="AD14" s="5" t="s">
        <v>82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225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104013</v>
      </c>
      <c r="B15" s="3">
        <f t="shared" si="2"/>
        <v>104013</v>
      </c>
      <c r="C15" s="3" t="s">
        <v>7</v>
      </c>
      <c r="D15" s="3" t="s">
        <v>7</v>
      </c>
      <c r="E15" s="3">
        <v>50</v>
      </c>
      <c r="F15" s="3">
        <v>0</v>
      </c>
      <c r="G15" s="3">
        <v>88</v>
      </c>
      <c r="H15" s="3">
        <v>0</v>
      </c>
      <c r="I15" s="3">
        <v>20</v>
      </c>
      <c r="J15" s="3">
        <v>0</v>
      </c>
      <c r="K15" s="3">
        <v>0</v>
      </c>
      <c r="L15" s="3">
        <v>0</v>
      </c>
      <c r="M15" s="3">
        <v>50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66</v>
      </c>
      <c r="AD15" s="5" t="s">
        <v>82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225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104014</v>
      </c>
      <c r="B16" s="3">
        <f t="shared" si="2"/>
        <v>104014</v>
      </c>
      <c r="C16" s="3" t="s">
        <v>7</v>
      </c>
      <c r="D16" s="3" t="s">
        <v>7</v>
      </c>
      <c r="E16" s="3">
        <v>50</v>
      </c>
      <c r="F16" s="3">
        <v>0</v>
      </c>
      <c r="G16" s="3">
        <v>88</v>
      </c>
      <c r="H16" s="3">
        <v>0</v>
      </c>
      <c r="I16" s="3">
        <v>20</v>
      </c>
      <c r="J16" s="3">
        <v>0</v>
      </c>
      <c r="K16" s="3">
        <v>0</v>
      </c>
      <c r="L16" s="3">
        <v>0</v>
      </c>
      <c r="M16" s="3">
        <v>70</v>
      </c>
      <c r="N16" s="3">
        <v>0</v>
      </c>
      <c r="O16" s="3">
        <v>0</v>
      </c>
      <c r="P16" s="3">
        <v>0</v>
      </c>
      <c r="Q16" s="3">
        <v>110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66</v>
      </c>
      <c r="AD16" s="5" t="s">
        <v>82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225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104015</v>
      </c>
      <c r="B17" s="3">
        <f t="shared" si="2"/>
        <v>104015</v>
      </c>
      <c r="C17" s="3" t="s">
        <v>7</v>
      </c>
      <c r="D17" s="3" t="s">
        <v>208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207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207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20</v>
      </c>
      <c r="I19" s="3">
        <v>30</v>
      </c>
      <c r="J19" s="3">
        <v>110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80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207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104018</v>
      </c>
      <c r="B20" s="3">
        <f t="shared" si="2"/>
        <v>104018</v>
      </c>
      <c r="C20" s="3" t="s">
        <v>7</v>
      </c>
      <c r="D20" s="3" t="s">
        <v>210</v>
      </c>
      <c r="E20" s="3">
        <v>0</v>
      </c>
      <c r="F20" s="3">
        <v>0</v>
      </c>
      <c r="G20" s="3">
        <v>55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75</v>
      </c>
      <c r="Q20" s="3">
        <v>55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46</v>
      </c>
      <c r="AD20" s="5" t="s">
        <v>65</v>
      </c>
      <c r="AE20" s="5" t="s">
        <v>202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-50</v>
      </c>
      <c r="AM20" s="5">
        <v>30</v>
      </c>
      <c r="AN20" s="5">
        <v>50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104019</v>
      </c>
      <c r="B21" s="3">
        <f t="shared" si="2"/>
        <v>104019</v>
      </c>
      <c r="C21" s="3" t="s">
        <v>7</v>
      </c>
      <c r="D21" s="3" t="s">
        <v>7</v>
      </c>
      <c r="E21" s="3">
        <v>0</v>
      </c>
      <c r="F21" s="3">
        <v>0</v>
      </c>
      <c r="G21" s="3">
        <v>55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75</v>
      </c>
      <c r="Q21" s="3">
        <v>65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46</v>
      </c>
      <c r="AD21" s="5" t="s">
        <v>65</v>
      </c>
      <c r="AE21" s="5" t="s">
        <v>202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-50</v>
      </c>
      <c r="AM21" s="5">
        <v>30</v>
      </c>
      <c r="AN21" s="5">
        <v>50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104020</v>
      </c>
      <c r="B22" s="3">
        <f t="shared" si="2"/>
        <v>104020</v>
      </c>
      <c r="C22" s="3" t="s">
        <v>7</v>
      </c>
      <c r="D22" s="3" t="s">
        <v>7</v>
      </c>
      <c r="E22" s="3">
        <v>0</v>
      </c>
      <c r="F22" s="3">
        <v>0</v>
      </c>
      <c r="G22" s="3">
        <v>55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75</v>
      </c>
      <c r="Q22" s="3">
        <v>65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46</v>
      </c>
      <c r="AD22" s="5" t="s">
        <v>65</v>
      </c>
      <c r="AE22" s="5" t="s">
        <v>202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-50</v>
      </c>
      <c r="AM22" s="5">
        <v>30</v>
      </c>
      <c r="AN22" s="5">
        <v>50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104021</v>
      </c>
      <c r="B23" s="3">
        <f t="shared" si="2"/>
        <v>104021</v>
      </c>
      <c r="C23" s="3" t="s">
        <v>223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0</v>
      </c>
      <c r="J23" s="3">
        <v>110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60</v>
      </c>
      <c r="AD23" s="5" t="s">
        <v>23</v>
      </c>
      <c r="AE23" s="5" t="s">
        <v>66</v>
      </c>
      <c r="AF23" s="5" t="s">
        <v>27</v>
      </c>
      <c r="AG23" s="5" t="s">
        <v>39</v>
      </c>
      <c r="AH23" s="5" t="s">
        <v>131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7</v>
      </c>
      <c r="AN23" s="5">
        <v>20</v>
      </c>
      <c r="AO23" s="5">
        <v>20</v>
      </c>
      <c r="AP23" s="5">
        <v>30</v>
      </c>
      <c r="AQ23" s="5">
        <v>30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104022</v>
      </c>
      <c r="B24" s="3">
        <f t="shared" si="2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61</v>
      </c>
      <c r="AD24" s="5" t="s">
        <v>62</v>
      </c>
      <c r="AE24" s="5" t="s">
        <v>57</v>
      </c>
      <c r="AF24" s="5" t="s">
        <v>23</v>
      </c>
      <c r="AG24" s="5" t="s">
        <v>39</v>
      </c>
      <c r="AH24" s="5" t="s">
        <v>66</v>
      </c>
      <c r="AI24" s="5" t="s">
        <v>27</v>
      </c>
      <c r="AJ24" s="5" t="s">
        <v>131</v>
      </c>
      <c r="AK24" s="5" t="s">
        <v>7</v>
      </c>
      <c r="AL24" s="5">
        <v>20</v>
      </c>
      <c r="AM24" s="5">
        <v>20</v>
      </c>
      <c r="AN24" s="5">
        <v>10</v>
      </c>
      <c r="AO24" s="5">
        <v>10</v>
      </c>
      <c r="AP24" s="5">
        <v>30</v>
      </c>
      <c r="AQ24" s="5">
        <v>20</v>
      </c>
      <c r="AR24" s="5">
        <v>20</v>
      </c>
      <c r="AS24" s="5">
        <v>30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104023</v>
      </c>
      <c r="B25" s="3">
        <f t="shared" si="2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67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70</v>
      </c>
      <c r="AN25" s="5">
        <v>20</v>
      </c>
      <c r="AO25" s="5">
        <v>20</v>
      </c>
      <c r="AP25" s="5">
        <v>20</v>
      </c>
      <c r="AQ25" s="5">
        <v>30</v>
      </c>
      <c r="AR25" s="5">
        <v>30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25"/>
  <sheetViews>
    <sheetView zoomScale="85" zoomScaleNormal="85" workbookViewId="0">
      <pane ySplit="1" topLeftCell="A2" activePane="bottomLeft" state="frozen"/>
      <selection activeCell="D1" sqref="D1"/>
      <selection pane="bottomLeft" activeCell="D9" sqref="D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ROW()-2+105000</f>
        <v>105000</v>
      </c>
      <c r="B2" s="6">
        <v>105000</v>
      </c>
      <c r="C2" s="6" t="s">
        <v>206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5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>INDEX(B:B,MATCH(105000,B:B,0),1)+(ROW()-MATCH(105000,B:B,0))</f>
        <v>105003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70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-50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>INDEX(B:B,MATCH(105000,B:B,0),1)+(ROW()-MATCH(105000,B:B,0))</f>
        <v>105004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130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70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-50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>INDEX(B:B,MATCH(105000,B:B,0),1)+(ROW()-MATCH(105000,B:B,0))</f>
        <v>105005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150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70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10" si="1">INDEX(B:B,MATCH(105000,B:B,0),1)+(ROW()-MATCH(105000,B:B,0))</f>
        <v>105006</v>
      </c>
      <c r="C8" s="3" t="s">
        <v>7</v>
      </c>
      <c r="D8" s="3" t="s">
        <v>218</v>
      </c>
      <c r="E8" s="3">
        <v>20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1"/>
        <v>105007</v>
      </c>
      <c r="C9" s="3" t="s">
        <v>7</v>
      </c>
      <c r="D9" s="3" t="s">
        <v>7</v>
      </c>
      <c r="E9" s="3">
        <v>20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1"/>
        <v>105008</v>
      </c>
      <c r="C10" s="3" t="s">
        <v>7</v>
      </c>
      <c r="D10" s="3" t="s">
        <v>7</v>
      </c>
      <c r="E10" s="3">
        <v>20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ref="B11:B25" si="2">INDEX(B:B,MATCH(105000,B:B,0),1)+(ROW()-MATCH(105000,B:B,0))</f>
        <v>105009</v>
      </c>
      <c r="C11" s="3" t="s">
        <v>7</v>
      </c>
      <c r="D11" s="3" t="s">
        <v>173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110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140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226</v>
      </c>
      <c r="E14" s="3">
        <v>50</v>
      </c>
      <c r="F14" s="3">
        <v>0</v>
      </c>
      <c r="G14" s="3">
        <v>88</v>
      </c>
      <c r="H14" s="3">
        <v>0</v>
      </c>
      <c r="I14" s="3">
        <v>20</v>
      </c>
      <c r="J14" s="3">
        <v>0</v>
      </c>
      <c r="K14" s="3">
        <v>0</v>
      </c>
      <c r="L14" s="3">
        <v>0</v>
      </c>
      <c r="M14" s="3">
        <v>80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66</v>
      </c>
      <c r="AD14" s="5" t="s">
        <v>82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225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50</v>
      </c>
      <c r="F15" s="3">
        <v>0</v>
      </c>
      <c r="G15" s="3">
        <v>88</v>
      </c>
      <c r="H15" s="3">
        <v>0</v>
      </c>
      <c r="I15" s="3">
        <v>20</v>
      </c>
      <c r="J15" s="3">
        <v>0</v>
      </c>
      <c r="K15" s="3">
        <v>0</v>
      </c>
      <c r="L15" s="3">
        <v>0</v>
      </c>
      <c r="M15" s="3">
        <v>80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66</v>
      </c>
      <c r="AD15" s="5" t="s">
        <v>82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225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50</v>
      </c>
      <c r="F16" s="3">
        <v>0</v>
      </c>
      <c r="G16" s="3">
        <v>88</v>
      </c>
      <c r="H16" s="3">
        <v>0</v>
      </c>
      <c r="I16" s="3">
        <v>20</v>
      </c>
      <c r="J16" s="3">
        <v>0</v>
      </c>
      <c r="K16" s="3">
        <v>0</v>
      </c>
      <c r="L16" s="3">
        <v>0</v>
      </c>
      <c r="M16" s="3">
        <v>130</v>
      </c>
      <c r="N16" s="3">
        <v>0</v>
      </c>
      <c r="O16" s="3">
        <v>0</v>
      </c>
      <c r="P16" s="3">
        <v>0</v>
      </c>
      <c r="Q16" s="3">
        <v>90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66</v>
      </c>
      <c r="AD16" s="5" t="s">
        <v>82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225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208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90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207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207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20</v>
      </c>
      <c r="I19" s="3">
        <v>30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80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207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210</v>
      </c>
      <c r="E20" s="3">
        <v>0</v>
      </c>
      <c r="F20" s="3">
        <v>0</v>
      </c>
      <c r="G20" s="3">
        <v>55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110</v>
      </c>
      <c r="Q20" s="3">
        <v>55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46</v>
      </c>
      <c r="AD20" s="5" t="s">
        <v>65</v>
      </c>
      <c r="AE20" s="5" t="s">
        <v>202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-50</v>
      </c>
      <c r="AM20" s="5">
        <v>30</v>
      </c>
      <c r="AN20" s="5">
        <v>50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0</v>
      </c>
      <c r="F21" s="3">
        <v>0</v>
      </c>
      <c r="G21" s="3">
        <v>55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110</v>
      </c>
      <c r="Q21" s="3">
        <v>85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46</v>
      </c>
      <c r="AD21" s="5" t="s">
        <v>65</v>
      </c>
      <c r="AE21" s="5" t="s">
        <v>202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-50</v>
      </c>
      <c r="AM21" s="5">
        <v>30</v>
      </c>
      <c r="AN21" s="5">
        <v>50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0</v>
      </c>
      <c r="F22" s="3">
        <v>0</v>
      </c>
      <c r="G22" s="3">
        <v>55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120</v>
      </c>
      <c r="Q22" s="3">
        <v>75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46</v>
      </c>
      <c r="AD22" s="5" t="s">
        <v>65</v>
      </c>
      <c r="AE22" s="5" t="s">
        <v>202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-50</v>
      </c>
      <c r="AM22" s="5">
        <v>30</v>
      </c>
      <c r="AN22" s="5">
        <v>50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223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0</v>
      </c>
      <c r="J23" s="3">
        <v>110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60</v>
      </c>
      <c r="AD23" s="5" t="s">
        <v>23</v>
      </c>
      <c r="AE23" s="5" t="s">
        <v>66</v>
      </c>
      <c r="AF23" s="5" t="s">
        <v>27</v>
      </c>
      <c r="AG23" s="5" t="s">
        <v>39</v>
      </c>
      <c r="AH23" s="5" t="s">
        <v>131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7</v>
      </c>
      <c r="AN23" s="5">
        <v>20</v>
      </c>
      <c r="AO23" s="5">
        <v>20</v>
      </c>
      <c r="AP23" s="5">
        <v>30</v>
      </c>
      <c r="AQ23" s="5">
        <v>30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61</v>
      </c>
      <c r="AD24" s="5" t="s">
        <v>62</v>
      </c>
      <c r="AE24" s="5" t="s">
        <v>57</v>
      </c>
      <c r="AF24" s="5" t="s">
        <v>23</v>
      </c>
      <c r="AG24" s="5" t="s">
        <v>39</v>
      </c>
      <c r="AH24" s="5" t="s">
        <v>66</v>
      </c>
      <c r="AI24" s="5" t="s">
        <v>27</v>
      </c>
      <c r="AJ24" s="5" t="s">
        <v>131</v>
      </c>
      <c r="AK24" s="5" t="s">
        <v>7</v>
      </c>
      <c r="AL24" s="5">
        <v>20</v>
      </c>
      <c r="AM24" s="5">
        <v>20</v>
      </c>
      <c r="AN24" s="5">
        <v>10</v>
      </c>
      <c r="AO24" s="5">
        <v>10</v>
      </c>
      <c r="AP24" s="5">
        <v>30</v>
      </c>
      <c r="AQ24" s="5">
        <v>20</v>
      </c>
      <c r="AR24" s="5">
        <v>20</v>
      </c>
      <c r="AS24" s="5">
        <v>30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67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70</v>
      </c>
      <c r="AN25" s="5">
        <v>20</v>
      </c>
      <c r="AO25" s="5">
        <v>20</v>
      </c>
      <c r="AP25" s="5">
        <v>20</v>
      </c>
      <c r="AQ25" s="5">
        <v>30</v>
      </c>
      <c r="AR25" s="5">
        <v>30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2" activePane="bottomLeft" state="frozen"/>
      <selection activeCell="D1" sqref="D1"/>
      <selection pane="bottomLeft" activeCell="A29" sqref="A29:XFD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ROW()-2+106000</f>
        <v>106000</v>
      </c>
      <c r="B2" s="6">
        <v>106000</v>
      </c>
      <c r="C2" s="6" t="s">
        <v>227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ROW()-2+106000</f>
        <v>106001</v>
      </c>
      <c r="B3" s="3">
        <f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0">ROW()-2+106000</f>
        <v>106002</v>
      </c>
      <c r="B4" s="3">
        <f>INDEX(B:B,MATCH(106000,B:B,0),1)+(ROW()-MATCH(106000,B:B,0))</f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106003</v>
      </c>
      <c r="B5" s="3">
        <f>INDEX(B:B,MATCH(106000,B:B,0),1)+(ROW()-MATCH(106000,B:B,0))</f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106004</v>
      </c>
      <c r="B6" s="3">
        <f>INDEX(B:B,MATCH(106000,B:B,0),1)+(ROW()-MATCH(106000,B:B,0))</f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106005</v>
      </c>
      <c r="B7" s="3">
        <f>INDEX(B:B,MATCH(106000,B:B,0),1)+(ROW()-MATCH(106000,B:B,0))</f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106006</v>
      </c>
      <c r="B8" s="3">
        <f>INDEX(B:B,MATCH(106000,B:B,0),1)+(ROW()-MATCH(106000,B:B,0))</f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106007</v>
      </c>
      <c r="B9" s="3">
        <f>INDEX(B:B,MATCH(106000,B:B,0),1)+(ROW()-MATCH(106000,B:B,0))</f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106008</v>
      </c>
      <c r="B10" s="3">
        <f>INDEX(B:B,MATCH(106000,B:B,0),1)+(ROW()-MATCH(106000,B:B,0))</f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106009</v>
      </c>
      <c r="B11" s="3">
        <f>INDEX(B:B,MATCH(106000,B:B,0),1)+(ROW()-MATCH(106000,B:B,0))</f>
        <v>106009</v>
      </c>
      <c r="C11" s="3" t="s">
        <v>233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106010</v>
      </c>
      <c r="B12" s="3">
        <f>INDEX(B:B,MATCH(106000,B:B,0),1)+(ROW()-MATCH(106000,B:B,0))</f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106011</v>
      </c>
      <c r="B13" s="3">
        <f>INDEX(B:B,MATCH(106000,B:B,0),1)+(ROW()-MATCH(106000,B:B,0))</f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106012</v>
      </c>
      <c r="B14" s="3">
        <f>INDEX(B:B,MATCH(106000,B:B,0),1)+(ROW()-MATCH(106000,B:B,0))</f>
        <v>106012</v>
      </c>
      <c r="C14" s="3" t="s">
        <v>228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229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106013</v>
      </c>
      <c r="B15" s="3">
        <f>INDEX(B:B,MATCH(106000,B:B,0),1)+(ROW()-MATCH(106000,B:B,0))</f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229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106014</v>
      </c>
      <c r="B16" s="3">
        <f>INDEX(B:B,MATCH(106000,B:B,0),1)+(ROW()-MATCH(106000,B:B,0))</f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229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106015</v>
      </c>
      <c r="B17" s="3">
        <f>INDEX(B:B,MATCH(106000,B:B,0),1)+(ROW()-MATCH(106000,B:B,0))</f>
        <v>106015</v>
      </c>
      <c r="C17" s="3" t="s">
        <v>234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229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106016</v>
      </c>
      <c r="B18" s="3">
        <f>INDEX(B:B,MATCH(106000,B:B,0),1)+(ROW()-MATCH(106000,B:B,0))</f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229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106017</v>
      </c>
      <c r="B19" s="3">
        <f>INDEX(B:B,MATCH(106000,B:B,0),1)+(ROW()-MATCH(106000,B:B,0))</f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229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106018</v>
      </c>
      <c r="B20" s="3">
        <f>INDEX(B:B,MATCH(106000,B:B,0),1)+(ROW()-MATCH(106000,B:B,0))</f>
        <v>106018</v>
      </c>
      <c r="C20" s="3" t="s">
        <v>230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106019</v>
      </c>
      <c r="B21" s="3">
        <f>INDEX(B:B,MATCH(106000,B:B,0),1)+(ROW()-MATCH(106000,B:B,0))</f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106020</v>
      </c>
      <c r="B22" s="3">
        <f>INDEX(B:B,MATCH(106000,B:B,0),1)+(ROW()-MATCH(106000,B:B,0))</f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106021</v>
      </c>
      <c r="B23" s="3">
        <f>INDEX(B:B,MATCH(106000,B:B,0),1)+(ROW()-MATCH(106000,B:B,0))</f>
        <v>106021</v>
      </c>
      <c r="C23" s="3" t="s">
        <v>231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106022</v>
      </c>
      <c r="B24" s="3">
        <f>INDEX(B:B,MATCH(106000,B:B,0),1)+(ROW()-MATCH(106000,B:B,0))</f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106023</v>
      </c>
      <c r="B25" s="3">
        <f>INDEX(B:B,MATCH(106000,B:B,0),1)+(ROW()-MATCH(106000,B:B,0))</f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106024</v>
      </c>
      <c r="B26" s="3">
        <f>INDEX(B:B,MATCH(106000,B:B,0),1)+(ROW()-MATCH(106000,B:B,0))</f>
        <v>106024</v>
      </c>
      <c r="C26" s="3" t="s">
        <v>232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106025</v>
      </c>
      <c r="B27" s="3">
        <f>INDEX(B:B,MATCH(106000,B:B,0),1)+(ROW()-MATCH(106000,B:B,0))</f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106026</v>
      </c>
      <c r="B28" s="3">
        <f>INDEX(B:B,MATCH(106000,B:B,0),1)+(ROW()-MATCH(106000,B:B,0))</f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106027</v>
      </c>
      <c r="B29" s="3">
        <f>INDEX(B:B,MATCH(106000,B:B,0),1)+(ROW()-MATCH(106000,B:B,0))</f>
        <v>106027</v>
      </c>
      <c r="C29" s="3" t="s">
        <v>267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106028</v>
      </c>
      <c r="B30" s="3">
        <f>INDEX(B:B,MATCH(106000,B:B,0),1)+(ROW()-MATCH(106000,B:B,0))</f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106029</v>
      </c>
      <c r="B31" s="3">
        <f>INDEX(B:B,MATCH(106000,B:B,0),1)+(ROW()-MATCH(106000,B:B,0))</f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106030</v>
      </c>
      <c r="B32" s="3">
        <f>INDEX(B:B,MATCH(106000,B:B,0),1)+(ROW()-MATCH(106000,B:B,0))</f>
        <v>106030</v>
      </c>
      <c r="C32" s="3" t="s">
        <v>7</v>
      </c>
      <c r="D32" s="3" t="s">
        <v>236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229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235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106031</v>
      </c>
      <c r="B33" s="3">
        <f>INDEX(B:B,MATCH(106000,B:B,0),1)+(ROW()-MATCH(106000,B:B,0))</f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229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235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106032</v>
      </c>
      <c r="B34" s="3">
        <f>INDEX(B:B,MATCH(106000,B:B,0),1)+(ROW()-MATCH(106000,B:B,0))</f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229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235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106033</v>
      </c>
      <c r="B35" s="3">
        <f>INDEX(B:B,MATCH(106000,B:B,0),1)+(ROW()-MATCH(106000,B:B,0))</f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106034</v>
      </c>
      <c r="B36" s="3">
        <f>INDEX(B:B,MATCH(106000,B:B,0),1)+(ROW()-MATCH(106000,B:B,0))</f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106035</v>
      </c>
      <c r="B37" s="3">
        <f>INDEX(B:B,MATCH(106000,B:B,0),1)+(ROW()-MATCH(106000,B:B,0))</f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106036</v>
      </c>
      <c r="B38" s="3">
        <f>INDEX(B:B,MATCH(106000,B:B,0),1)+(ROW()-MATCH(106000,B:B,0))</f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106037</v>
      </c>
      <c r="B39" s="3">
        <f>INDEX(B:B,MATCH(106000,B:B,0),1)+(ROW()-MATCH(106000,B:B,0))</f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106038</v>
      </c>
      <c r="B40" s="3">
        <f>INDEX(B:B,MATCH(106000,B:B,0),1)+(ROW()-MATCH(106000,B:B,0))</f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106039</v>
      </c>
      <c r="B41" s="3">
        <f>INDEX(B:B,MATCH(106000,B:B,0),1)+(ROW()-MATCH(106000,B:B,0))</f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106040</v>
      </c>
      <c r="B42" s="3">
        <f>INDEX(B:B,MATCH(106000,B:B,0),1)+(ROW()-MATCH(106000,B:B,0))</f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106041</v>
      </c>
      <c r="B43" s="3">
        <f>INDEX(B:B,MATCH(106000,B:B,0),1)+(ROW()-MATCH(106000,B:B,0))</f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106042</v>
      </c>
      <c r="B44" s="3">
        <f>INDEX(B:B,MATCH(106000,B:B,0),1)+(ROW()-MATCH(106000,B:B,0))</f>
        <v>106042</v>
      </c>
      <c r="C44" s="3" t="s">
        <v>223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106043</v>
      </c>
      <c r="B45" s="3">
        <f>INDEX(B:B,MATCH(106000,B:B,0),1)+(ROW()-MATCH(106000,B:B,0))</f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106044</v>
      </c>
      <c r="B46" s="3">
        <f>INDEX(B:B,MATCH(106000,B:B,0),1)+(ROW()-MATCH(106000,B:B,0))</f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8" sqref="D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ROW()-2+107000</f>
        <v>107000</v>
      </c>
      <c r="B2" s="6">
        <v>107000</v>
      </c>
      <c r="C2" s="6" t="s">
        <v>237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D12" sqref="D1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ROW()-2+120000</f>
        <v>120002</v>
      </c>
      <c r="B4" s="3">
        <f t="shared" ref="B4:B16" si="1"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 t="shared" si="1"/>
        <v>120003</v>
      </c>
      <c r="C5" s="3" t="s">
        <v>7</v>
      </c>
      <c r="D5" s="3" t="s">
        <v>71</v>
      </c>
      <c r="E5" s="3">
        <v>0</v>
      </c>
      <c r="F5" s="3">
        <v>0</v>
      </c>
      <c r="G5" s="3">
        <v>110</v>
      </c>
      <c r="H5" s="3">
        <v>0</v>
      </c>
      <c r="I5" s="3">
        <v>30</v>
      </c>
      <c r="J5" s="3">
        <v>0</v>
      </c>
      <c r="K5" s="3">
        <v>0</v>
      </c>
      <c r="L5" s="3">
        <v>60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25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 t="shared" si="1"/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0</v>
      </c>
      <c r="I6" s="3">
        <v>30</v>
      </c>
      <c r="J6" s="3">
        <v>0</v>
      </c>
      <c r="K6" s="3">
        <v>0</v>
      </c>
      <c r="L6" s="3">
        <v>50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65</v>
      </c>
      <c r="AE6" s="5" t="s">
        <v>73</v>
      </c>
      <c r="AF6" s="5" t="s">
        <v>72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25</v>
      </c>
      <c r="AM6" s="5">
        <v>30</v>
      </c>
      <c r="AN6" s="5">
        <v>30</v>
      </c>
      <c r="AO6" s="5">
        <v>10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 t="shared" si="1"/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0</v>
      </c>
      <c r="I7" s="3">
        <v>30</v>
      </c>
      <c r="J7" s="3">
        <v>0</v>
      </c>
      <c r="K7" s="3">
        <v>0</v>
      </c>
      <c r="L7" s="3">
        <v>70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25</v>
      </c>
      <c r="AM7" s="5">
        <v>20</v>
      </c>
      <c r="AN7" s="5">
        <v>20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si="1"/>
        <v>120006</v>
      </c>
      <c r="C8" s="3" t="s">
        <v>7</v>
      </c>
      <c r="D8" s="3" t="s">
        <v>56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230</v>
      </c>
      <c r="M8" s="3">
        <v>90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62</v>
      </c>
      <c r="AD8" s="5" t="s">
        <v>37</v>
      </c>
      <c r="AE8" s="5" t="s">
        <v>22</v>
      </c>
      <c r="AF8" s="5" t="s">
        <v>7</v>
      </c>
      <c r="AG8" s="5" t="s">
        <v>128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20</v>
      </c>
      <c r="AN8" s="5">
        <v>30</v>
      </c>
      <c r="AO8" s="5">
        <v>0</v>
      </c>
      <c r="AP8" s="5">
        <v>50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230</v>
      </c>
      <c r="M9" s="3">
        <v>90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62</v>
      </c>
      <c r="AD9" s="5" t="s">
        <v>37</v>
      </c>
      <c r="AE9" s="5" t="s">
        <v>22</v>
      </c>
      <c r="AF9" s="5" t="s">
        <v>72</v>
      </c>
      <c r="AG9" s="5" t="s">
        <v>128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20</v>
      </c>
      <c r="AN9" s="5">
        <v>30</v>
      </c>
      <c r="AO9" s="5">
        <v>50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260</v>
      </c>
      <c r="M10" s="3">
        <v>110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30</v>
      </c>
      <c r="AO10" s="5">
        <v>0</v>
      </c>
      <c r="AP10" s="5">
        <v>50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7</v>
      </c>
      <c r="D11" s="3" t="s">
        <v>112</v>
      </c>
      <c r="E11" s="3">
        <v>0</v>
      </c>
      <c r="F11" s="3">
        <v>0</v>
      </c>
      <c r="G11" s="3">
        <v>330</v>
      </c>
      <c r="H11" s="3">
        <v>40</v>
      </c>
      <c r="I11" s="3">
        <v>110</v>
      </c>
      <c r="J11" s="3">
        <v>0</v>
      </c>
      <c r="K11" s="3">
        <v>120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70</v>
      </c>
      <c r="AD11" s="5" t="s">
        <v>65</v>
      </c>
      <c r="AE11" s="5" t="s">
        <v>73</v>
      </c>
      <c r="AF11" s="5" t="s">
        <v>130</v>
      </c>
      <c r="AG11" s="5" t="s">
        <v>128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15</v>
      </c>
      <c r="AM11" s="5">
        <v>30</v>
      </c>
      <c r="AN11" s="5">
        <v>30</v>
      </c>
      <c r="AO11" s="5">
        <v>30</v>
      </c>
      <c r="AP11" s="5">
        <v>50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330</v>
      </c>
      <c r="H12" s="3">
        <v>40</v>
      </c>
      <c r="I12" s="3">
        <v>110</v>
      </c>
      <c r="J12" s="3">
        <v>0</v>
      </c>
      <c r="K12" s="3">
        <v>80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65</v>
      </c>
      <c r="AE12" s="5" t="s">
        <v>73</v>
      </c>
      <c r="AF12" s="5" t="s">
        <v>72</v>
      </c>
      <c r="AG12" s="5" t="s">
        <v>39</v>
      </c>
      <c r="AH12" s="5" t="s">
        <v>130</v>
      </c>
      <c r="AI12" s="5" t="s">
        <v>128</v>
      </c>
      <c r="AJ12" s="5" t="s">
        <v>7</v>
      </c>
      <c r="AK12" s="5" t="s">
        <v>7</v>
      </c>
      <c r="AL12" s="5">
        <v>15</v>
      </c>
      <c r="AM12" s="5">
        <v>30</v>
      </c>
      <c r="AN12" s="5">
        <v>30</v>
      </c>
      <c r="AO12" s="5">
        <v>10</v>
      </c>
      <c r="AP12" s="5">
        <v>10</v>
      </c>
      <c r="AQ12" s="5">
        <v>30</v>
      </c>
      <c r="AR12" s="5">
        <v>50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330</v>
      </c>
      <c r="H13" s="3">
        <v>40</v>
      </c>
      <c r="I13" s="3">
        <v>110</v>
      </c>
      <c r="J13" s="3">
        <v>0</v>
      </c>
      <c r="K13" s="3">
        <v>160</v>
      </c>
      <c r="L13" s="3">
        <v>110</v>
      </c>
      <c r="M13" s="3">
        <v>0</v>
      </c>
      <c r="N13" s="3">
        <v>0</v>
      </c>
      <c r="O13" s="3">
        <v>0</v>
      </c>
      <c r="P13" s="3">
        <v>0</v>
      </c>
      <c r="Q13" s="3">
        <v>180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65</v>
      </c>
      <c r="AE13" s="5" t="s">
        <v>73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15</v>
      </c>
      <c r="AM13" s="5">
        <v>20</v>
      </c>
      <c r="AN13" s="5">
        <v>20</v>
      </c>
      <c r="AO13" s="5">
        <v>30</v>
      </c>
      <c r="AP13" s="5">
        <v>50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240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0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7</v>
      </c>
      <c r="D5" s="3" t="s">
        <v>174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202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20</v>
      </c>
      <c r="AO5" s="5">
        <v>60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202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20</v>
      </c>
      <c r="AO6" s="5">
        <v>60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80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202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20</v>
      </c>
      <c r="AO7" s="5">
        <v>60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7</v>
      </c>
      <c r="D8" s="3" t="s">
        <v>241</v>
      </c>
      <c r="E8" s="3">
        <v>30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90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209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30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90</v>
      </c>
      <c r="Q9" s="3">
        <v>55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209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30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55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209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ref="B11:B13" si="2">INDEX(B:B,MATCH(121000,B:B,0),1)+(ROW()-MATCH(121000,B:B,0))</f>
        <v>121009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2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2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ROW()-2+122000</f>
        <v>122000</v>
      </c>
      <c r="B2" s="6">
        <v>122000</v>
      </c>
      <c r="C2" s="6" t="s">
        <v>242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210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243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209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241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ROW()-2+123000</f>
        <v>123000</v>
      </c>
      <c r="B2" s="6">
        <v>123000</v>
      </c>
      <c r="C2" s="6" t="s">
        <v>244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ROW()-2+123000</f>
        <v>123001</v>
      </c>
      <c r="B3" s="3">
        <f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0">ROW()-2+123000</f>
        <v>123002</v>
      </c>
      <c r="B4" s="3">
        <f>INDEX(B:B,MATCH(123000,B:B,0),1)+(ROW()-MATCH(123000,B:B,0))</f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123003</v>
      </c>
      <c r="B5" s="3">
        <f>INDEX(B:B,MATCH(123000,B:B,0),1)+(ROW()-MATCH(123000,B:B,0))</f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123004</v>
      </c>
      <c r="B6" s="3">
        <f>INDEX(B:B,MATCH(123000,B:B,0),1)+(ROW()-MATCH(123000,B:B,0))</f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123005</v>
      </c>
      <c r="B7" s="3">
        <f>INDEX(B:B,MATCH(123000,B:B,0),1)+(ROW()-MATCH(123000,B:B,0))</f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123006</v>
      </c>
      <c r="B8" s="3">
        <f>INDEX(B:B,MATCH(123000,B:B,0),1)+(ROW()-MATCH(123000,B:B,0))</f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123007</v>
      </c>
      <c r="B9" s="3">
        <f>INDEX(B:B,MATCH(123000,B:B,0),1)+(ROW()-MATCH(123000,B:B,0))</f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123008</v>
      </c>
      <c r="B10" s="3">
        <f>INDEX(B:B,MATCH(123000,B:B,0),1)+(ROW()-MATCH(123000,B:B,0))</f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123009</v>
      </c>
      <c r="B11" s="3">
        <f>INDEX(B:B,MATCH(123000,B:B,0),1)+(ROW()-MATCH(123000,B:B,0))</f>
        <v>123009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123010</v>
      </c>
      <c r="B12" s="3">
        <f>INDEX(B:B,MATCH(123000,B:B,0),1)+(ROW()-MATCH(123000,B:B,0))</f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123011</v>
      </c>
      <c r="B13" s="3">
        <f>INDEX(B:B,MATCH(123000,B:B,0),1)+(ROW()-MATCH(123000,B:B,0))</f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123012</v>
      </c>
      <c r="B14" s="3">
        <f t="shared" ref="B14:B16" si="1">INDEX(B:B,MATCH(123000,B:B,0),1)+(ROW()-MATCH(123000,B:B,0))</f>
        <v>123012</v>
      </c>
      <c r="C14" s="3" t="s">
        <v>221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123013</v>
      </c>
      <c r="B15" s="3">
        <f t="shared" si="1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123014</v>
      </c>
      <c r="B16" s="3">
        <f t="shared" si="1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123015</v>
      </c>
      <c r="B17" s="3">
        <f>INDEX(B:B,MATCH(123000,B:B,0),1)+(ROW()-MATCH(123000,B:B,0))</f>
        <v>123015</v>
      </c>
      <c r="C17" s="3" t="s">
        <v>233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123016</v>
      </c>
      <c r="B18" s="3">
        <f>INDEX(B:B,MATCH(123000,B:B,0),1)+(ROW()-MATCH(123000,B:B,0))</f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123017</v>
      </c>
      <c r="B19" s="3">
        <f>INDEX(B:B,MATCH(123000,B:B,0),1)+(ROW()-MATCH(123000,B:B,0))</f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123018</v>
      </c>
      <c r="B20" s="3">
        <f>INDEX(B:B,MATCH(123000,B:B,0),1)+(ROW()-MATCH(123000,B:B,0))</f>
        <v>123018</v>
      </c>
      <c r="C20" s="3" t="s">
        <v>228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229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123019</v>
      </c>
      <c r="B21" s="3">
        <f>INDEX(B:B,MATCH(123000,B:B,0),1)+(ROW()-MATCH(123000,B:B,0))</f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229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123020</v>
      </c>
      <c r="B22" s="3">
        <f>INDEX(B:B,MATCH(123000,B:B,0),1)+(ROW()-MATCH(123000,B:B,0))</f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229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123021</v>
      </c>
      <c r="B23" s="3">
        <f>INDEX(B:B,MATCH(123000,B:B,0),1)+(ROW()-MATCH(123000,B:B,0))</f>
        <v>123021</v>
      </c>
      <c r="C23" s="3" t="s">
        <v>234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229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123022</v>
      </c>
      <c r="B24" s="3">
        <f>INDEX(B:B,MATCH(123000,B:B,0),1)+(ROW()-MATCH(123000,B:B,0))</f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229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123023</v>
      </c>
      <c r="B25" s="3">
        <f>INDEX(B:B,MATCH(123000,B:B,0),1)+(ROW()-MATCH(123000,B:B,0))</f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229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123024</v>
      </c>
      <c r="B26" s="3">
        <f>INDEX(B:B,MATCH(123000,B:B,0),1)+(ROW()-MATCH(123000,B:B,0))</f>
        <v>123024</v>
      </c>
      <c r="C26" s="3" t="s">
        <v>230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123025</v>
      </c>
      <c r="B27" s="3">
        <f>INDEX(B:B,MATCH(123000,B:B,0),1)+(ROW()-MATCH(123000,B:B,0))</f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123026</v>
      </c>
      <c r="B28" s="3">
        <f>INDEX(B:B,MATCH(123000,B:B,0),1)+(ROW()-MATCH(123000,B:B,0))</f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123027</v>
      </c>
      <c r="B29" s="3">
        <f>INDEX(B:B,MATCH(123000,B:B,0),1)+(ROW()-MATCH(123000,B:B,0))</f>
        <v>123027</v>
      </c>
      <c r="C29" s="3" t="s">
        <v>231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123028</v>
      </c>
      <c r="B30" s="3">
        <f>INDEX(B:B,MATCH(123000,B:B,0),1)+(ROW()-MATCH(123000,B:B,0))</f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123029</v>
      </c>
      <c r="B31" s="3">
        <f>INDEX(B:B,MATCH(123000,B:B,0),1)+(ROW()-MATCH(123000,B:B,0))</f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123030</v>
      </c>
      <c r="B32" s="3">
        <f>INDEX(B:B,MATCH(123000,B:B,0),1)+(ROW()-MATCH(123000,B:B,0))</f>
        <v>123030</v>
      </c>
      <c r="C32" s="3" t="s">
        <v>232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123031</v>
      </c>
      <c r="B33" s="3">
        <f>INDEX(B:B,MATCH(123000,B:B,0),1)+(ROW()-MATCH(123000,B:B,0))</f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123032</v>
      </c>
      <c r="B34" s="3">
        <f>INDEX(B:B,MATCH(123000,B:B,0),1)+(ROW()-MATCH(123000,B:B,0))</f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123033</v>
      </c>
      <c r="B35" s="3">
        <f>INDEX(B:B,MATCH(123000,B:B,0),1)+(ROW()-MATCH(123000,B:B,0))</f>
        <v>123033</v>
      </c>
      <c r="C35" s="3" t="s">
        <v>267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123034</v>
      </c>
      <c r="B36" s="3">
        <f>INDEX(B:B,MATCH(123000,B:B,0),1)+(ROW()-MATCH(123000,B:B,0))</f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123035</v>
      </c>
      <c r="B37" s="3">
        <f>INDEX(B:B,MATCH(123000,B:B,0),1)+(ROW()-MATCH(123000,B:B,0))</f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123036</v>
      </c>
      <c r="B38" s="3">
        <f>INDEX(B:B,MATCH(123000,B:B,0),1)+(ROW()-MATCH(123000,B:B,0))</f>
        <v>123036</v>
      </c>
      <c r="C38" s="3" t="s">
        <v>248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123037</v>
      </c>
      <c r="B39" s="3">
        <f>INDEX(B:B,MATCH(123000,B:B,0),1)+(ROW()-MATCH(123000,B:B,0))</f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123038</v>
      </c>
      <c r="B40" s="3">
        <f>INDEX(B:B,MATCH(123000,B:B,0),1)+(ROW()-MATCH(123000,B:B,0))</f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123039</v>
      </c>
      <c r="B41" s="3">
        <f>INDEX(B:B,MATCH(123000,B:B,0),1)+(ROW()-MATCH(123000,B:B,0))</f>
        <v>123039</v>
      </c>
      <c r="C41" s="3" t="s">
        <v>249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250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251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123040</v>
      </c>
      <c r="B42" s="3">
        <f>INDEX(B:B,MATCH(123000,B:B,0),1)+(ROW()-MATCH(123000,B:B,0))</f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250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251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123041</v>
      </c>
      <c r="B43" s="3">
        <f>INDEX(B:B,MATCH(123000,B:B,0),1)+(ROW()-MATCH(123000,B:B,0))</f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250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251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123042</v>
      </c>
      <c r="B44" s="3">
        <f>INDEX(B:B,MATCH(123000,B:B,0),1)+(ROW()-MATCH(123000,B:B,0))</f>
        <v>123042</v>
      </c>
      <c r="C44" s="3" t="s">
        <v>252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253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123043</v>
      </c>
      <c r="B45" s="3">
        <f>INDEX(B:B,MATCH(123000,B:B,0),1)+(ROW()-MATCH(123000,B:B,0))</f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123044</v>
      </c>
      <c r="B46" s="3">
        <f>INDEX(B:B,MATCH(123000,B:B,0),1)+(ROW()-MATCH(123000,B:B,0))</f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253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123045</v>
      </c>
      <c r="B47" s="3">
        <f>INDEX(B:B,MATCH(123000,B:B,0),1)+(ROW()-MATCH(123000,B:B,0))</f>
        <v>123045</v>
      </c>
      <c r="C47" s="3" t="s">
        <v>254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253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123046</v>
      </c>
      <c r="B48" s="3">
        <f>INDEX(B:B,MATCH(123000,B:B,0),1)+(ROW()-MATCH(123000,B:B,0))</f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123047</v>
      </c>
      <c r="B49" s="3">
        <f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253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123048</v>
      </c>
      <c r="B50" s="3">
        <f>INDEX(B:B,MATCH(123000,B:B,0),1)+(ROW()-MATCH(123000,B:B,0))</f>
        <v>123048</v>
      </c>
      <c r="C50" s="3" t="s">
        <v>255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123049</v>
      </c>
      <c r="B51" s="3">
        <f>INDEX(B:B,MATCH(123000,B:B,0),1)+(ROW()-MATCH(123000,B:B,0))</f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225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123050</v>
      </c>
      <c r="B52" s="3">
        <f>INDEX(B:B,MATCH(123000,B:B,0),1)+(ROW()-MATCH(123000,B:B,0))</f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225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123051</v>
      </c>
      <c r="B53" s="3">
        <f>INDEX(B:B,MATCH(123000,B:B,0),1)+(ROW()-MATCH(123000,B:B,0))</f>
        <v>123051</v>
      </c>
      <c r="C53" s="3" t="s">
        <v>256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123052</v>
      </c>
      <c r="B54" s="3">
        <f>INDEX(B:B,MATCH(123000,B:B,0),1)+(ROW()-MATCH(123000,B:B,0))</f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225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123053</v>
      </c>
      <c r="B55" s="3">
        <f>INDEX(B:B,MATCH(123000,B:B,0),1)+(ROW()-MATCH(123000,B:B,0))</f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225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123054</v>
      </c>
      <c r="B56" s="3">
        <f>INDEX(B:B,MATCH(123000,B:B,0),1)+(ROW()-MATCH(123000,B:B,0))</f>
        <v>123054</v>
      </c>
      <c r="C56" s="3" t="s">
        <v>7</v>
      </c>
      <c r="D56" s="3" t="s">
        <v>236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229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235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123055</v>
      </c>
      <c r="B57" s="3">
        <f>INDEX(B:B,MATCH(123000,B:B,0),1)+(ROW()-MATCH(123000,B:B,0))</f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229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235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123056</v>
      </c>
      <c r="B58" s="3">
        <f>INDEX(B:B,MATCH(123000,B:B,0),1)+(ROW()-MATCH(123000,B:B,0))</f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229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235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123057</v>
      </c>
      <c r="B59" s="3">
        <f>INDEX(B:B,MATCH(123000,B:B,0),1)+(ROW()-MATCH(123000,B:B,0))</f>
        <v>123057</v>
      </c>
      <c r="C59" s="3" t="s">
        <v>7</v>
      </c>
      <c r="D59" s="3" t="s">
        <v>247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246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123058</v>
      </c>
      <c r="B60" s="3">
        <f>INDEX(B:B,MATCH(123000,B:B,0),1)+(ROW()-MATCH(123000,B:B,0))</f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246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123059</v>
      </c>
      <c r="B61" s="3">
        <f>INDEX(B:B,MATCH(123000,B:B,0),1)+(ROW()-MATCH(123000,B:B,0))</f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246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123060</v>
      </c>
      <c r="B62" s="3">
        <f>INDEX(B:B,MATCH(123000,B:B,0),1)+(ROW()-MATCH(123000,B:B,0))</f>
        <v>123060</v>
      </c>
      <c r="C62" s="3" t="s">
        <v>7</v>
      </c>
      <c r="D62" s="3" t="s">
        <v>245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123061</v>
      </c>
      <c r="B63" s="3">
        <f>INDEX(B:B,MATCH(123000,B:B,0),1)+(ROW()-MATCH(123000,B:B,0))</f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123062</v>
      </c>
      <c r="B64" s="3">
        <f>INDEX(B:B,MATCH(123000,B:B,0),1)+(ROW()-MATCH(123000,B:B,0))</f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123063</v>
      </c>
      <c r="B65" s="3">
        <f>INDEX(B:B,MATCH(123000,B:B,0),1)+(ROW()-MATCH(123000,B:B,0))</f>
        <v>123063</v>
      </c>
      <c r="C65" s="3" t="s">
        <v>7</v>
      </c>
      <c r="D65" s="3" t="s">
        <v>226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123064</v>
      </c>
      <c r="B66" s="3">
        <f>INDEX(B:B,MATCH(123000,B:B,0),1)+(ROW()-MATCH(123000,B:B,0))</f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123065</v>
      </c>
      <c r="B67" s="3">
        <f>INDEX(B:B,MATCH(123000,B:B,0),1)+(ROW()-MATCH(123000,B:B,0))</f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225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123066</v>
      </c>
      <c r="B68" s="3">
        <f>INDEX(B:B,MATCH(123000,B:B,0),1)+(ROW()-MATCH(123000,B:B,0))</f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123067</v>
      </c>
      <c r="B69" s="3">
        <f>INDEX(B:B,MATCH(123000,B:B,0),1)+(ROW()-MATCH(123000,B:B,0))</f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123068</v>
      </c>
      <c r="B70" s="3">
        <f>INDEX(B:B,MATCH(123000,B:B,0),1)+(ROW()-MATCH(123000,B:B,0))</f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123069</v>
      </c>
      <c r="B71" s="3">
        <f>INDEX(B:B,MATCH(123000,B:B,0),1)+(ROW()-MATCH(123000,B:B,0))</f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123070</v>
      </c>
      <c r="B72" s="3">
        <f>INDEX(B:B,MATCH(123000,B:B,0),1)+(ROW()-MATCH(123000,B:B,0))</f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123071</v>
      </c>
      <c r="B73" s="3">
        <f>INDEX(B:B,MATCH(123000,B:B,0),1)+(ROW()-MATCH(123000,B:B,0))</f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123072</v>
      </c>
      <c r="B74" s="3">
        <f>INDEX(B:B,MATCH(123000,B:B,0),1)+(ROW()-MATCH(123000,B:B,0))</f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123073</v>
      </c>
      <c r="B75" s="3">
        <f>INDEX(B:B,MATCH(123000,B:B,0),1)+(ROW()-MATCH(123000,B:B,0))</f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123074</v>
      </c>
      <c r="B76" s="3">
        <f>INDEX(B:B,MATCH(123000,B:B,0),1)+(ROW()-MATCH(123000,B:B,0))</f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123075</v>
      </c>
      <c r="B77" s="3">
        <f>INDEX(B:B,MATCH(123000,B:B,0),1)+(ROW()-MATCH(123000,B:B,0))</f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123076</v>
      </c>
      <c r="B78" s="3">
        <f>INDEX(B:B,MATCH(123000,B:B,0),1)+(ROW()-MATCH(123000,B:B,0))</f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123077</v>
      </c>
      <c r="B79" s="3">
        <f>INDEX(B:B,MATCH(123000,B:B,0),1)+(ROW()-MATCH(123000,B:B,0))</f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123078</v>
      </c>
      <c r="B80" s="3">
        <f>INDEX(B:B,MATCH(123000,B:B,0),1)+(ROW()-MATCH(123000,B:B,0))</f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123079</v>
      </c>
      <c r="B81" s="3">
        <f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123080</v>
      </c>
      <c r="B82" s="3">
        <f>INDEX(B:B,MATCH(123000,B:B,0),1)+(ROW()-MATCH(123000,B:B,0))</f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123081</v>
      </c>
      <c r="B83" s="3">
        <f>INDEX(B:B,MATCH(123000,B:B,0),1)+(ROW()-MATCH(123000,B:B,0))</f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123082</v>
      </c>
      <c r="B84" s="3">
        <f>INDEX(B:B,MATCH(123000,B:B,0),1)+(ROW()-MATCH(123000,B:B,0))</f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123083</v>
      </c>
      <c r="B85" s="3">
        <f>INDEX(B:B,MATCH(123000,B:B,0),1)+(ROW()-MATCH(123000,B:B,0))</f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123084</v>
      </c>
      <c r="B86" s="3">
        <f>INDEX(B:B,MATCH(123000,B:B,0),1)+(ROW()-MATCH(123000,B:B,0))</f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123085</v>
      </c>
      <c r="B87" s="3">
        <f>INDEX(B:B,MATCH(123000,B:B,0),1)+(ROW()-MATCH(123000,B:B,0))</f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123086</v>
      </c>
      <c r="B88" s="3">
        <f>INDEX(B:B,MATCH(123000,B:B,0),1)+(ROW()-MATCH(123000,B:B,0))</f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123087</v>
      </c>
      <c r="B89" s="3">
        <f>INDEX(B:B,MATCH(123000,B:B,0),1)+(ROW()-MATCH(123000,B:B,0))</f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0"/>
        <v>123088</v>
      </c>
      <c r="B90" s="3">
        <f>INDEX(B:B,MATCH(123000,B:B,0),1)+(ROW()-MATCH(123000,B:B,0))</f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0"/>
        <v>123089</v>
      </c>
      <c r="B91" s="3">
        <f>INDEX(B:B,MATCH(123000,B:B,0),1)+(ROW()-MATCH(123000,B:B,0))</f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123090</v>
      </c>
      <c r="B92" s="3">
        <f>INDEX(B:B,MATCH(123000,B:B,0),1)+(ROW()-MATCH(123000,B:B,0))</f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123091</v>
      </c>
      <c r="B93" s="3">
        <f>INDEX(B:B,MATCH(123000,B:B,0),1)+(ROW()-MATCH(123000,B:B,0))</f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123092</v>
      </c>
      <c r="B94" s="3">
        <f>INDEX(B:B,MATCH(123000,B:B,0),1)+(ROW()-MATCH(123000,B:B,0))</f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123093</v>
      </c>
      <c r="B95" s="3">
        <f>INDEX(B:B,MATCH(123000,B:B,0),1)+(ROW()-MATCH(123000,B:B,0))</f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123094</v>
      </c>
      <c r="B96" s="3">
        <f>INDEX(B:B,MATCH(123000,B:B,0),1)+(ROW()-MATCH(123000,B:B,0))</f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123095</v>
      </c>
      <c r="B97" s="3">
        <f>INDEX(B:B,MATCH(123000,B:B,0),1)+(ROW()-MATCH(123000,B:B,0))</f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123096</v>
      </c>
      <c r="B98" s="3">
        <f>INDEX(B:B,MATCH(123000,B:B,0),1)+(ROW()-MATCH(123000,B:B,0))</f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2">ROW()-2+123000</f>
        <v>123097</v>
      </c>
      <c r="B99" s="3">
        <f>INDEX(B:B,MATCH(123000,B:B,0),1)+(ROW()-MATCH(123000,B:B,0))</f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123098</v>
      </c>
      <c r="B100" s="3">
        <f>INDEX(B:B,MATCH(123000,B:B,0),1)+(ROW()-MATCH(123000,B:B,0))</f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123099</v>
      </c>
      <c r="B101" s="3">
        <f>INDEX(B:B,MATCH(123000,B:B,0),1)+(ROW()-MATCH(123000,B:B,0))</f>
        <v>123099</v>
      </c>
      <c r="C101" s="3" t="s">
        <v>223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123100</v>
      </c>
      <c r="B102" s="3">
        <f>INDEX(B:B,MATCH(123000,B:B,0),1)+(ROW()-MATCH(123000,B:B,0))</f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123101</v>
      </c>
      <c r="B103" s="3">
        <f>INDEX(B:B,MATCH(123000,B:B,0),1)+(ROW()-MATCH(123000,B:B,0))</f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257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221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258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259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259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259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260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261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261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261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217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262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262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262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263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264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209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209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209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223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ROW()-2+125000</f>
        <v>125000</v>
      </c>
      <c r="B2" s="6">
        <v>125000</v>
      </c>
      <c r="C2" s="6" t="s">
        <v>265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ROW()-2+126000</f>
        <v>126000</v>
      </c>
      <c r="B2" s="6">
        <v>126000</v>
      </c>
      <c r="C2" s="6" t="s">
        <v>266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234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267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226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208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207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207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207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210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241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3" sqref="C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ROW()-2+127000</f>
        <v>127000</v>
      </c>
      <c r="B2" s="6">
        <v>127000</v>
      </c>
      <c r="C2" s="6" t="s">
        <v>268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228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234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11" sqref="A11:XF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ROW()-2+140000</f>
        <v>140000</v>
      </c>
      <c r="B2" s="6">
        <v>140000</v>
      </c>
      <c r="C2" s="6" t="s">
        <v>269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120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160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ROW()-2+141000</f>
        <v>141000</v>
      </c>
      <c r="B2" s="6">
        <v>141000</v>
      </c>
      <c r="C2" s="6" t="s">
        <v>270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224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233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230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231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271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273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274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274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274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238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272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223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6" sqref="A26:XFD2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35">
      <c r="A2" s="6">
        <f>ROW()-2+142000</f>
        <v>142000</v>
      </c>
      <c r="B2" s="6">
        <v>142000</v>
      </c>
      <c r="C2" s="6" t="s">
        <v>275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252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253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253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245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9" activePane="bottomLeft" state="frozen"/>
      <selection activeCell="D1" sqref="D1"/>
      <selection pane="bottomLeft" activeCell="A47" sqref="A47:XFD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ROW()-2+143000</f>
        <v>143000</v>
      </c>
      <c r="B2" s="6">
        <v>143000</v>
      </c>
      <c r="C2" s="6" t="s">
        <v>276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228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234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232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267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224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255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256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225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225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225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236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229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235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229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235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229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235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245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226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225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225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225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208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207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207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207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236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235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235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235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247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246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246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223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ROW()-2+144000</f>
        <v>144000</v>
      </c>
      <c r="B2" s="6">
        <v>144000</v>
      </c>
      <c r="C2" s="6" t="s">
        <v>276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277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277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277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ROW()-2+145000</f>
        <v>145000</v>
      </c>
      <c r="B2" s="6">
        <v>145000</v>
      </c>
      <c r="C2" s="6" t="s">
        <v>283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279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280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280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280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281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280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280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280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282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280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280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280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278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55"/>
  <sheetViews>
    <sheetView zoomScale="85" zoomScaleNormal="85" workbookViewId="0">
      <pane ySplit="1" topLeftCell="A17" activePane="bottomLeft" state="frozen"/>
      <selection activeCell="D1" sqref="D1"/>
      <selection pane="bottomLeft" activeCell="W52" sqref="W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298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5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 t="shared" ref="B5:B7" si="1">INDEX(B:B,MATCH(146000,B:B,0),1)+(ROW()-MATCH(146000,B:B,0))</f>
        <v>146003</v>
      </c>
      <c r="C5" s="3" t="s">
        <v>185</v>
      </c>
      <c r="D5" s="3" t="s">
        <v>7</v>
      </c>
      <c r="E5" s="3">
        <v>100</v>
      </c>
      <c r="F5" s="3">
        <v>0</v>
      </c>
      <c r="G5" s="3">
        <v>60</v>
      </c>
      <c r="H5" s="3">
        <v>30</v>
      </c>
      <c r="I5" s="3">
        <v>30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 t="shared" si="1"/>
        <v>146004</v>
      </c>
      <c r="C6" s="3" t="s">
        <v>7</v>
      </c>
      <c r="D6" s="3" t="s">
        <v>7</v>
      </c>
      <c r="E6" s="3">
        <v>100</v>
      </c>
      <c r="F6" s="3">
        <v>0</v>
      </c>
      <c r="G6" s="3">
        <v>60</v>
      </c>
      <c r="H6" s="3">
        <v>30</v>
      </c>
      <c r="I6" s="3">
        <v>30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 t="shared" si="1"/>
        <v>146005</v>
      </c>
      <c r="C7" s="3" t="s">
        <v>7</v>
      </c>
      <c r="D7" s="3" t="s">
        <v>7</v>
      </c>
      <c r="E7" s="3">
        <v>100</v>
      </c>
      <c r="F7" s="3">
        <v>0</v>
      </c>
      <c r="G7" s="3">
        <v>60</v>
      </c>
      <c r="H7" s="3">
        <v>30</v>
      </c>
      <c r="I7" s="3">
        <v>30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>INDEX(B:B,MATCH(146000,B:B,0),1)+(ROW()-MATCH(146000,B:B,0))</f>
        <v>146006</v>
      </c>
      <c r="C8" s="3" t="s">
        <v>284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120</v>
      </c>
      <c r="M8" s="3">
        <v>90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274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>INDEX(B:B,MATCH(146000,B:B,0),1)+(ROW()-MATCH(146000,B:B,0))</f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120</v>
      </c>
      <c r="M9" s="3">
        <v>90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>INDEX(B:B,MATCH(146000,B:B,0),1)+(ROW()-MATCH(146000,B:B,0))</f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120</v>
      </c>
      <c r="M10" s="3">
        <v>90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274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>INDEX(B:B,MATCH(146000,B:B,0),1)+(ROW()-MATCH(146000,B:B,0))</f>
        <v>146009</v>
      </c>
      <c r="C11" s="3" t="s">
        <v>297</v>
      </c>
      <c r="D11" s="3" t="s">
        <v>7</v>
      </c>
      <c r="E11" s="3">
        <v>0</v>
      </c>
      <c r="F11" s="3">
        <v>0</v>
      </c>
      <c r="G11" s="3">
        <v>120</v>
      </c>
      <c r="H11" s="3">
        <v>0</v>
      </c>
      <c r="I11" s="3">
        <v>40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106</v>
      </c>
      <c r="AD11" s="5" t="s">
        <v>57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274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>INDEX(B:B,MATCH(146000,B:B,0),1)+(ROW()-MATCH(146000,B:B,0))</f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120</v>
      </c>
      <c r="H12" s="3">
        <v>0</v>
      </c>
      <c r="I12" s="3">
        <v>40</v>
      </c>
      <c r="J12" s="3">
        <v>0</v>
      </c>
      <c r="K12" s="3">
        <v>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106</v>
      </c>
      <c r="AD12" s="5" t="s">
        <v>57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>INDEX(B:B,MATCH(146000,B:B,0),1)+(ROW()-MATCH(146000,B:B,0))</f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120</v>
      </c>
      <c r="H13" s="3">
        <v>0</v>
      </c>
      <c r="I13" s="3">
        <v>40</v>
      </c>
      <c r="J13" s="3">
        <v>0</v>
      </c>
      <c r="K13" s="3">
        <v>70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106</v>
      </c>
      <c r="AD13" s="5" t="s">
        <v>57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274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>INDEX(B:B,MATCH(146000,B:B,0),1)+(ROW()-MATCH(146000,B:B,0))</f>
        <v>146012</v>
      </c>
      <c r="C14" s="3" t="s">
        <v>285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57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274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>INDEX(B:B,MATCH(146000,B:B,0),1)+(ROW()-MATCH(146000,B:B,0))</f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50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57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274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>INDEX(B:B,MATCH(146000,B:B,0),1)+(ROW()-MATCH(146000,B:B,0))</f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50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57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274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>INDEX(B:B,MATCH(146000,B:B,0),1)+(ROW()-MATCH(146000,B:B,0))</f>
        <v>146015</v>
      </c>
      <c r="C17" s="3" t="s">
        <v>286</v>
      </c>
      <c r="D17" s="3" t="s">
        <v>7</v>
      </c>
      <c r="E17" s="3">
        <v>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50</v>
      </c>
      <c r="M17" s="3">
        <v>0</v>
      </c>
      <c r="N17" s="3">
        <v>0</v>
      </c>
      <c r="O17" s="3">
        <v>0</v>
      </c>
      <c r="P17" s="3">
        <v>0</v>
      </c>
      <c r="Q17" s="3">
        <v>100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274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>INDEX(B:B,MATCH(146000,B:B,0),1)+(ROW()-MATCH(146000,B:B,0))</f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100</v>
      </c>
      <c r="H18" s="3">
        <v>0</v>
      </c>
      <c r="I18" s="3">
        <v>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>INDEX(B:B,MATCH(146000,B:B,0),1)+(ROW()-MATCH(146000,B:B,0))</f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100</v>
      </c>
      <c r="H19" s="3">
        <v>0</v>
      </c>
      <c r="I19" s="3">
        <v>0</v>
      </c>
      <c r="J19" s="3">
        <v>0</v>
      </c>
      <c r="K19" s="3">
        <v>0</v>
      </c>
      <c r="L19" s="3">
        <v>50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274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>INDEX(B:B,MATCH(146000,B:B,0),1)+(ROW()-MATCH(146000,B:B,0))</f>
        <v>146018</v>
      </c>
      <c r="C20" s="3" t="s">
        <v>287</v>
      </c>
      <c r="D20" s="3" t="s">
        <v>7</v>
      </c>
      <c r="E20" s="3">
        <v>0</v>
      </c>
      <c r="F20" s="3">
        <v>0</v>
      </c>
      <c r="G20" s="3">
        <v>70</v>
      </c>
      <c r="H20" s="3">
        <v>0</v>
      </c>
      <c r="I20" s="3">
        <v>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288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>INDEX(B:B,MATCH(146000,B:B,0),1)+(ROW()-MATCH(146000,B:B,0))</f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70</v>
      </c>
      <c r="H21" s="3">
        <v>0</v>
      </c>
      <c r="I21" s="3">
        <v>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288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>INDEX(B:B,MATCH(146000,B:B,0),1)+(ROW()-MATCH(146000,B:B,0))</f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288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>INDEX(B:B,MATCH(146000,B:B,0),1)+(ROW()-MATCH(146000,B:B,0))</f>
        <v>146021</v>
      </c>
      <c r="C23" s="3" t="s">
        <v>289</v>
      </c>
      <c r="D23" s="3" t="s">
        <v>7</v>
      </c>
      <c r="E23" s="3">
        <v>0</v>
      </c>
      <c r="F23" s="3">
        <v>0</v>
      </c>
      <c r="G23" s="3">
        <v>80</v>
      </c>
      <c r="H23" s="3">
        <v>200</v>
      </c>
      <c r="I23" s="3">
        <v>0</v>
      </c>
      <c r="J23" s="3">
        <v>0</v>
      </c>
      <c r="K23" s="3">
        <v>0</v>
      </c>
      <c r="L23" s="3">
        <v>100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30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148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>INDEX(B:B,MATCH(146000,B:B,0),1)+(ROW()-MATCH(146000,B:B,0))</f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30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148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>INDEX(B:B,MATCH(146000,B:B,0),1)+(ROW()-MATCH(146000,B:B,0))</f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30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148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>INDEX(B:B,MATCH(146000,B:B,0),1)+(ROW()-MATCH(146000,B:B,0))</f>
        <v>146024</v>
      </c>
      <c r="C26" s="3" t="s">
        <v>290</v>
      </c>
      <c r="D26" s="3" t="s">
        <v>7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>INDEX(B:B,MATCH(146000,B:B,0),1)+(ROW()-MATCH(146000,B:B,0))</f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148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>INDEX(B:B,MATCH(146000,B:B,0),1)+(ROW()-MATCH(146000,B:B,0))</f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70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148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>INDEX(B:B,MATCH(146000,B:B,0),1)+(ROW()-MATCH(146000,B:B,0))</f>
        <v>146027</v>
      </c>
      <c r="C29" s="3" t="s">
        <v>291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30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>INDEX(B:B,MATCH(146000,B:B,0),1)+(ROW()-MATCH(146000,B:B,0))</f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30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>INDEX(B:B,MATCH(146000,B:B,0),1)+(ROW()-MATCH(146000,B:B,0))</f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30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>INDEX(B:B,MATCH(146000,B:B,0),1)+(ROW()-MATCH(146000,B:B,0))</f>
        <v>146030</v>
      </c>
      <c r="C32" s="3" t="s">
        <v>292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>INDEX(B:B,MATCH(146000,B:B,0),1)+(ROW()-MATCH(146000,B:B,0))</f>
        <v>146031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>INDEX(B:B,MATCH(146000,B:B,0),1)+(ROW()-MATCH(146000,B:B,0))</f>
        <v>146032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>INDEX(B:B,MATCH(146000,B:B,0),1)+(ROW()-MATCH(146000,B:B,0))</f>
        <v>146033</v>
      </c>
      <c r="C35" s="3" t="s">
        <v>293</v>
      </c>
      <c r="D35" s="3" t="s">
        <v>7</v>
      </c>
      <c r="E35" s="3">
        <v>0</v>
      </c>
      <c r="F35" s="3">
        <v>0</v>
      </c>
      <c r="G35" s="3">
        <v>80</v>
      </c>
      <c r="H35" s="3">
        <v>200</v>
      </c>
      <c r="I35" s="3">
        <v>0</v>
      </c>
      <c r="J35" s="3">
        <v>0</v>
      </c>
      <c r="K35" s="3">
        <v>0</v>
      </c>
      <c r="L35" s="3">
        <v>100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30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148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>INDEX(B:B,MATCH(146000,B:B,0),1)+(ROW()-MATCH(146000,B:B,0))</f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200</v>
      </c>
      <c r="I36" s="3">
        <v>0</v>
      </c>
      <c r="J36" s="3">
        <v>0</v>
      </c>
      <c r="K36" s="3">
        <v>0</v>
      </c>
      <c r="L36" s="3">
        <v>100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30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148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>INDEX(B:B,MATCH(146000,B:B,0),1)+(ROW()-MATCH(146000,B:B,0))</f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200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30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148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>INDEX(B:B,MATCH(146000,B:B,0),1)+(ROW()-MATCH(146000,B:B,0))</f>
        <v>146036</v>
      </c>
      <c r="C38" s="3" t="s">
        <v>184</v>
      </c>
      <c r="D38" s="3" t="s">
        <v>7</v>
      </c>
      <c r="E38" s="3">
        <v>30</v>
      </c>
      <c r="F38" s="3">
        <v>0</v>
      </c>
      <c r="G38" s="3">
        <v>80</v>
      </c>
      <c r="H38" s="3">
        <v>200</v>
      </c>
      <c r="I38" s="3">
        <v>0</v>
      </c>
      <c r="J38" s="3">
        <v>0</v>
      </c>
      <c r="K38" s="3">
        <v>0</v>
      </c>
      <c r="L38" s="3">
        <v>100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30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148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>INDEX(B:B,MATCH(146000,B:B,0),1)+(ROW()-MATCH(146000,B:B,0))</f>
        <v>146037</v>
      </c>
      <c r="C39" s="3" t="s">
        <v>7</v>
      </c>
      <c r="D39" s="3" t="s">
        <v>7</v>
      </c>
      <c r="E39" s="3">
        <v>30</v>
      </c>
      <c r="F39" s="3">
        <v>0</v>
      </c>
      <c r="G39" s="3">
        <v>80</v>
      </c>
      <c r="H39" s="3">
        <v>200</v>
      </c>
      <c r="I39" s="3">
        <v>0</v>
      </c>
      <c r="J39" s="3">
        <v>0</v>
      </c>
      <c r="K39" s="3">
        <v>0</v>
      </c>
      <c r="L39" s="3">
        <v>100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0</v>
      </c>
      <c r="S39" s="3">
        <v>30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148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>INDEX(B:B,MATCH(146000,B:B,0),1)+(ROW()-MATCH(146000,B:B,0))</f>
        <v>146038</v>
      </c>
      <c r="C40" s="3" t="s">
        <v>7</v>
      </c>
      <c r="D40" s="3" t="s">
        <v>7</v>
      </c>
      <c r="E40" s="3">
        <v>30</v>
      </c>
      <c r="F40" s="3">
        <v>0</v>
      </c>
      <c r="G40" s="3">
        <v>80</v>
      </c>
      <c r="H40" s="3">
        <v>200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30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148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>INDEX(B:B,MATCH(146000,B:B,0),1)+(ROW()-MATCH(146000,B:B,0))</f>
        <v>146039</v>
      </c>
      <c r="C41" s="3" t="s">
        <v>296</v>
      </c>
      <c r="D41" s="3" t="s">
        <v>7</v>
      </c>
      <c r="E41" s="3">
        <v>0</v>
      </c>
      <c r="F41" s="3">
        <v>0</v>
      </c>
      <c r="G41" s="3">
        <v>55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110</v>
      </c>
      <c r="Q41" s="3">
        <v>55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202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50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209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>INDEX(B:B,MATCH(146000,B:B,0),1)+(ROW()-MATCH(146000,B:B,0))</f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110</v>
      </c>
      <c r="Q42" s="3">
        <v>55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202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50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209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>INDEX(B:B,MATCH(146000,B:B,0),1)+(ROW()-MATCH(146000,B:B,0))</f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110</v>
      </c>
      <c r="Q43" s="3">
        <v>55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202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50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209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>INDEX(B:B,MATCH(146000,B:B,0),1)+(ROW()-MATCH(146000,B:B,0))</f>
        <v>146042</v>
      </c>
      <c r="C44" s="3" t="s">
        <v>294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30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90</v>
      </c>
      <c r="Q44" s="3">
        <v>55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46</v>
      </c>
      <c r="AD44" s="5" t="s">
        <v>65</v>
      </c>
      <c r="AE44" s="5" t="s">
        <v>202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-50</v>
      </c>
      <c r="AM44" s="5">
        <v>30</v>
      </c>
      <c r="AN44" s="5">
        <v>50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209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>INDEX(B:B,MATCH(146000,B:B,0),1)+(ROW()-MATCH(146000,B:B,0))</f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55</v>
      </c>
      <c r="H45" s="3">
        <v>0</v>
      </c>
      <c r="I45" s="3">
        <v>30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90</v>
      </c>
      <c r="Q45" s="3">
        <v>55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46</v>
      </c>
      <c r="AD45" s="5" t="s">
        <v>65</v>
      </c>
      <c r="AE45" s="5" t="s">
        <v>202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-50</v>
      </c>
      <c r="AM45" s="5">
        <v>30</v>
      </c>
      <c r="AN45" s="5">
        <v>50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209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>INDEX(B:B,MATCH(146000,B:B,0),1)+(ROW()-MATCH(146000,B:B,0))</f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55</v>
      </c>
      <c r="H46" s="3">
        <v>0</v>
      </c>
      <c r="I46" s="3">
        <v>30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90</v>
      </c>
      <c r="Q46" s="3">
        <v>55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46</v>
      </c>
      <c r="AD46" s="5" t="s">
        <v>65</v>
      </c>
      <c r="AE46" s="5" t="s">
        <v>202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-50</v>
      </c>
      <c r="AM46" s="5">
        <v>30</v>
      </c>
      <c r="AN46" s="5">
        <v>50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209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>INDEX(B:B,MATCH(146000,B:B,0),1)+(ROW()-MATCH(146000,B:B,0))</f>
        <v>146045</v>
      </c>
      <c r="C47" s="3" t="s">
        <v>295</v>
      </c>
      <c r="D47" s="3" t="s">
        <v>7</v>
      </c>
      <c r="E47" s="3">
        <v>20</v>
      </c>
      <c r="F47" s="3">
        <v>0</v>
      </c>
      <c r="G47" s="3">
        <v>55</v>
      </c>
      <c r="H47" s="3">
        <v>0</v>
      </c>
      <c r="I47" s="3">
        <v>30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90</v>
      </c>
      <c r="Q47" s="3">
        <v>55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46</v>
      </c>
      <c r="AD47" s="5" t="s">
        <v>65</v>
      </c>
      <c r="AE47" s="5" t="s">
        <v>202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-50</v>
      </c>
      <c r="AM47" s="5">
        <v>30</v>
      </c>
      <c r="AN47" s="5">
        <v>50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209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>INDEX(B:B,MATCH(146000,B:B,0),1)+(ROW()-MATCH(146000,B:B,0))</f>
        <v>146046</v>
      </c>
      <c r="C48" s="3" t="s">
        <v>7</v>
      </c>
      <c r="D48" s="3" t="s">
        <v>7</v>
      </c>
      <c r="E48" s="3">
        <v>20</v>
      </c>
      <c r="F48" s="3">
        <v>0</v>
      </c>
      <c r="G48" s="3">
        <v>55</v>
      </c>
      <c r="H48" s="3">
        <v>0</v>
      </c>
      <c r="I48" s="3">
        <v>30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90</v>
      </c>
      <c r="Q48" s="3">
        <v>55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46</v>
      </c>
      <c r="AD48" s="5" t="s">
        <v>65</v>
      </c>
      <c r="AE48" s="5" t="s">
        <v>202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-50</v>
      </c>
      <c r="AM48" s="5">
        <v>30</v>
      </c>
      <c r="AN48" s="5">
        <v>50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209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>INDEX(B:B,MATCH(146000,B:B,0),1)+(ROW()-MATCH(146000,B:B,0))</f>
        <v>146047</v>
      </c>
      <c r="C49" s="3" t="s">
        <v>7</v>
      </c>
      <c r="D49" s="3" t="s">
        <v>7</v>
      </c>
      <c r="E49" s="3">
        <v>20</v>
      </c>
      <c r="F49" s="3">
        <v>0</v>
      </c>
      <c r="G49" s="3">
        <v>55</v>
      </c>
      <c r="H49" s="3">
        <v>0</v>
      </c>
      <c r="I49" s="3">
        <v>30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90</v>
      </c>
      <c r="Q49" s="3">
        <v>55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46</v>
      </c>
      <c r="AD49" s="5" t="s">
        <v>65</v>
      </c>
      <c r="AE49" s="5" t="s">
        <v>202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-50</v>
      </c>
      <c r="AM49" s="5">
        <v>30</v>
      </c>
      <c r="AN49" s="5">
        <v>50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209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>INDEX(B:B,MATCH(146000,B:B,0),1)+(ROW()-MATCH(146000,B:B,0))</f>
        <v>146048</v>
      </c>
      <c r="C50" s="3" t="s">
        <v>7</v>
      </c>
      <c r="D50" s="3" t="s">
        <v>169</v>
      </c>
      <c r="E50" s="3">
        <v>30</v>
      </c>
      <c r="F50" s="3">
        <v>0</v>
      </c>
      <c r="G50" s="3">
        <v>88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120</v>
      </c>
      <c r="R50" s="3">
        <v>65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50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89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>INDEX(B:B,MATCH(146000,B:B,0),1)+(ROW()-MATCH(146000,B:B,0))</f>
        <v>146049</v>
      </c>
      <c r="C51" s="3" t="s">
        <v>7</v>
      </c>
      <c r="D51" s="3" t="s">
        <v>7</v>
      </c>
      <c r="E51" s="3">
        <v>30</v>
      </c>
      <c r="F51" s="3">
        <v>0</v>
      </c>
      <c r="G51" s="3">
        <v>88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80</v>
      </c>
      <c r="R51" s="3">
        <v>60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50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89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>INDEX(B:B,MATCH(146000,B:B,0),1)+(ROW()-MATCH(146000,B:B,0))</f>
        <v>146050</v>
      </c>
      <c r="C52" s="3" t="s">
        <v>7</v>
      </c>
      <c r="D52" s="3" t="s">
        <v>7</v>
      </c>
      <c r="E52" s="3">
        <v>30</v>
      </c>
      <c r="F52" s="3">
        <v>0</v>
      </c>
      <c r="G52" s="3">
        <v>88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180</v>
      </c>
      <c r="R52" s="3">
        <v>70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50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89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 t="shared" ref="B53:B55" si="2">INDEX(B:B,MATCH(146000,B:B,0),1)+(ROW()-MATCH(146000,B:B,0))</f>
        <v>146051</v>
      </c>
      <c r="C53" s="3" t="s">
        <v>223</v>
      </c>
      <c r="D53" s="3" t="s">
        <v>7</v>
      </c>
      <c r="E53" s="3">
        <v>0</v>
      </c>
      <c r="F53" s="3">
        <v>0</v>
      </c>
      <c r="G53" s="3">
        <v>80</v>
      </c>
      <c r="H53" s="3">
        <v>0</v>
      </c>
      <c r="I53" s="3">
        <v>0</v>
      </c>
      <c r="J53" s="3">
        <v>110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60</v>
      </c>
      <c r="AD53" s="5" t="s">
        <v>23</v>
      </c>
      <c r="AE53" s="5" t="s">
        <v>66</v>
      </c>
      <c r="AF53" s="5" t="s">
        <v>27</v>
      </c>
      <c r="AG53" s="5" t="s">
        <v>39</v>
      </c>
      <c r="AH53" s="5" t="s">
        <v>131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7</v>
      </c>
      <c r="AN53" s="5">
        <v>20</v>
      </c>
      <c r="AO53" s="5">
        <v>20</v>
      </c>
      <c r="AP53" s="5">
        <v>30</v>
      </c>
      <c r="AQ53" s="5">
        <v>30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 t="shared" si="2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0</v>
      </c>
      <c r="I54" s="3">
        <v>0</v>
      </c>
      <c r="J54" s="3">
        <v>90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90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61</v>
      </c>
      <c r="AD54" s="5" t="s">
        <v>62</v>
      </c>
      <c r="AE54" s="5" t="s">
        <v>57</v>
      </c>
      <c r="AF54" s="5" t="s">
        <v>23</v>
      </c>
      <c r="AG54" s="5" t="s">
        <v>39</v>
      </c>
      <c r="AH54" s="5" t="s">
        <v>66</v>
      </c>
      <c r="AI54" s="5" t="s">
        <v>27</v>
      </c>
      <c r="AJ54" s="5" t="s">
        <v>131</v>
      </c>
      <c r="AK54" s="5" t="s">
        <v>7</v>
      </c>
      <c r="AL54" s="5">
        <v>20</v>
      </c>
      <c r="AM54" s="5">
        <v>20</v>
      </c>
      <c r="AN54" s="5">
        <v>10</v>
      </c>
      <c r="AO54" s="5">
        <v>10</v>
      </c>
      <c r="AP54" s="5">
        <v>30</v>
      </c>
      <c r="AQ54" s="5">
        <v>20</v>
      </c>
      <c r="AR54" s="5">
        <v>20</v>
      </c>
      <c r="AS54" s="5">
        <v>30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 t="shared" si="2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0</v>
      </c>
      <c r="I55" s="3">
        <v>0</v>
      </c>
      <c r="J55" s="3">
        <v>130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63</v>
      </c>
      <c r="AD55" s="5" t="s">
        <v>67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100</v>
      </c>
      <c r="AM55" s="5">
        <v>70</v>
      </c>
      <c r="AN55" s="5">
        <v>20</v>
      </c>
      <c r="AO55" s="5">
        <v>20</v>
      </c>
      <c r="AP55" s="5">
        <v>20</v>
      </c>
      <c r="AQ55" s="5">
        <v>30</v>
      </c>
      <c r="AR55" s="5">
        <v>30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ROW()-2+147000</f>
        <v>147000</v>
      </c>
      <c r="B2" s="6">
        <v>147000</v>
      </c>
      <c r="C2" s="6" t="s">
        <v>301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299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225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225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225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300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225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225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20" customFormat="1" ht="15.75" customHeight="1" x14ac:dyDescent="0.2">
      <c r="A2" s="17">
        <f>ROW()-2+160000</f>
        <v>160000</v>
      </c>
      <c r="B2" s="17">
        <v>160000</v>
      </c>
      <c r="C2" s="17" t="s">
        <v>302</v>
      </c>
      <c r="D2" s="17" t="s">
        <v>7</v>
      </c>
      <c r="E2" s="17">
        <v>30</v>
      </c>
      <c r="F2" s="17">
        <v>0</v>
      </c>
      <c r="G2" s="17">
        <v>80</v>
      </c>
      <c r="H2" s="17">
        <v>200</v>
      </c>
      <c r="I2" s="17">
        <v>0</v>
      </c>
      <c r="J2" s="17">
        <v>0</v>
      </c>
      <c r="K2" s="17">
        <v>0</v>
      </c>
      <c r="L2" s="17">
        <v>100</v>
      </c>
      <c r="M2" s="17">
        <v>0</v>
      </c>
      <c r="N2" s="17">
        <v>0</v>
      </c>
      <c r="O2" s="17">
        <v>0</v>
      </c>
      <c r="P2" s="17">
        <v>0</v>
      </c>
      <c r="Q2" s="17">
        <v>70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8" t="s">
        <v>70</v>
      </c>
      <c r="AD2" s="18" t="s">
        <v>7</v>
      </c>
      <c r="AE2" s="18" t="s">
        <v>7</v>
      </c>
      <c r="AF2" s="18" t="s">
        <v>7</v>
      </c>
      <c r="AG2" s="18" t="s">
        <v>7</v>
      </c>
      <c r="AH2" s="18" t="s">
        <v>7</v>
      </c>
      <c r="AI2" s="18" t="s">
        <v>7</v>
      </c>
      <c r="AJ2" s="18" t="s">
        <v>7</v>
      </c>
      <c r="AK2" s="18" t="s">
        <v>7</v>
      </c>
      <c r="AL2" s="18">
        <v>20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9" t="s">
        <v>154</v>
      </c>
      <c r="AW2" s="18">
        <v>0</v>
      </c>
      <c r="AX2" s="18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223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A11" sqref="A11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303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ROW()-2+161000</f>
        <v>161002</v>
      </c>
      <c r="B4" s="3">
        <f>INDEX(B:B,MATCH(161000,B:B,0),1)+(ROW()-MATCH(161000,B:B,0))</f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161003</v>
      </c>
      <c r="B5" s="3">
        <f>INDEX(B:B,MATCH(161000,B:B,0),1)+(ROW()-MATCH(161000,B:B,0))</f>
        <v>161003</v>
      </c>
      <c r="C5" s="3" t="s">
        <v>305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161004</v>
      </c>
      <c r="B6" s="3">
        <f>INDEX(B:B,MATCH(161000,B:B,0),1)+(ROW()-MATCH(161000,B:B,0))</f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161005</v>
      </c>
      <c r="B7" s="3">
        <f>INDEX(B:B,MATCH(161000,B:B,0),1)+(ROW()-MATCH(161000,B:B,0))</f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161006</v>
      </c>
      <c r="B8" s="3">
        <f>INDEX(B:B,MATCH(161000,B:B,0),1)+(ROW()-MATCH(161000,B:B,0))</f>
        <v>161006</v>
      </c>
      <c r="C8" s="3" t="s">
        <v>7</v>
      </c>
      <c r="D8" s="3" t="s">
        <v>304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161007</v>
      </c>
      <c r="B9" s="3">
        <f>INDEX(B:B,MATCH(161000,B:B,0),1)+(ROW()-MATCH(161000,B:B,0))</f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161008</v>
      </c>
      <c r="B10" s="3">
        <f>INDEX(B:B,MATCH(161000,B:B,0),1)+(ROW()-MATCH(161000,B:B,0))</f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161009</v>
      </c>
      <c r="B11" s="3">
        <f>INDEX(B:B,MATCH(161000,B:B,0),1)+(ROW()-MATCH(161000,B:B,0))</f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161010</v>
      </c>
      <c r="B12" s="3">
        <f>INDEX(B:B,MATCH(161000,B:B,0),1)+(ROW()-MATCH(161000,B:B,0))</f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161011</v>
      </c>
      <c r="B13" s="3">
        <f>INDEX(B:B,MATCH(161000,B:B,0),1)+(ROW()-MATCH(161000,B:B,0))</f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ref="A14:A16" si="1">ROW()-2+160000</f>
        <v>160012</v>
      </c>
      <c r="B14" s="3">
        <f ca="1">INDEX(B:B,MATCH(160000,B:B,0),1)+(ROW()-MATCH(160000,B:B,0))</f>
        <v>160003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160013</v>
      </c>
      <c r="B15" s="3">
        <f ca="1">INDEX(B:B,MATCH(160000,B:B,0),1)+(ROW()-MATCH(160000,B:B,0))</f>
        <v>160004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160014</v>
      </c>
      <c r="B16" s="3">
        <f ca="1">INDEX(B:B,MATCH(160000,B:B,0),1)+(ROW()-MATCH(160000,B:B,0))</f>
        <v>160005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A20" sqref="A20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306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ROW()-2+162000</f>
        <v>162002</v>
      </c>
      <c r="B4" s="3">
        <f>INDEX(B:B,MATCH(162000,B:B,0),1)+(ROW()-MATCH(162000,B:B,0))</f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162003</v>
      </c>
      <c r="B5" s="3">
        <f>INDEX(B:B,MATCH(162000,B:B,0),1)+(ROW()-MATCH(162000,B:B,0))</f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162004</v>
      </c>
      <c r="B6" s="3">
        <f>INDEX(B:B,MATCH(162000,B:B,0),1)+(ROW()-MATCH(162000,B:B,0))</f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162005</v>
      </c>
      <c r="B7" s="3">
        <f>INDEX(B:B,MATCH(162000,B:B,0),1)+(ROW()-MATCH(162000,B:B,0))</f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162006</v>
      </c>
      <c r="B8" s="3">
        <f>INDEX(B:B,MATCH(162000,B:B,0),1)+(ROW()-MATCH(162000,B:B,0))</f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162007</v>
      </c>
      <c r="B9" s="3">
        <f>INDEX(B:B,MATCH(162000,B:B,0),1)+(ROW()-MATCH(162000,B:B,0))</f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162008</v>
      </c>
      <c r="B10" s="3">
        <f>INDEX(B:B,MATCH(162000,B:B,0),1)+(ROW()-MATCH(162000,B:B,0))</f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162009</v>
      </c>
      <c r="B11" s="3">
        <f>INDEX(B:B,MATCH(162000,B:B,0),1)+(ROW()-MATCH(162000,B:B,0))</f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162010</v>
      </c>
      <c r="B12" s="3">
        <f>INDEX(B:B,MATCH(162000,B:B,0),1)+(ROW()-MATCH(162000,B:B,0))</f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162011</v>
      </c>
      <c r="B13" s="3">
        <f>INDEX(B:B,MATCH(162000,B:B,0),1)+(ROW()-MATCH(162000,B:B,0))</f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162012</v>
      </c>
      <c r="B14" s="3">
        <f>INDEX(B:B,MATCH(162000,B:B,0),1)+(ROW()-MATCH(162000,B:B,0))</f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162013</v>
      </c>
      <c r="B15" s="3">
        <f>INDEX(B:B,MATCH(162000,B:B,0),1)+(ROW()-MATCH(162000,B:B,0))</f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162014</v>
      </c>
      <c r="B16" s="3">
        <f>INDEX(B:B,MATCH(162000,B:B,0),1)+(ROW()-MATCH(162000,B:B,0))</f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162015</v>
      </c>
      <c r="B17" s="3">
        <f t="shared" ref="B17:B19" si="1">INDEX(B:B,MATCH(162000,B:B,0),1)+(ROW()-MATCH(162000,B:B,0))</f>
        <v>162015</v>
      </c>
      <c r="C17" s="3" t="s">
        <v>307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162016</v>
      </c>
      <c r="B18" s="3">
        <f t="shared" si="1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162017</v>
      </c>
      <c r="B19" s="3">
        <f t="shared" si="1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ref="A20:A22" si="2">ROW()-2+160000</f>
        <v>160018</v>
      </c>
      <c r="B20" s="3">
        <f ca="1">INDEX(B:B,MATCH(160000,B:B,0),1)+(ROW()-MATCH(160000,B:B,0))</f>
        <v>160003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160019</v>
      </c>
      <c r="B21" s="3">
        <f ca="1">INDEX(B:B,MATCH(160000,B:B,0),1)+(ROW()-MATCH(160000,B:B,0))</f>
        <v>160004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160020</v>
      </c>
      <c r="B22" s="3">
        <f ca="1">INDEX(B:B,MATCH(160000,B:B,0),1)+(ROW()-MATCH(160000,B:B,0))</f>
        <v>160005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308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>INDEX(B:B,MATCH(163000,B:B,0),1)+(ROW()-MATCH(163000,B:B,0))</f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>INDEX(B:B,MATCH(163000,B:B,0),1)+(ROW()-MATCH(163000,B:B,0))</f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>INDEX(B:B,MATCH(163000,B:B,0),1)+(ROW()-MATCH(163000,B:B,0))</f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>INDEX(B:B,MATCH(163000,B:B,0),1)+(ROW()-MATCH(163000,B:B,0))</f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>INDEX(B:B,MATCH(163000,B:B,0),1)+(ROW()-MATCH(163000,B:B,0))</f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>INDEX(B:B,MATCH(163000,B:B,0),1)+(ROW()-MATCH(163000,B:B,0))</f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>INDEX(B:B,MATCH(163000,B:B,0),1)+(ROW()-MATCH(163000,B:B,0))</f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>INDEX(B:B,MATCH(163000,B:B,0),1)+(ROW()-MATCH(163000,B:B,0))</f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ROW()-2+160000</f>
        <v>160015</v>
      </c>
      <c r="B17" s="3">
        <f ca="1">INDEX(B:B,MATCH(160000,B:B,0),1)+(ROW()-MATCH(160000,B:B,0))</f>
        <v>160003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160016</v>
      </c>
      <c r="B18" s="3">
        <f ca="1">INDEX(B:B,MATCH(160000,B:B,0),1)+(ROW()-MATCH(160000,B:B,0))</f>
        <v>160004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160017</v>
      </c>
      <c r="B19" s="3">
        <f ca="1">INDEX(B:B,MATCH(160000,B:B,0),1)+(ROW()-MATCH(160000,B:B,0))</f>
        <v>160005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310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ROW()-2+164000</f>
        <v>164002</v>
      </c>
      <c r="B4" s="3">
        <f>INDEX(B:B,MATCH(164000,B:B,0),1)+(ROW()-MATCH(164000,B:B,0))</f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164003</v>
      </c>
      <c r="B5" s="3">
        <f>INDEX(B:B,MATCH(164000,B:B,0),1)+(ROW()-MATCH(164000,B:B,0))</f>
        <v>164003</v>
      </c>
      <c r="C5" s="3" t="s">
        <v>254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164004</v>
      </c>
      <c r="B6" s="3">
        <f>INDEX(B:B,MATCH(164000,B:B,0),1)+(ROW()-MATCH(164000,B:B,0))</f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164005</v>
      </c>
      <c r="B7" s="3">
        <f>INDEX(B:B,MATCH(164000,B:B,0),1)+(ROW()-MATCH(164000,B:B,0))</f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164006</v>
      </c>
      <c r="B8" s="3">
        <f>INDEX(B:B,MATCH(164000,B:B,0),1)+(ROW()-MATCH(164000,B:B,0))</f>
        <v>164006</v>
      </c>
      <c r="C8" s="3" t="s">
        <v>273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274</v>
      </c>
      <c r="AW8" s="5">
        <v>0</v>
      </c>
      <c r="AX8" s="5">
        <v>0</v>
      </c>
    </row>
    <row r="9" spans="1:50" ht="15.75" customHeight="1" x14ac:dyDescent="0.2">
      <c r="A9" s="3">
        <f t="shared" si="0"/>
        <v>164007</v>
      </c>
      <c r="B9" s="3">
        <f>INDEX(B:B,MATCH(164000,B:B,0),1)+(ROW()-MATCH(164000,B:B,0))</f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164008</v>
      </c>
      <c r="B10" s="3">
        <f>INDEX(B:B,MATCH(164000,B:B,0),1)+(ROW()-MATCH(164000,B:B,0))</f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274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164009</v>
      </c>
      <c r="B11" s="3">
        <f>INDEX(B:B,MATCH(164000,B:B,0),1)+(ROW()-MATCH(164000,B:B,0))</f>
        <v>164009</v>
      </c>
      <c r="C11" s="3" t="s">
        <v>7</v>
      </c>
      <c r="D11" s="3" t="s">
        <v>309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164010</v>
      </c>
      <c r="B12" s="3">
        <f>INDEX(B:B,MATCH(164000,B:B,0),1)+(ROW()-MATCH(164000,B:B,0))</f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164011</v>
      </c>
      <c r="B13" s="3">
        <f>INDEX(B:B,MATCH(164000,B:B,0),1)+(ROW()-MATCH(164000,B:B,0))</f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164012</v>
      </c>
      <c r="B14" s="3">
        <f t="shared" ref="B14:B16" si="1">INDEX(B:B,MATCH(164000,B:B,0),1)+(ROW()-MATCH(164000,B:B,0))</f>
        <v>164012</v>
      </c>
      <c r="C14" s="3" t="s">
        <v>7</v>
      </c>
      <c r="D14" s="3" t="s">
        <v>247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246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164013</v>
      </c>
      <c r="B15" s="3">
        <f t="shared" si="1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246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164014</v>
      </c>
      <c r="B16" s="3">
        <f t="shared" si="1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246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164015</v>
      </c>
      <c r="B17" s="3">
        <f>INDEX(B:B,MATCH(164000,B:B,0),1)+(ROW()-MATCH(164000,B:B,0))</f>
        <v>164015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311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312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313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230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231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>INDEX(B:B,MATCH(167000,B:B,0),1)+(ROW()-MATCH(167000,B:B,0))</f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>INDEX(B:B,MATCH(167000,B:B,0),1)+(ROW()-MATCH(167000,B:B,0))</f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>INDEX(B:B,MATCH(167000,B:B,0),1)+(ROW()-MATCH(167000,B:B,0))</f>
        <v>167015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>INDEX(B:B,MATCH(167000,B:B,0),1)+(ROW()-MATCH(167000,B:B,0))</f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>INDEX(B:B,MATCH(167000,B:B,0),1)+(ROW()-MATCH(167000,B:B,0))</f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2024-10-23T11:09:24Z</dcterms:modified>
</cp:coreProperties>
</file>