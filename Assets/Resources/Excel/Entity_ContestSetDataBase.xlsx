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2A26EE7-47AA-4605-863D-816B9EB5DE48}" xr6:coauthVersionLast="47" xr6:coauthVersionMax="47" xr10:uidLastSave="{00000000-0000-0000-0000-000000000000}"/>
  <bookViews>
    <workbookView xWindow="1200" yWindow="900" windowWidth="25560" windowHeight="14325" tabRatio="776" firstSheet="2" activeTab="2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36" l="1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3" i="13"/>
  <c r="A13" i="13"/>
  <c r="B12" i="13"/>
  <c r="A12" i="13"/>
  <c r="B11" i="13"/>
  <c r="A11" i="13"/>
  <c r="B3" i="13"/>
  <c r="B4" i="13"/>
  <c r="B5" i="13"/>
  <c r="B6" i="13"/>
  <c r="B7" i="13"/>
  <c r="B8" i="13"/>
  <c r="B9" i="13"/>
  <c r="B10" i="13"/>
  <c r="A10" i="13"/>
  <c r="A9" i="13"/>
  <c r="A8" i="13"/>
  <c r="B16" i="12"/>
  <c r="A16" i="12"/>
  <c r="B15" i="12"/>
  <c r="A15" i="12"/>
  <c r="B14" i="12"/>
  <c r="A14" i="12"/>
  <c r="B3" i="12"/>
  <c r="B4" i="12"/>
  <c r="B5" i="12"/>
  <c r="B6" i="12"/>
  <c r="B7" i="12"/>
  <c r="B8" i="12"/>
  <c r="B9" i="12"/>
  <c r="B10" i="12"/>
  <c r="B11" i="12"/>
  <c r="B12" i="12"/>
  <c r="B13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7" i="13"/>
  <c r="A6" i="13"/>
  <c r="A5" i="13"/>
  <c r="A13" i="12"/>
  <c r="A12" i="12"/>
  <c r="A11" i="12"/>
  <c r="A10" i="12"/>
  <c r="A9" i="12"/>
  <c r="A8" i="12"/>
  <c r="A7" i="12"/>
  <c r="A6" i="12"/>
  <c r="A5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<sst xmlns="http://schemas.openxmlformats.org/spreadsheetml/2006/main" count="18244" uniqueCount="332">
  <si>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</si>
  <si>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</si>
  <si>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</si>
  <si>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</si>
  <si>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</si>
  <si>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</si>
  <si>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</si>
  <si>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</si>
  <si>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</si>
  <si>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</si>
  <si>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</si>
  <si>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</si>
  <si>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</si>
  <si>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</si>
  <si>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</si>
  <si>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</si>
  <si>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</si>
  <si>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</si>
  <si>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</si>
  <si>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</si>
  <si>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</si>
  <si>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</si>
  <si>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</si>
  <si>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</si>
  <si>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</si>
  <si>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</si>
  <si>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</si>
  <si>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</si>
  <si>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</si>
  <si>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</si>
  <si>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</si>
  <si>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</si>
  <si>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</si>
  <si>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</si>
  <si>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</si>
  <si>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</si>
  <si>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</si>
  <si>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</si>
  <si>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</si>
  <si>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</si>
  <si>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</si>
  <si>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</si>
  <si>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</si>
  <si>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</si>
  <si>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</si>
  <si>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</si>
  <si>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</si>
  <si>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</si>
  <si>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</si>
  <si>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</si>
  <si>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</si>
  <si>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</si>
  <si>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</si>
  <si>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</si>
  <si>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</si>
  <si>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</si>
  <si>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</si>
  <si>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</si>
  <si>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</si>
  <si>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</si>
  <si>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</si>
  <si>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</si>
  <si>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</si>
  <si>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</si>
  <si>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</si>
  <si>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</si>
  <si>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</si>
  <si>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</si>
  <si>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</si>
  <si>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</si>
  <si>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</si>
  <si>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</si>
  <si>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</si>
  <si>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</si>
  <si>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</si>
  <si>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</si>
  <si>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</si>
  <si>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</si>
  <si>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</si>
  <si>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</si>
  <si>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</si>
  <si>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</si>
  <si>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</si>
  <si>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</si>
  <si>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</si>
  <si>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</si>
  <si>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</si>
  <si>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</si>
  <si>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</si>
  <si>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</si>
  <si>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</si>
  <si>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</si>
  <si>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</si>
  <si>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</si>
  <si>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</si>
  <si>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</si>
  <si>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</si>
  <si>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</si>
  <si>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</si>
  <si>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</si>
  <si>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</si>
  <si>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</si>
  <si>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</si>
  <si>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</si>
  <si>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</si>
  <si>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</si>
  <si>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</si>
  <si>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</si>
  <si>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</si>
  <si>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</si>
  <si>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</si>
  <si>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</si>
  <si>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</si>
  <si>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</si>
  <si>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</si>
  <si>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</si>
  <si>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</si>
  <si>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</si>
  <si>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</si>
  <si>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</si>
  <si>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</si>
  <si>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</si>
  <si>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</si>
  <si>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</si>
  <si>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</si>
  <si>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</si>
  <si>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</si>
  <si>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</si>
  <si>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</si>
  <si>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</si>
  <si>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</si>
  <si>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</si>
  <si>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</si>
  <si>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</si>
  <si>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</si>
  <si>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</si>
  <si>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</si>
  <si>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</si>
  <si>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</si>
  <si>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</si>
  <si>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</si>
  <si>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</si>
  <si>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</si>
  <si>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</si>
  <si>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</si>
  <si>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</si>
  <si>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</si>
  <si>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</si>
  <si>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</si>
  <si>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</si>
  <si>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</si>
  <si>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</si>
  <si>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</si>
  <si>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</si>
  <si>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</si>
  <si>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</si>
  <si>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</si>
  <si>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</si>
  <si>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</si>
  <si>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</si>
  <si>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</si>
  <si>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</si>
  <si>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</si>
  <si>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</si>
  <si>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</si>
  <si>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</si>
  <si>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</si>
  <si>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</si>
  <si>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</si>
  <si>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</si>
  <si>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</si>
  <si>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</si>
  <si>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</si>
  <si>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</si>
  <si>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</si>
  <si>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</si>
  <si>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</si>
  <si>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</si>
  <si>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</si>
  <si>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</si>
  <si>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</si>
  <si>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</si>
  <si>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</si>
  <si>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</si>
  <si>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</si>
  <si>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</si>
  <si>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</si>
  <si>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</si>
  <si>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</si>
  <si>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</si>
  <si>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</si>
  <si>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</si>
  <si>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</si>
  <si>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</si>
  <si>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</si>
  <si>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</si>
  <si>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</si>
  <si>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</si>
  <si>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</si>
  <si>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</si>
  <si>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</si>
  <si>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</si>
  <si>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</si>
  <si>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#クッキーノービスカップ</t>
    <phoneticPr fontId="2"/>
  </si>
  <si>
    <t>#ラスクブロカント</t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</si>
  <si>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phoneticPr fontId="2"/>
  </si>
  <si>
    <r>
      <t>#</t>
    </r>
    <r>
      <rPr>
        <sz val="10"/>
        <rFont val="ＭＳ Ｐゴシック"/>
        <family val="2"/>
        <charset val="128"/>
      </rPr>
      <t>ルミエールカンデラ</t>
    </r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</si>
  <si>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</si>
  <si>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</si>
  <si>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</si>
  <si>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</si>
  <si>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</si>
  <si>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</si>
  <si>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r>
      <t>##</t>
    </r>
    <r>
      <rPr>
        <sz val="10"/>
        <rFont val="ＭＳ Ｐゴシック"/>
        <family val="2"/>
        <charset val="128"/>
      </rPr>
      <t>プラトンアカデミー一回戦　焼き菓子##</t>
    </r>
    <rPh sb="11" eb="14">
      <t>イッカイセン</t>
    </rPh>
    <rPh sb="15" eb="16">
      <t>ヤ</t>
    </rPh>
    <rPh sb="17" eb="19">
      <t>ガシ</t>
    </rPh>
    <phoneticPr fontId="2"/>
  </si>
  <si>
    <r>
      <t>##</t>
    </r>
    <r>
      <rPr>
        <sz val="10"/>
        <rFont val="ＭＳ Ｐゴシック"/>
        <family val="2"/>
        <charset val="128"/>
      </rPr>
      <t>未使用　一回戦　焼き菓子##</t>
    </r>
    <rPh sb="2" eb="5">
      <t>ミシヨウ</t>
    </rPh>
    <rPh sb="6" eb="9">
      <t>イッカイセン</t>
    </rPh>
    <rPh sb="10" eb="11">
      <t>ヤ</t>
    </rPh>
    <rPh sb="12" eb="14">
      <t>ガシ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</si>
  <si>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</si>
  <si>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</si>
  <si>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</si>
  <si>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</si>
  <si>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</si>
  <si>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#オランジーナパティスリーアワード　 ケーキかクリームブリュレ</t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</si>
  <si>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</si>
  <si>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</si>
  <si>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</si>
  <si>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</si>
  <si>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</si>
  <si>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</si>
  <si>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</t>
    </r>
    <rPh sb="22" eb="24">
      <t>シュウバン</t>
    </rPh>
    <rPh sb="27" eb="29">
      <t>キジュン</t>
    </rPh>
    <rPh sb="30" eb="33">
      <t>ナンイド</t>
    </rPh>
    <rPh sb="33" eb="34">
      <t>タカ</t>
    </rPh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</si>
  <si>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</si>
  <si>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</si>
  <si>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</si>
  <si>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</si>
  <si>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</si>
  <si>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</si>
  <si>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</si>
  <si>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</si>
  <si>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</si>
  <si>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</t>
    </r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</si>
  <si>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</si>
  <si>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</si>
  <si>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</si>
  <si>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</si>
  <si>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ゴージャスな飲み物</t>
    </r>
    <rPh sb="19" eb="20">
      <t>ノ</t>
    </rPh>
    <rPh sb="21" eb="22">
      <t>モノ</t>
    </rPh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</si>
  <si>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</si>
  <si>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</si>
  <si>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</si>
  <si>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</si>
  <si>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</si>
  <si>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</si>
  <si>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</si>
  <si>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</si>
  <si>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</si>
  <si>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</si>
  <si>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</si>
  <si>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</si>
  <si>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</si>
  <si>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</si>
  <si>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</si>
  <si>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</si>
  <si>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</si>
  <si>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</si>
  <si>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</si>
  <si>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</si>
  <si>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</si>
  <si>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</si>
  <si>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</si>
  <si>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</si>
  <si>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</si>
  <si>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</si>
  <si>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</si>
  <si>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r>
      <t>#</t>
    </r>
    <r>
      <rPr>
        <sz val="10"/>
        <rFont val="ＭＳ Ｐゴシック"/>
        <family val="2"/>
        <charset val="128"/>
      </rPr>
      <t>アデュルティ・ガトー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</si>
  <si>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</si>
  <si>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</si>
  <si>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</si>
  <si>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</si>
  <si>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</si>
  <si>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</t>
    </r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</si>
  <si>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</si>
  <si>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</si>
  <si>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</si>
  <si>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</si>
  <si>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</si>
  <si>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</si>
  <si>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</si>
  <si>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</si>
  <si>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</si>
  <si>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</si>
  <si>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</si>
  <si>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</si>
  <si>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</si>
  <si>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</si>
  <si>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</si>
  <si>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</si>
  <si>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</si>
  <si>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</si>
  <si>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</si>
  <si>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</si>
  <si>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</si>
  <si>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</si>
  <si>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</si>
  <si>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</si>
  <si>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</si>
  <si>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</t>
    </r>
    <rPh sb="10" eb="14">
      <t>ジユウカダイ</t>
    </rPh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</si>
  <si>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</si>
  <si>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</si>
  <si>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</si>
  <si>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</si>
  <si>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</si>
  <si>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</si>
  <si>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</si>
  <si>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</si>
  <si>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</si>
  <si>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</si>
  <si>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</si>
  <si>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</si>
  <si>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</si>
  <si>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</si>
  <si>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</si>
  <si>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ワールドチャンピオン一回戦　チョコレート##</t>
    </r>
    <rPh sb="12" eb="15">
      <t>イッカイセン</t>
    </rPh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</si>
  <si>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</si>
  <si>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</si>
  <si>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</si>
  <si>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</si>
  <si>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</t>
    </r>
    <rPh sb="15" eb="18">
      <t>イッカイセン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</si>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</sst>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7" fillId="4" borderId="0" xfId="0" applyFont="1" applyFill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4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ROW()-2+20000</f>
        <v>20000</v>
      </c>
      <c r="B2" s="6">
        <v>20000</v>
      </c>
      <c r="C2" s="6" t="s">
        <v>214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tabSelected="1" zoomScale="85" zoomScaleNormal="85" workbookViewId="0">
      <pane ySplit="1" topLeftCell="A77" activePane="bottomLeft" state="frozen"/>
      <selection activeCell="D1" sqref="D1"/>
      <selection pane="bottomLeft" activeCell="E100" sqref="E10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ROW()-2+30000</f>
        <v>30000</v>
      </c>
      <c r="B2" s="6">
        <v>30000</v>
      </c>
      <c r="C2" s="6" t="s">
        <v>213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ROW()-2+30000</f>
        <v>30001</v>
      </c>
      <c r="B3" s="3">
        <f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0">ROW()-2+30000</f>
        <v>30002</v>
      </c>
      <c r="B4" s="3">
        <f>INDEX(B:B,MATCH(30000,B:B,0),1)+(ROW()-MATCH(30000,B:B,0))</f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30003</v>
      </c>
      <c r="B5" s="3">
        <f>INDEX(B:B,MATCH(30000,B:B,0),1)+(ROW()-MATCH(30000,B:B,0))</f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0"/>
        <v>30004</v>
      </c>
      <c r="B6" s="3">
        <f>INDEX(B:B,MATCH(30000,B:B,0),1)+(ROW()-MATCH(30000,B:B,0))</f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0"/>
        <v>30005</v>
      </c>
      <c r="B7" s="3">
        <f>INDEX(B:B,MATCH(30000,B:B,0),1)+(ROW()-MATCH(30000,B:B,0))</f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0"/>
        <v>30006</v>
      </c>
      <c r="B8" s="3">
        <f>INDEX(B:B,MATCH(30000,B:B,0),1)+(ROW()-MATCH(30000,B:B,0))</f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0"/>
        <v>30007</v>
      </c>
      <c r="B9" s="3">
        <f>INDEX(B:B,MATCH(30000,B:B,0),1)+(ROW()-MATCH(30000,B:B,0))</f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0"/>
        <v>30008</v>
      </c>
      <c r="B10" s="3">
        <f>INDEX(B:B,MATCH(30000,B:B,0),1)+(ROW()-MATCH(30000,B:B,0))</f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30009</v>
      </c>
      <c r="B11" s="3">
        <f>INDEX(B:B,MATCH(30000,B:B,0),1)+(ROW()-MATCH(30000,B:B,0))</f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30010</v>
      </c>
      <c r="B12" s="3">
        <f>INDEX(B:B,MATCH(30000,B:B,0),1)+(ROW()-MATCH(30000,B:B,0))</f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30011</v>
      </c>
      <c r="B13" s="3">
        <f>INDEX(B:B,MATCH(30000,B:B,0),1)+(ROW()-MATCH(30000,B:B,0))</f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30012</v>
      </c>
      <c r="B14" s="3">
        <f>INDEX(B:B,MATCH(30000,B:B,0),1)+(ROW()-MATCH(30000,B:B,0))</f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0"/>
        <v>30013</v>
      </c>
      <c r="B15" s="3">
        <f>INDEX(B:B,MATCH(30000,B:B,0),1)+(ROW()-MATCH(30000,B:B,0))</f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0"/>
        <v>30014</v>
      </c>
      <c r="B16" s="3">
        <f>INDEX(B:B,MATCH(30000,B:B,0),1)+(ROW()-MATCH(30000,B:B,0))</f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30015</v>
      </c>
      <c r="B17" s="3">
        <f>INDEX(B:B,MATCH(30000,B:B,0),1)+(ROW()-MATCH(30000,B:B,0))</f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30016</v>
      </c>
      <c r="B18" s="3">
        <f>INDEX(B:B,MATCH(30000,B:B,0),1)+(ROW()-MATCH(30000,B:B,0))</f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0"/>
        <v>30017</v>
      </c>
      <c r="B19" s="3">
        <f>INDEX(B:B,MATCH(30000,B:B,0),1)+(ROW()-MATCH(30000,B:B,0))</f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30018</v>
      </c>
      <c r="B20" s="3">
        <f>INDEX(B:B,MATCH(30000,B:B,0),1)+(ROW()-MATCH(30000,B:B,0))</f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30019</v>
      </c>
      <c r="B21" s="3">
        <f>INDEX(B:B,MATCH(30000,B:B,0),1)+(ROW()-MATCH(30000,B:B,0))</f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30020</v>
      </c>
      <c r="B22" s="3">
        <f>INDEX(B:B,MATCH(30000,B:B,0),1)+(ROW()-MATCH(30000,B:B,0))</f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30021</v>
      </c>
      <c r="B23" s="3">
        <f>INDEX(B:B,MATCH(30000,B:B,0),1)+(ROW()-MATCH(30000,B:B,0))</f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30022</v>
      </c>
      <c r="B24" s="3">
        <f>INDEX(B:B,MATCH(30000,B:B,0),1)+(ROW()-MATCH(30000,B:B,0))</f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0"/>
        <v>30023</v>
      </c>
      <c r="B25" s="3">
        <f>INDEX(B:B,MATCH(30000,B:B,0),1)+(ROW()-MATCH(30000,B:B,0))</f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30024</v>
      </c>
      <c r="B26" s="3">
        <f>INDEX(B:B,MATCH(30000,B:B,0),1)+(ROW()-MATCH(30000,B:B,0))</f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30025</v>
      </c>
      <c r="B27" s="3">
        <f>INDEX(B:B,MATCH(30000,B:B,0),1)+(ROW()-MATCH(30000,B:B,0))</f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0"/>
        <v>30026</v>
      </c>
      <c r="B28" s="3">
        <f>INDEX(B:B,MATCH(30000,B:B,0),1)+(ROW()-MATCH(30000,B:B,0))</f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30027</v>
      </c>
      <c r="B29" s="3">
        <f>INDEX(B:B,MATCH(30000,B:B,0),1)+(ROW()-MATCH(30000,B:B,0))</f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30028</v>
      </c>
      <c r="B30" s="3">
        <f>INDEX(B:B,MATCH(30000,B:B,0),1)+(ROW()-MATCH(30000,B:B,0))</f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0"/>
        <v>30029</v>
      </c>
      <c r="B31" s="3">
        <f>INDEX(B:B,MATCH(30000,B:B,0),1)+(ROW()-MATCH(30000,B:B,0))</f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30030</v>
      </c>
      <c r="B32" s="3">
        <f>INDEX(B:B,MATCH(30000,B:B,0),1)+(ROW()-MATCH(30000,B:B,0))</f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30031</v>
      </c>
      <c r="B33" s="3">
        <f>INDEX(B:B,MATCH(30000,B:B,0),1)+(ROW()-MATCH(30000,B:B,0))</f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30032</v>
      </c>
      <c r="B34" s="3">
        <f>INDEX(B:B,MATCH(30000,B:B,0),1)+(ROW()-MATCH(30000,B:B,0))</f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30033</v>
      </c>
      <c r="B35" s="3">
        <f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30034</v>
      </c>
      <c r="B36" s="3">
        <f>INDEX(B:B,MATCH(30000,B:B,0),1)+(ROW()-MATCH(30000,B:B,0))</f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30035</v>
      </c>
      <c r="B37" s="3">
        <f>INDEX(B:B,MATCH(30000,B:B,0),1)+(ROW()-MATCH(30000,B:B,0))</f>
        <v>30035</v>
      </c>
      <c r="C37" s="3" t="s">
        <v>324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251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30036</v>
      </c>
      <c r="B38" s="3">
        <f>INDEX(B:B,MATCH(30000,B:B,0),1)+(ROW()-MATCH(30000,B:B,0))</f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251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30037</v>
      </c>
      <c r="B39" s="3">
        <f>INDEX(B:B,MATCH(30000,B:B,0),1)+(ROW()-MATCH(30000,B:B,0))</f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251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30038</v>
      </c>
      <c r="B40" s="3">
        <f>INDEX(B:B,MATCH(30000,B:B,0),1)+(ROW()-MATCH(30000,B:B,0))</f>
        <v>30038</v>
      </c>
      <c r="C40" s="3" t="s">
        <v>249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250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251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30039</v>
      </c>
      <c r="B41" s="3">
        <f>INDEX(B:B,MATCH(30000,B:B,0),1)+(ROW()-MATCH(30000,B:B,0))</f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0"/>
        <v>30040</v>
      </c>
      <c r="B42" s="3">
        <f>INDEX(B:B,MATCH(30000,B:B,0),1)+(ROW()-MATCH(30000,B:B,0))</f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0"/>
        <v>30041</v>
      </c>
      <c r="B43" s="3">
        <f>INDEX(B:B,MATCH(30000,B:B,0),1)+(ROW()-MATCH(30000,B:B,0))</f>
        <v>30041</v>
      </c>
      <c r="C43" s="3" t="s">
        <v>328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0"/>
        <v>30042</v>
      </c>
      <c r="B44" s="3">
        <f>INDEX(B:B,MATCH(30000,B:B,0),1)+(ROW()-MATCH(30000,B:B,0))</f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0"/>
        <v>30043</v>
      </c>
      <c r="B45" s="3">
        <f>INDEX(B:B,MATCH(30000,B:B,0),1)+(ROW()-MATCH(30000,B:B,0))</f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0"/>
        <v>30044</v>
      </c>
      <c r="B46" s="3">
        <f>INDEX(B:B,MATCH(30000,B:B,0),1)+(ROW()-MATCH(30000,B:B,0))</f>
        <v>30044</v>
      </c>
      <c r="C46" s="3" t="s">
        <v>329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0"/>
        <v>30045</v>
      </c>
      <c r="B47" s="3">
        <f>INDEX(B:B,MATCH(30000,B:B,0),1)+(ROW()-MATCH(30000,B:B,0))</f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0"/>
        <v>30046</v>
      </c>
      <c r="B48" s="3">
        <f>INDEX(B:B,MATCH(30000,B:B,0),1)+(ROW()-MATCH(30000,B:B,0))</f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0"/>
        <v>30047</v>
      </c>
      <c r="B49" s="3">
        <f>INDEX(B:B,MATCH(30000,B:B,0),1)+(ROW()-MATCH(30000,B:B,0))</f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0"/>
        <v>30048</v>
      </c>
      <c r="B50" s="3">
        <f>INDEX(B:B,MATCH(30000,B:B,0),1)+(ROW()-MATCH(30000,B:B,0))</f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30049</v>
      </c>
      <c r="B51" s="3">
        <f>INDEX(B:B,MATCH(30000,B:B,0),1)+(ROW()-MATCH(30000,B:B,0))</f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0"/>
        <v>30050</v>
      </c>
      <c r="B52" s="3">
        <f>INDEX(B:B,MATCH(30000,B:B,0),1)+(ROW()-MATCH(30000,B:B,0))</f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0"/>
        <v>30051</v>
      </c>
      <c r="B53" s="3">
        <f>INDEX(B:B,MATCH(30000,B:B,0),1)+(ROW()-MATCH(30000,B:B,0))</f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0"/>
        <v>30052</v>
      </c>
      <c r="B54" s="3">
        <f>INDEX(B:B,MATCH(30000,B:B,0),1)+(ROW()-MATCH(30000,B:B,0))</f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0"/>
        <v>30053</v>
      </c>
      <c r="B55" s="3">
        <f>INDEX(B:B,MATCH(30000,B:B,0),1)+(ROW()-MATCH(30000,B:B,0))</f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0"/>
        <v>30054</v>
      </c>
      <c r="B56" s="3">
        <f>INDEX(B:B,MATCH(30000,B:B,0),1)+(ROW()-MATCH(30000,B:B,0))</f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0"/>
        <v>30055</v>
      </c>
      <c r="B57" s="3">
        <f>INDEX(B:B,MATCH(30000,B:B,0),1)+(ROW()-MATCH(30000,B:B,0))</f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0"/>
        <v>30056</v>
      </c>
      <c r="B58" s="3">
        <f>INDEX(B:B,MATCH(30000,B:B,0),1)+(ROW()-MATCH(30000,B:B,0))</f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0"/>
        <v>30057</v>
      </c>
      <c r="B59" s="3">
        <f>INDEX(B:B,MATCH(30000,B:B,0),1)+(ROW()-MATCH(30000,B:B,0))</f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222</v>
      </c>
      <c r="AW59" s="5">
        <v>0</v>
      </c>
      <c r="AX59" s="5">
        <v>0</v>
      </c>
    </row>
    <row r="60" spans="1:50" ht="15.75" customHeight="1" x14ac:dyDescent="0.2">
      <c r="A60" s="3">
        <f t="shared" si="0"/>
        <v>30058</v>
      </c>
      <c r="B60" s="3">
        <f>INDEX(B:B,MATCH(30000,B:B,0),1)+(ROW()-MATCH(30000,B:B,0))</f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222</v>
      </c>
      <c r="AW60" s="5">
        <v>0</v>
      </c>
      <c r="AX60" s="5">
        <v>0</v>
      </c>
    </row>
    <row r="61" spans="1:50" ht="15.75" customHeight="1" x14ac:dyDescent="0.2">
      <c r="A61" s="3">
        <f t="shared" si="0"/>
        <v>30059</v>
      </c>
      <c r="B61" s="3">
        <f>INDEX(B:B,MATCH(30000,B:B,0),1)+(ROW()-MATCH(30000,B:B,0))</f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326</v>
      </c>
      <c r="AW61" s="5">
        <v>0</v>
      </c>
      <c r="AX61" s="5">
        <v>0</v>
      </c>
    </row>
    <row r="62" spans="1:50" ht="15.75" customHeight="1" x14ac:dyDescent="0.2">
      <c r="A62" s="3">
        <f t="shared" si="0"/>
        <v>30060</v>
      </c>
      <c r="B62" s="3">
        <f>INDEX(B:B,MATCH(30000,B:B,0),1)+(ROW()-MATCH(30000,B:B,0))</f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326</v>
      </c>
      <c r="AW62" s="5">
        <v>0</v>
      </c>
      <c r="AX62" s="5">
        <v>0</v>
      </c>
    </row>
    <row r="63" spans="1:50" ht="15.75" customHeight="1" x14ac:dyDescent="0.2">
      <c r="A63" s="3">
        <f t="shared" si="0"/>
        <v>30061</v>
      </c>
      <c r="B63" s="3">
        <f>INDEX(B:B,MATCH(30000,B:B,0),1)+(ROW()-MATCH(30000,B:B,0))</f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326</v>
      </c>
      <c r="AW63" s="5">
        <v>0</v>
      </c>
      <c r="AX63" s="5">
        <v>0</v>
      </c>
    </row>
    <row r="64" spans="1:50" ht="15.75" customHeight="1" x14ac:dyDescent="0.2">
      <c r="A64" s="3">
        <f t="shared" si="0"/>
        <v>30062</v>
      </c>
      <c r="B64" s="3">
        <f>INDEX(B:B,MATCH(30000,B:B,0),1)+(ROW()-MATCH(30000,B:B,0))</f>
        <v>30062</v>
      </c>
      <c r="C64" s="3" t="s">
        <v>7</v>
      </c>
      <c r="D64" s="3" t="s">
        <v>327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246</v>
      </c>
      <c r="AW64" s="5">
        <v>0</v>
      </c>
      <c r="AX64" s="5">
        <v>0</v>
      </c>
    </row>
    <row r="65" spans="1:50" ht="15.75" customHeight="1" x14ac:dyDescent="0.2">
      <c r="A65" s="3">
        <f t="shared" si="0"/>
        <v>30063</v>
      </c>
      <c r="B65" s="3">
        <f>INDEX(B:B,MATCH(30000,B:B,0),1)+(ROW()-MATCH(30000,B:B,0))</f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246</v>
      </c>
      <c r="AW65" s="5">
        <v>0</v>
      </c>
      <c r="AX65" s="5">
        <v>0</v>
      </c>
    </row>
    <row r="66" spans="1:50" ht="15.75" customHeight="1" x14ac:dyDescent="0.2">
      <c r="A66" s="3">
        <f t="shared" si="0"/>
        <v>30064</v>
      </c>
      <c r="B66" s="3">
        <f>INDEX(B:B,MATCH(30000,B:B,0),1)+(ROW()-MATCH(30000,B:B,0))</f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246</v>
      </c>
      <c r="AW66" s="5">
        <v>0</v>
      </c>
      <c r="AX66" s="5">
        <v>0</v>
      </c>
    </row>
    <row r="67" spans="1:50" ht="15.75" customHeight="1" x14ac:dyDescent="0.2">
      <c r="A67" s="3">
        <f t="shared" si="0"/>
        <v>30065</v>
      </c>
      <c r="B67" s="3">
        <f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259</v>
      </c>
      <c r="AW67" s="5">
        <v>0</v>
      </c>
      <c r="AX67" s="5">
        <v>0</v>
      </c>
    </row>
    <row r="68" spans="1:50" ht="15.75" customHeight="1" x14ac:dyDescent="0.2">
      <c r="A68" s="3">
        <f t="shared" si="0"/>
        <v>30066</v>
      </c>
      <c r="B68" s="3">
        <f>INDEX(B:B,MATCH(30000,B:B,0),1)+(ROW()-MATCH(30000,B:B,0))</f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259</v>
      </c>
      <c r="AW68" s="5">
        <v>0</v>
      </c>
      <c r="AX68" s="5">
        <v>0</v>
      </c>
    </row>
    <row r="69" spans="1:50" ht="15.75" customHeight="1" x14ac:dyDescent="0.2">
      <c r="A69" s="3">
        <f t="shared" si="0"/>
        <v>30067</v>
      </c>
      <c r="B69" s="3">
        <f>INDEX(B:B,MATCH(30000,B:B,0),1)+(ROW()-MATCH(30000,B:B,0))</f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259</v>
      </c>
      <c r="AW69" s="5">
        <v>0</v>
      </c>
      <c r="AX69" s="5">
        <v>0</v>
      </c>
    </row>
    <row r="70" spans="1:50" ht="15.75" customHeight="1" x14ac:dyDescent="0.2">
      <c r="A70" s="3">
        <f t="shared" si="0"/>
        <v>30068</v>
      </c>
      <c r="B70" s="3">
        <f>INDEX(B:B,MATCH(30000,B:B,0),1)+(ROW()-MATCH(30000,B:B,0))</f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325</v>
      </c>
      <c r="AW70" s="5">
        <v>0</v>
      </c>
      <c r="AX70" s="5">
        <v>0</v>
      </c>
    </row>
    <row r="71" spans="1:50" ht="15.75" customHeight="1" x14ac:dyDescent="0.2">
      <c r="A71" s="3">
        <f t="shared" si="0"/>
        <v>30069</v>
      </c>
      <c r="B71" s="3">
        <f>INDEX(B:B,MATCH(30000,B:B,0),1)+(ROW()-MATCH(30000,B:B,0))</f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325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30070</v>
      </c>
      <c r="B72" s="3">
        <f>INDEX(B:B,MATCH(30000,B:B,0),1)+(ROW()-MATCH(30000,B:B,0))</f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325</v>
      </c>
      <c r="AW72" s="5">
        <v>0</v>
      </c>
      <c r="AX72" s="5">
        <v>0</v>
      </c>
    </row>
    <row r="73" spans="1:50" ht="15.75" customHeight="1" x14ac:dyDescent="0.2">
      <c r="A73" s="3">
        <f t="shared" si="0"/>
        <v>30071</v>
      </c>
      <c r="B73" s="3">
        <f>INDEX(B:B,MATCH(30000,B:B,0),1)+(ROW()-MATCH(30000,B:B,0))</f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0"/>
        <v>30072</v>
      </c>
      <c r="B74" s="3">
        <f>INDEX(B:B,MATCH(30000,B:B,0),1)+(ROW()-MATCH(30000,B:B,0))</f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30073</v>
      </c>
      <c r="B75" s="3">
        <f>INDEX(B:B,MATCH(30000,B:B,0),1)+(ROW()-MATCH(30000,B:B,0))</f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0"/>
        <v>30074</v>
      </c>
      <c r="B76" s="3">
        <f>INDEX(B:B,MATCH(30000,B:B,0),1)+(ROW()-MATCH(30000,B:B,0))</f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30075</v>
      </c>
      <c r="B77" s="3">
        <f>INDEX(B:B,MATCH(30000,B:B,0),1)+(ROW()-MATCH(30000,B:B,0))</f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0"/>
        <v>30076</v>
      </c>
      <c r="B78" s="3">
        <f>INDEX(B:B,MATCH(30000,B:B,0),1)+(ROW()-MATCH(30000,B:B,0))</f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0"/>
        <v>30077</v>
      </c>
      <c r="B79" s="3">
        <f>INDEX(B:B,MATCH(30000,B:B,0),1)+(ROW()-MATCH(30000,B:B,0))</f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253</v>
      </c>
      <c r="AW79" s="5">
        <v>0</v>
      </c>
      <c r="AX79" s="5">
        <v>0</v>
      </c>
    </row>
    <row r="80" spans="1:50" ht="15.75" customHeight="1" x14ac:dyDescent="0.2">
      <c r="A80" s="3">
        <f t="shared" si="0"/>
        <v>30078</v>
      </c>
      <c r="B80" s="3">
        <f>INDEX(B:B,MATCH(30000,B:B,0),1)+(ROW()-MATCH(30000,B:B,0))</f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253</v>
      </c>
      <c r="AW80" s="5">
        <v>0</v>
      </c>
      <c r="AX80" s="5">
        <v>0</v>
      </c>
    </row>
    <row r="81" spans="1:50" ht="15.75" customHeight="1" x14ac:dyDescent="0.2">
      <c r="A81" s="3">
        <f t="shared" si="0"/>
        <v>30079</v>
      </c>
      <c r="B81" s="3">
        <f>INDEX(B:B,MATCH(30000,B:B,0),1)+(ROW()-MATCH(30000,B:B,0))</f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253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30080</v>
      </c>
      <c r="B82" s="3">
        <f>INDEX(B:B,MATCH(30000,B:B,0),1)+(ROW()-MATCH(30000,B:B,0))</f>
        <v>30080</v>
      </c>
      <c r="C82" s="3" t="s">
        <v>223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0"/>
        <v>30081</v>
      </c>
      <c r="B83" s="3">
        <f>INDEX(B:B,MATCH(30000,B:B,0),1)+(ROW()-MATCH(30000,B:B,0))</f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0"/>
        <v>30082</v>
      </c>
      <c r="B84" s="3">
        <f>INDEX(B:B,MATCH(30000,B:B,0),1)+(ROW()-MATCH(30000,B:B,0))</f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212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1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1"/>
        <v>30086</v>
      </c>
      <c r="B88" s="3">
        <f t="shared" ref="B88:B90" si="2">INDEX(B:B,MATCH(31000,B:B,0),1)+(ROW()-MATCH(31000,B:B,0))</f>
        <v>31003</v>
      </c>
      <c r="C88" s="3" t="s">
        <v>7</v>
      </c>
      <c r="D88" s="3" t="s">
        <v>331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229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222</v>
      </c>
      <c r="AW88" s="5">
        <v>0</v>
      </c>
      <c r="AX88" s="5">
        <v>0</v>
      </c>
    </row>
    <row r="89" spans="1:50" ht="15.75" customHeight="1" x14ac:dyDescent="0.2">
      <c r="A89" s="3">
        <f t="shared" si="1"/>
        <v>30087</v>
      </c>
      <c r="B89" s="3">
        <f t="shared" si="2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229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222</v>
      </c>
      <c r="AW89" s="5">
        <v>0</v>
      </c>
      <c r="AX89" s="5">
        <v>0</v>
      </c>
    </row>
    <row r="90" spans="1:50" ht="15.75" customHeight="1" x14ac:dyDescent="0.2">
      <c r="A90" s="3">
        <f t="shared" si="1"/>
        <v>30088</v>
      </c>
      <c r="B90" s="3">
        <f t="shared" si="2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229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222</v>
      </c>
      <c r="AW90" s="5">
        <v>0</v>
      </c>
      <c r="AX90" s="5">
        <v>0</v>
      </c>
    </row>
    <row r="91" spans="1:50" ht="15.75" customHeight="1" x14ac:dyDescent="0.2">
      <c r="A91" s="3">
        <f t="shared" si="1"/>
        <v>30089</v>
      </c>
      <c r="B91" s="3">
        <f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1"/>
        <v>30090</v>
      </c>
      <c r="B92" s="3">
        <f>INDEX(B:B,MATCH(31000,B:B,0),1)+(ROW()-MATCH(31000,B:B,0))</f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1"/>
        <v>30091</v>
      </c>
      <c r="B93" s="3">
        <f>INDEX(B:B,MATCH(31000,B:B,0),1)+(ROW()-MATCH(31000,B:B,0))</f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1"/>
        <v>30092</v>
      </c>
      <c r="B94" s="3">
        <f>INDEX(B:B,MATCH(31000,B:B,0),1)+(ROW()-MATCH(31000,B:B,0))</f>
        <v>31009</v>
      </c>
      <c r="C94" s="3" t="s">
        <v>7</v>
      </c>
      <c r="D94" s="3" t="s">
        <v>218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1"/>
        <v>30093</v>
      </c>
      <c r="B95" s="3">
        <f>INDEX(B:B,MATCH(31000,B:B,0),1)+(ROW()-MATCH(31000,B:B,0))</f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1"/>
        <v>30094</v>
      </c>
      <c r="B96" s="3">
        <f>INDEX(B:B,MATCH(31000,B:B,0),1)+(ROW()-MATCH(31000,B:B,0))</f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1"/>
        <v>30095</v>
      </c>
      <c r="B97" s="3">
        <f>INDEX(B:B,MATCH(31000,B:B,0),1)+(ROW()-MATCH(31000,B:B,0))</f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1"/>
        <v>30096</v>
      </c>
      <c r="B98" s="3">
        <f>INDEX(B:B,MATCH(31000,B:B,0),1)+(ROW()-MATCH(31000,B:B,0))</f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1"/>
        <v>30097</v>
      </c>
      <c r="B99" s="3">
        <f>INDEX(B:B,MATCH(31000,B:B,0),1)+(ROW()-MATCH(31000,B:B,0))</f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1"/>
        <v>30098</v>
      </c>
      <c r="B100" s="3">
        <f>INDEX(B:B,MATCH(31000,B:B,0),1)+(ROW()-MATCH(31000,B:B,0))</f>
        <v>31015</v>
      </c>
      <c r="C100" s="3" t="s">
        <v>7</v>
      </c>
      <c r="D100" s="3" t="s">
        <v>226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225</v>
      </c>
      <c r="AW100" s="5">
        <v>0</v>
      </c>
      <c r="AX100" s="5">
        <v>0</v>
      </c>
    </row>
    <row r="101" spans="1:50" ht="15.75" customHeight="1" x14ac:dyDescent="0.2">
      <c r="A101" s="3">
        <f t="shared" si="1"/>
        <v>30099</v>
      </c>
      <c r="B101" s="3">
        <f>INDEX(B:B,MATCH(31000,B:B,0),1)+(ROW()-MATCH(31000,B:B,0))</f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225</v>
      </c>
      <c r="AW101" s="5">
        <v>0</v>
      </c>
      <c r="AX101" s="5">
        <v>0</v>
      </c>
    </row>
    <row r="102" spans="1:50" ht="15.75" customHeight="1" x14ac:dyDescent="0.2">
      <c r="A102" s="3">
        <f t="shared" si="1"/>
        <v>30100</v>
      </c>
      <c r="B102" s="3">
        <f>INDEX(B:B,MATCH(31000,B:B,0),1)+(ROW()-MATCH(31000,B:B,0))</f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225</v>
      </c>
      <c r="AW102" s="5">
        <v>0</v>
      </c>
      <c r="AX102" s="5">
        <v>0</v>
      </c>
    </row>
    <row r="103" spans="1:50" ht="15.75" customHeight="1" x14ac:dyDescent="0.2">
      <c r="A103" s="3">
        <f t="shared" si="1"/>
        <v>30101</v>
      </c>
      <c r="B103" s="3">
        <f>INDEX(B:B,MATCH(31000,B:B,0),1)+(ROW()-MATCH(31000,B:B,0))</f>
        <v>31018</v>
      </c>
      <c r="C103" s="3" t="s">
        <v>7</v>
      </c>
      <c r="D103" s="3" t="s">
        <v>208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207</v>
      </c>
      <c r="AW103" s="5">
        <v>0</v>
      </c>
      <c r="AX103" s="5">
        <v>0</v>
      </c>
    </row>
    <row r="104" spans="1:50" ht="15.75" customHeight="1" x14ac:dyDescent="0.2">
      <c r="A104" s="3">
        <f t="shared" si="1"/>
        <v>30102</v>
      </c>
      <c r="B104" s="3">
        <f>INDEX(B:B,MATCH(31000,B:B,0),1)+(ROW()-MATCH(31000,B:B,0))</f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207</v>
      </c>
      <c r="AW104" s="5">
        <v>0</v>
      </c>
      <c r="AX104" s="5">
        <v>0</v>
      </c>
    </row>
    <row r="105" spans="1:50" ht="15.75" customHeight="1" x14ac:dyDescent="0.2">
      <c r="A105" s="3">
        <f t="shared" si="1"/>
        <v>30103</v>
      </c>
      <c r="B105" s="3">
        <f>INDEX(B:B,MATCH(31000,B:B,0),1)+(ROW()-MATCH(31000,B:B,0))</f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207</v>
      </c>
      <c r="AW105" s="5">
        <v>0</v>
      </c>
      <c r="AX105" s="5">
        <v>0</v>
      </c>
    </row>
    <row r="106" spans="1:50" ht="15.75" customHeight="1" x14ac:dyDescent="0.2">
      <c r="A106" s="3">
        <f t="shared" si="1"/>
        <v>30104</v>
      </c>
      <c r="B106" s="3">
        <f>INDEX(B:B,MATCH(31000,B:B,0),1)+(ROW()-MATCH(31000,B:B,0))</f>
        <v>31021</v>
      </c>
      <c r="C106" s="3" t="s">
        <v>7</v>
      </c>
      <c r="D106" s="3" t="s">
        <v>330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274</v>
      </c>
      <c r="AW106" s="5">
        <v>0</v>
      </c>
      <c r="AX106" s="5">
        <v>0</v>
      </c>
    </row>
    <row r="107" spans="1:50" ht="15.75" customHeight="1" x14ac:dyDescent="0.2">
      <c r="A107" s="3">
        <f t="shared" si="1"/>
        <v>30105</v>
      </c>
      <c r="B107" s="3">
        <f>INDEX(B:B,MATCH(31000,B:B,0),1)+(ROW()-MATCH(31000,B:B,0))</f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274</v>
      </c>
      <c r="AW107" s="5">
        <v>0</v>
      </c>
      <c r="AX107" s="5">
        <v>0</v>
      </c>
    </row>
    <row r="108" spans="1:50" ht="15.75" customHeight="1" x14ac:dyDescent="0.2">
      <c r="A108" s="3">
        <f t="shared" si="1"/>
        <v>30106</v>
      </c>
      <c r="B108" s="3">
        <f>INDEX(B:B,MATCH(31000,B:B,0),1)+(ROW()-MATCH(31000,B:B,0))</f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274</v>
      </c>
      <c r="AW108" s="5">
        <v>0</v>
      </c>
      <c r="AX108" s="5">
        <v>0</v>
      </c>
    </row>
    <row r="109" spans="1:50" ht="15.75" customHeight="1" x14ac:dyDescent="0.2">
      <c r="A109" s="3">
        <f t="shared" si="1"/>
        <v>30107</v>
      </c>
      <c r="B109" s="3">
        <f>INDEX(B:B,MATCH(31000,B:B,0),1)+(ROW()-MATCH(31000,B:B,0))</f>
        <v>31024</v>
      </c>
      <c r="C109" s="3" t="s">
        <v>7</v>
      </c>
      <c r="D109" s="3" t="s">
        <v>210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209</v>
      </c>
      <c r="AW109" s="5">
        <v>0</v>
      </c>
      <c r="AX109" s="5">
        <v>0</v>
      </c>
    </row>
    <row r="110" spans="1:50" ht="15.75" customHeight="1" x14ac:dyDescent="0.2">
      <c r="A110" s="3">
        <f t="shared" si="1"/>
        <v>30108</v>
      </c>
      <c r="B110" s="3">
        <f>INDEX(B:B,MATCH(31000,B:B,0),1)+(ROW()-MATCH(31000,B:B,0))</f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209</v>
      </c>
      <c r="AW110" s="5">
        <v>0</v>
      </c>
      <c r="AX110" s="5">
        <v>0</v>
      </c>
    </row>
    <row r="111" spans="1:50" ht="15.75" customHeight="1" x14ac:dyDescent="0.2">
      <c r="A111" s="3">
        <f t="shared" si="1"/>
        <v>30109</v>
      </c>
      <c r="B111" s="3">
        <f>INDEX(B:B,MATCH(31000,B:B,0),1)+(ROW()-MATCH(31000,B:B,0))</f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209</v>
      </c>
      <c r="AW111" s="5">
        <v>0</v>
      </c>
      <c r="AX111" s="5">
        <v>0</v>
      </c>
    </row>
    <row r="112" spans="1:50" ht="15.75" customHeight="1" x14ac:dyDescent="0.2">
      <c r="A112" s="3">
        <f t="shared" si="1"/>
        <v>30110</v>
      </c>
      <c r="B112" s="3">
        <f>INDEX(B:B,MATCH(31000,B:B,0),1)+(ROW()-MATCH(31000,B:B,0))</f>
        <v>31027</v>
      </c>
      <c r="C112" s="3" t="s">
        <v>223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1"/>
        <v>30111</v>
      </c>
      <c r="B113" s="3">
        <f>INDEX(B:B,MATCH(31000,B:B,0),1)+(ROW()-MATCH(31000,B:B,0))</f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1"/>
        <v>30112</v>
      </c>
      <c r="B114" s="3">
        <f>INDEX(B:B,MATCH(31000,B:B,0),1)+(ROW()-MATCH(31000,B:B,0))</f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1"/>
        <v>30113</v>
      </c>
      <c r="B115" s="6">
        <v>32000</v>
      </c>
      <c r="C115" s="6" t="s">
        <v>314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1"/>
        <v>30114</v>
      </c>
      <c r="B116" s="3">
        <f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1"/>
        <v>30115</v>
      </c>
      <c r="B117" s="3">
        <f>INDEX(B:B,MATCH(32000,B:B,0),1)+(ROW()-MATCH(32000,B:B,0))</f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1"/>
        <v>30116</v>
      </c>
      <c r="B118" s="3">
        <f>INDEX(B:B,MATCH(32000,B:B,0),1)+(ROW()-MATCH(32000,B:B,0))</f>
        <v>32003</v>
      </c>
      <c r="C118" s="3" t="s">
        <v>7</v>
      </c>
      <c r="D118" s="3" t="s">
        <v>317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274</v>
      </c>
      <c r="AW118" s="5">
        <v>0</v>
      </c>
      <c r="AX118" s="5">
        <v>0</v>
      </c>
    </row>
    <row r="119" spans="1:50" ht="15.75" customHeight="1" x14ac:dyDescent="0.2">
      <c r="A119" s="3">
        <f t="shared" si="1"/>
        <v>30117</v>
      </c>
      <c r="B119" s="3">
        <f>INDEX(B:B,MATCH(32000,B:B,0),1)+(ROW()-MATCH(32000,B:B,0))</f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274</v>
      </c>
      <c r="AW119" s="5">
        <v>0</v>
      </c>
      <c r="AX119" s="5">
        <v>0</v>
      </c>
    </row>
    <row r="120" spans="1:50" ht="15.75" customHeight="1" x14ac:dyDescent="0.2">
      <c r="A120" s="3">
        <f t="shared" si="1"/>
        <v>30118</v>
      </c>
      <c r="B120" s="3">
        <f>INDEX(B:B,MATCH(32000,B:B,0),1)+(ROW()-MATCH(32000,B:B,0))</f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274</v>
      </c>
      <c r="AW120" s="5">
        <v>0</v>
      </c>
      <c r="AX120" s="5">
        <v>0</v>
      </c>
    </row>
    <row r="121" spans="1:50" ht="15.75" customHeight="1" x14ac:dyDescent="0.2">
      <c r="A121" s="3">
        <f t="shared" si="1"/>
        <v>30119</v>
      </c>
      <c r="B121" s="3">
        <f>INDEX(B:B,MATCH(32000,B:B,0),1)+(ROW()-MATCH(32000,B:B,0))</f>
        <v>32006</v>
      </c>
      <c r="C121" s="3" t="s">
        <v>7</v>
      </c>
      <c r="D121" s="3" t="s">
        <v>316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274</v>
      </c>
      <c r="AW121" s="5">
        <v>0</v>
      </c>
      <c r="AX121" s="5">
        <v>0</v>
      </c>
    </row>
    <row r="122" spans="1:50" ht="15.75" customHeight="1" x14ac:dyDescent="0.2">
      <c r="A122" s="3">
        <f t="shared" si="1"/>
        <v>30120</v>
      </c>
      <c r="B122" s="3">
        <f>INDEX(B:B,MATCH(32000,B:B,0),1)+(ROW()-MATCH(32000,B:B,0))</f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274</v>
      </c>
      <c r="AW122" s="5">
        <v>0</v>
      </c>
      <c r="AX122" s="5">
        <v>0</v>
      </c>
    </row>
    <row r="123" spans="1:50" ht="15.75" customHeight="1" x14ac:dyDescent="0.2">
      <c r="A123" s="3">
        <f t="shared" si="1"/>
        <v>30121</v>
      </c>
      <c r="B123" s="3">
        <f>INDEX(B:B,MATCH(32000,B:B,0),1)+(ROW()-MATCH(32000,B:B,0))</f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274</v>
      </c>
      <c r="AW123" s="5">
        <v>0</v>
      </c>
      <c r="AX123" s="5">
        <v>0</v>
      </c>
    </row>
    <row r="124" spans="1:50" ht="15.75" customHeight="1" x14ac:dyDescent="0.2">
      <c r="A124" s="3">
        <f t="shared" si="1"/>
        <v>30122</v>
      </c>
      <c r="B124" s="3">
        <f>INDEX(B:B,MATCH(32000,B:B,0),1)+(ROW()-MATCH(32000,B:B,0))</f>
        <v>32009</v>
      </c>
      <c r="C124" s="3" t="s">
        <v>7</v>
      </c>
      <c r="D124" s="3" t="s">
        <v>315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274</v>
      </c>
      <c r="AW124" s="5">
        <v>0</v>
      </c>
      <c r="AX124" s="5">
        <v>0</v>
      </c>
    </row>
    <row r="125" spans="1:50" ht="15.75" customHeight="1" x14ac:dyDescent="0.2">
      <c r="A125" s="3">
        <f t="shared" si="1"/>
        <v>30123</v>
      </c>
      <c r="B125" s="3">
        <f>INDEX(B:B,MATCH(32000,B:B,0),1)+(ROW()-MATCH(32000,B:B,0))</f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274</v>
      </c>
      <c r="AW125" s="5">
        <v>0</v>
      </c>
      <c r="AX125" s="5">
        <v>0</v>
      </c>
    </row>
    <row r="126" spans="1:50" ht="15.75" customHeight="1" x14ac:dyDescent="0.2">
      <c r="A126" s="3">
        <f t="shared" si="1"/>
        <v>30124</v>
      </c>
      <c r="B126" s="3">
        <f>INDEX(B:B,MATCH(32000,B:B,0),1)+(ROW()-MATCH(32000,B:B,0))</f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274</v>
      </c>
      <c r="AW126" s="5">
        <v>0</v>
      </c>
      <c r="AX126" s="5">
        <v>0</v>
      </c>
    </row>
    <row r="127" spans="1:50" ht="15.75" customHeight="1" x14ac:dyDescent="0.2">
      <c r="A127" s="3">
        <f t="shared" si="1"/>
        <v>30125</v>
      </c>
      <c r="B127" s="3">
        <f>INDEX(B:B,MATCH(32000,B:B,0),1)+(ROW()-MATCH(32000,B:B,0))</f>
        <v>32012</v>
      </c>
      <c r="C127" s="3" t="s">
        <v>223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1"/>
        <v>30126</v>
      </c>
      <c r="B128" s="3">
        <f>INDEX(B:B,MATCH(32000,B:B,0),1)+(ROW()-MATCH(32000,B:B,0))</f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1"/>
        <v>30127</v>
      </c>
      <c r="B129" s="3">
        <f>INDEX(B:B,MATCH(32000,B:B,0),1)+(ROW()-MATCH(32000,B:B,0))</f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C52" sqref="C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ROW()-2+40000</f>
        <v>40000</v>
      </c>
      <c r="B2" s="6">
        <v>40000</v>
      </c>
      <c r="C2" s="6" t="s">
        <v>318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319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30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70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30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70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30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70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110</v>
      </c>
      <c r="H17" s="3">
        <v>80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100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80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80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320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221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233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228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229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229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229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234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222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222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230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231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232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267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248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223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B20" sqref="B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ROW()-2+50000</f>
        <v>50000</v>
      </c>
      <c r="B2" s="6">
        <v>50000</v>
      </c>
      <c r="C2" s="6" t="s">
        <v>323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230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231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322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20" customFormat="1" ht="15.75" customHeight="1" x14ac:dyDescent="0.2">
      <c r="A23" s="17">
        <f>ROW()-2+50000</f>
        <v>50021</v>
      </c>
      <c r="B23" s="17">
        <v>52000</v>
      </c>
      <c r="C23" s="17" t="s">
        <v>321</v>
      </c>
      <c r="D23" s="17" t="s">
        <v>7</v>
      </c>
      <c r="E23" s="17">
        <v>30</v>
      </c>
      <c r="F23" s="17">
        <v>0</v>
      </c>
      <c r="G23" s="17">
        <v>80</v>
      </c>
      <c r="H23" s="17">
        <v>200</v>
      </c>
      <c r="I23" s="17">
        <v>0</v>
      </c>
      <c r="J23" s="17">
        <v>0</v>
      </c>
      <c r="K23" s="17">
        <v>0</v>
      </c>
      <c r="L23" s="17">
        <v>100</v>
      </c>
      <c r="M23" s="17">
        <v>0</v>
      </c>
      <c r="N23" s="17">
        <v>0</v>
      </c>
      <c r="O23" s="17">
        <v>0</v>
      </c>
      <c r="P23" s="17">
        <v>0</v>
      </c>
      <c r="Q23" s="17">
        <v>70</v>
      </c>
      <c r="R23" s="17">
        <v>0</v>
      </c>
      <c r="S23" s="17">
        <v>30</v>
      </c>
      <c r="T23" s="17">
        <v>30</v>
      </c>
      <c r="U23" s="17">
        <v>30</v>
      </c>
      <c r="V23" s="17">
        <v>30</v>
      </c>
      <c r="W23" s="17">
        <v>30</v>
      </c>
      <c r="X23" s="17">
        <v>30</v>
      </c>
      <c r="Y23" s="17">
        <v>30</v>
      </c>
      <c r="Z23" s="17">
        <v>30</v>
      </c>
      <c r="AA23" s="17">
        <v>30</v>
      </c>
      <c r="AB23" s="17">
        <v>30</v>
      </c>
      <c r="AC23" s="18" t="s">
        <v>70</v>
      </c>
      <c r="AD23" s="18" t="s">
        <v>7</v>
      </c>
      <c r="AE23" s="18" t="s">
        <v>7</v>
      </c>
      <c r="AF23" s="18" t="s">
        <v>7</v>
      </c>
      <c r="AG23" s="18" t="s">
        <v>7</v>
      </c>
      <c r="AH23" s="18" t="s">
        <v>7</v>
      </c>
      <c r="AI23" s="18" t="s">
        <v>7</v>
      </c>
      <c r="AJ23" s="18" t="s">
        <v>7</v>
      </c>
      <c r="AK23" s="18" t="s">
        <v>7</v>
      </c>
      <c r="AL23" s="18">
        <v>20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9" t="s">
        <v>147</v>
      </c>
      <c r="AW23" s="18">
        <v>0</v>
      </c>
      <c r="AX23" s="18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ROW()-2+100000</f>
        <v>100000</v>
      </c>
      <c r="B2" s="6">
        <v>100000</v>
      </c>
      <c r="C2" s="11" t="s">
        <v>203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20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20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20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218</v>
      </c>
      <c r="E8" s="3">
        <v>20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20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20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100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100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50</v>
      </c>
      <c r="K16" s="3">
        <v>0</v>
      </c>
      <c r="L16" s="3">
        <v>0</v>
      </c>
      <c r="M16" s="3">
        <v>150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ROW()-2+101000</f>
        <v>101000</v>
      </c>
      <c r="B2" s="6">
        <v>101000</v>
      </c>
      <c r="C2" s="11" t="s">
        <v>220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6" activePane="bottomLeft" state="frozen"/>
      <selection activeCell="D1" sqref="D1"/>
      <selection pane="bottomLeft" activeCell="A101" sqref="A101:XFD10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ROW()-2+102000</f>
        <v>102000</v>
      </c>
      <c r="B2" s="12">
        <v>102000</v>
      </c>
      <c r="C2" s="13" t="s">
        <v>219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R34" sqref="R3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ROW()-2+103000</f>
        <v>103000</v>
      </c>
      <c r="B2" s="6">
        <v>103000</v>
      </c>
      <c r="C2" s="11" t="s">
        <v>204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215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207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207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207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216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217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207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207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207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223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D16" sqref="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ROW()-2+104000</f>
        <v>104000</v>
      </c>
      <c r="B2" s="6">
        <v>104000</v>
      </c>
      <c r="C2" s="6" t="s">
        <v>205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ROW()-2+104000</f>
        <v>104001</v>
      </c>
      <c r="B3" s="3">
        <f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ROW()-2+104000</f>
        <v>104002</v>
      </c>
      <c r="B4" s="3">
        <f>INDEX(B:B,MATCH(104000,B:B,0),1)+(ROW()-MATCH(104000,B:B,0))</f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104003</v>
      </c>
      <c r="B5" s="3">
        <f>INDEX(B:B,MATCH(104000,B:B,0),1)+(ROW()-MATCH(104000,B:B,0))</f>
        <v>104003</v>
      </c>
      <c r="C5" s="3" t="s">
        <v>7</v>
      </c>
      <c r="D5" s="3" t="s">
        <v>331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104004</v>
      </c>
      <c r="B6" s="3">
        <f>INDEX(B:B,MATCH(104000,B:B,0),1)+(ROW()-MATCH(104000,B:B,0))</f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104005</v>
      </c>
      <c r="B7" s="3">
        <f>INDEX(B:B,MATCH(104000,B:B,0),1)+(ROW()-MATCH(104000,B:B,0))</f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104006</v>
      </c>
      <c r="B8" s="3">
        <f>INDEX(B:B,MATCH(104000,B:B,0),1)+(ROW()-MATCH(104000,B:B,0))</f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104007</v>
      </c>
      <c r="B9" s="3">
        <f>INDEX(B:B,MATCH(104000,B:B,0),1)+(ROW()-MATCH(104000,B:B,0))</f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104008</v>
      </c>
      <c r="B10" s="3">
        <f>INDEX(B:B,MATCH(104000,B:B,0),1)+(ROW()-MATCH(104000,B:B,0))</f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104009</v>
      </c>
      <c r="B11" s="3">
        <f>INDEX(B:B,MATCH(104000,B:B,0),1)+(ROW()-MATCH(104000,B:B,0))</f>
        <v>104009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104010</v>
      </c>
      <c r="B12" s="3">
        <f>INDEX(B:B,MATCH(104000,B:B,0),1)+(ROW()-MATCH(104000,B:B,0))</f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104011</v>
      </c>
      <c r="B13" s="3">
        <f>INDEX(B:B,MATCH(104000,B:B,0),1)+(ROW()-MATCH(104000,B:B,0))</f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104012</v>
      </c>
      <c r="B14" s="3">
        <f>INDEX(B:B,MATCH(104000,B:B,0),1)+(ROW()-MATCH(104000,B:B,0))</f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104013</v>
      </c>
      <c r="B15" s="3">
        <f>INDEX(B:B,MATCH(104000,B:B,0),1)+(ROW()-MATCH(104000,B:B,0))</f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104014</v>
      </c>
      <c r="B16" s="3">
        <f>INDEX(B:B,MATCH(104000,B:B,0),1)+(ROW()-MATCH(104000,B:B,0))</f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104015</v>
      </c>
      <c r="B17" s="3">
        <f t="shared" ref="B17:B19" si="1">INDEX(B:B,MATCH(104000,B:B,0),1)+(ROW()-MATCH(104000,B:B,0))</f>
        <v>104015</v>
      </c>
      <c r="C17" s="3" t="s">
        <v>7</v>
      </c>
      <c r="D17" s="3" t="s">
        <v>330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274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104016</v>
      </c>
      <c r="B18" s="3">
        <f t="shared" si="1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104017</v>
      </c>
      <c r="B19" s="3">
        <f t="shared" si="1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274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104018</v>
      </c>
      <c r="B20" s="3">
        <f>INDEX(B:B,MATCH(104000,B:B,0),1)+(ROW()-MATCH(104000,B:B,0))</f>
        <v>104018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104019</v>
      </c>
      <c r="B21" s="3">
        <f>INDEX(B:B,MATCH(104000,B:B,0),1)+(ROW()-MATCH(104000,B:B,0))</f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104020</v>
      </c>
      <c r="B22" s="3">
        <f>INDEX(B:B,MATCH(104000,B:B,0),1)+(ROW()-MATCH(104000,B:B,0))</f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104021</v>
      </c>
      <c r="B23" s="3">
        <f>INDEX(B:B,MATCH(104000,B:B,0),1)+(ROW()-MATCH(104000,B:B,0))</f>
        <v>104021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104022</v>
      </c>
      <c r="B24" s="3">
        <f>INDEX(B:B,MATCH(104000,B:B,0),1)+(ROW()-MATCH(104000,B:B,0))</f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104023</v>
      </c>
      <c r="B25" s="3">
        <f>INDEX(B:B,MATCH(104000,B:B,0),1)+(ROW()-MATCH(104000,B:B,0))</f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104024</v>
      </c>
      <c r="B26" s="3">
        <f>INDEX(B:B,MATCH(104000,B:B,0),1)+(ROW()-MATCH(104000,B:B,0))</f>
        <v>104024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104025</v>
      </c>
      <c r="B27" s="3">
        <f>INDEX(B:B,MATCH(104000,B:B,0),1)+(ROW()-MATCH(104000,B:B,0))</f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104026</v>
      </c>
      <c r="B28" s="3">
        <f>INDEX(B:B,MATCH(104000,B:B,0),1)+(ROW()-MATCH(104000,B:B,0))</f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104027</v>
      </c>
      <c r="B29" s="3">
        <f>INDEX(B:B,MATCH(104000,B:B,0),1)+(ROW()-MATCH(104000,B:B,0))</f>
        <v>104027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104028</v>
      </c>
      <c r="B30" s="3">
        <f>INDEX(B:B,MATCH(104000,B:B,0),1)+(ROW()-MATCH(104000,B:B,0))</f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104029</v>
      </c>
      <c r="B31" s="3">
        <f>INDEX(B:B,MATCH(104000,B:B,0),1)+(ROW()-MATCH(104000,B:B,0))</f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ROW()-2+105000</f>
        <v>105000</v>
      </c>
      <c r="B2" s="6">
        <v>105000</v>
      </c>
      <c r="C2" s="6" t="s">
        <v>206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331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>INDEX(B:B,MATCH(105000,B:B,0),1)+(ROW()-MATCH(105000,B:B,0))</f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>INDEX(B:B,MATCH(105000,B:B,0),1)+(ROW()-MATCH(105000,B:B,0))</f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>INDEX(B:B,MATCH(105000,B:B,0),1)+(ROW()-MATCH(105000,B:B,0))</f>
        <v>105009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>INDEX(B:B,MATCH(105000,B:B,0),1)+(ROW()-MATCH(105000,B:B,0))</f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>INDEX(B:B,MATCH(105000,B:B,0),1)+(ROW()-MATCH(105000,B:B,0))</f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>INDEX(B:B,MATCH(105000,B:B,0),1)+(ROW()-MATCH(105000,B:B,0))</f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>INDEX(B:B,MATCH(105000,B:B,0),1)+(ROW()-MATCH(105000,B:B,0))</f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>INDEX(B:B,MATCH(105000,B:B,0),1)+(ROW()-MATCH(105000,B:B,0))</f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>INDEX(B:B,MATCH(105000,B:B,0),1)+(ROW()-MATCH(105000,B:B,0))</f>
        <v>105015</v>
      </c>
      <c r="C17" s="3" t="s">
        <v>7</v>
      </c>
      <c r="D17" s="3" t="s">
        <v>330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274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>INDEX(B:B,MATCH(105000,B:B,0),1)+(ROW()-MATCH(105000,B:B,0))</f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>INDEX(B:B,MATCH(105000,B:B,0),1)+(ROW()-MATCH(105000,B:B,0))</f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274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>INDEX(B:B,MATCH(105000,B:B,0),1)+(ROW()-MATCH(105000,B:B,0))</f>
        <v>105018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>INDEX(B:B,MATCH(105000,B:B,0),1)+(ROW()-MATCH(105000,B:B,0))</f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>INDEX(B:B,MATCH(105000,B:B,0),1)+(ROW()-MATCH(105000,B:B,0))</f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>INDEX(B:B,MATCH(105000,B:B,0),1)+(ROW()-MATCH(105000,B:B,0))</f>
        <v>105021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>INDEX(B:B,MATCH(105000,B:B,0),1)+(ROW()-MATCH(105000,B:B,0))</f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>INDEX(B:B,MATCH(105000,B:B,0),1)+(ROW()-MATCH(105000,B:B,0))</f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>INDEX(B:B,MATCH(105000,B:B,0),1)+(ROW()-MATCH(105000,B:B,0))</f>
        <v>105024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>INDEX(B:B,MATCH(105000,B:B,0),1)+(ROW()-MATCH(105000,B:B,0))</f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>INDEX(B:B,MATCH(105000,B:B,0),1)+(ROW()-MATCH(105000,B:B,0))</f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>INDEX(B:B,MATCH(105000,B:B,0),1)+(ROW()-MATCH(105000,B:B,0))</f>
        <v>105027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>INDEX(B:B,MATCH(105000,B:B,0),1)+(ROW()-MATCH(105000,B:B,0))</f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>INDEX(B:B,MATCH(105000,B:B,0),1)+(ROW()-MATCH(105000,B:B,0))</f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2" activePane="bottomLeft" state="frozen"/>
      <selection activeCell="D1" sqref="D1"/>
      <selection pane="bottomLeft" activeCell="A29" sqref="A29:XFD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ROW()-2+106000</f>
        <v>106000</v>
      </c>
      <c r="B2" s="6">
        <v>106000</v>
      </c>
      <c r="C2" s="6" t="s">
        <v>227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233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228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229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229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229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234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229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229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229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230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231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232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267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236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229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235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229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235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229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235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223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8" sqref="D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ROW()-2+107000</f>
        <v>107000</v>
      </c>
      <c r="B2" s="6">
        <v>107000</v>
      </c>
      <c r="C2" s="6" t="s">
        <v>237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D12" sqref="D1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ROW()-2+120000</f>
        <v>120002</v>
      </c>
      <c r="B4" s="3">
        <f t="shared" ref="B4:B16" si="1"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 t="shared" si="1"/>
        <v>120003</v>
      </c>
      <c r="C5" s="3" t="s">
        <v>7</v>
      </c>
      <c r="D5" s="3" t="s">
        <v>71</v>
      </c>
      <c r="E5" s="3">
        <v>0</v>
      </c>
      <c r="F5" s="3">
        <v>0</v>
      </c>
      <c r="G5" s="3">
        <v>110</v>
      </c>
      <c r="H5" s="3">
        <v>0</v>
      </c>
      <c r="I5" s="3">
        <v>30</v>
      </c>
      <c r="J5" s="3">
        <v>0</v>
      </c>
      <c r="K5" s="3">
        <v>0</v>
      </c>
      <c r="L5" s="3">
        <v>60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25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 t="shared" si="1"/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0</v>
      </c>
      <c r="I6" s="3">
        <v>30</v>
      </c>
      <c r="J6" s="3">
        <v>0</v>
      </c>
      <c r="K6" s="3">
        <v>0</v>
      </c>
      <c r="L6" s="3">
        <v>50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65</v>
      </c>
      <c r="AE6" s="5" t="s">
        <v>73</v>
      </c>
      <c r="AF6" s="5" t="s">
        <v>72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25</v>
      </c>
      <c r="AM6" s="5">
        <v>30</v>
      </c>
      <c r="AN6" s="5">
        <v>30</v>
      </c>
      <c r="AO6" s="5">
        <v>10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 t="shared" si="1"/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0</v>
      </c>
      <c r="I7" s="3">
        <v>30</v>
      </c>
      <c r="J7" s="3">
        <v>0</v>
      </c>
      <c r="K7" s="3">
        <v>0</v>
      </c>
      <c r="L7" s="3">
        <v>70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25</v>
      </c>
      <c r="AM7" s="5">
        <v>20</v>
      </c>
      <c r="AN7" s="5">
        <v>20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si="1"/>
        <v>120006</v>
      </c>
      <c r="C8" s="3" t="s">
        <v>7</v>
      </c>
      <c r="D8" s="3" t="s">
        <v>56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230</v>
      </c>
      <c r="M8" s="3">
        <v>90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62</v>
      </c>
      <c r="AD8" s="5" t="s">
        <v>37</v>
      </c>
      <c r="AE8" s="5" t="s">
        <v>22</v>
      </c>
      <c r="AF8" s="5" t="s">
        <v>7</v>
      </c>
      <c r="AG8" s="5" t="s">
        <v>128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20</v>
      </c>
      <c r="AN8" s="5">
        <v>30</v>
      </c>
      <c r="AO8" s="5">
        <v>0</v>
      </c>
      <c r="AP8" s="5">
        <v>50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230</v>
      </c>
      <c r="M9" s="3">
        <v>90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62</v>
      </c>
      <c r="AD9" s="5" t="s">
        <v>37</v>
      </c>
      <c r="AE9" s="5" t="s">
        <v>22</v>
      </c>
      <c r="AF9" s="5" t="s">
        <v>72</v>
      </c>
      <c r="AG9" s="5" t="s">
        <v>128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20</v>
      </c>
      <c r="AN9" s="5">
        <v>30</v>
      </c>
      <c r="AO9" s="5">
        <v>50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260</v>
      </c>
      <c r="M10" s="3">
        <v>110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30</v>
      </c>
      <c r="AO10" s="5">
        <v>0</v>
      </c>
      <c r="AP10" s="5">
        <v>50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7</v>
      </c>
      <c r="D11" s="3" t="s">
        <v>112</v>
      </c>
      <c r="E11" s="3">
        <v>0</v>
      </c>
      <c r="F11" s="3">
        <v>0</v>
      </c>
      <c r="G11" s="3">
        <v>330</v>
      </c>
      <c r="H11" s="3">
        <v>40</v>
      </c>
      <c r="I11" s="3">
        <v>110</v>
      </c>
      <c r="J11" s="3">
        <v>0</v>
      </c>
      <c r="K11" s="3">
        <v>120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70</v>
      </c>
      <c r="AD11" s="5" t="s">
        <v>65</v>
      </c>
      <c r="AE11" s="5" t="s">
        <v>73</v>
      </c>
      <c r="AF11" s="5" t="s">
        <v>130</v>
      </c>
      <c r="AG11" s="5" t="s">
        <v>128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15</v>
      </c>
      <c r="AM11" s="5">
        <v>30</v>
      </c>
      <c r="AN11" s="5">
        <v>30</v>
      </c>
      <c r="AO11" s="5">
        <v>30</v>
      </c>
      <c r="AP11" s="5">
        <v>50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330</v>
      </c>
      <c r="H12" s="3">
        <v>40</v>
      </c>
      <c r="I12" s="3">
        <v>110</v>
      </c>
      <c r="J12" s="3">
        <v>0</v>
      </c>
      <c r="K12" s="3">
        <v>80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65</v>
      </c>
      <c r="AE12" s="5" t="s">
        <v>73</v>
      </c>
      <c r="AF12" s="5" t="s">
        <v>72</v>
      </c>
      <c r="AG12" s="5" t="s">
        <v>39</v>
      </c>
      <c r="AH12" s="5" t="s">
        <v>130</v>
      </c>
      <c r="AI12" s="5" t="s">
        <v>128</v>
      </c>
      <c r="AJ12" s="5" t="s">
        <v>7</v>
      </c>
      <c r="AK12" s="5" t="s">
        <v>7</v>
      </c>
      <c r="AL12" s="5">
        <v>15</v>
      </c>
      <c r="AM12" s="5">
        <v>30</v>
      </c>
      <c r="AN12" s="5">
        <v>30</v>
      </c>
      <c r="AO12" s="5">
        <v>10</v>
      </c>
      <c r="AP12" s="5">
        <v>10</v>
      </c>
      <c r="AQ12" s="5">
        <v>30</v>
      </c>
      <c r="AR12" s="5">
        <v>50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330</v>
      </c>
      <c r="H13" s="3">
        <v>40</v>
      </c>
      <c r="I13" s="3">
        <v>110</v>
      </c>
      <c r="J13" s="3">
        <v>0</v>
      </c>
      <c r="K13" s="3">
        <v>160</v>
      </c>
      <c r="L13" s="3">
        <v>110</v>
      </c>
      <c r="M13" s="3">
        <v>0</v>
      </c>
      <c r="N13" s="3">
        <v>0</v>
      </c>
      <c r="O13" s="3">
        <v>0</v>
      </c>
      <c r="P13" s="3">
        <v>0</v>
      </c>
      <c r="Q13" s="3">
        <v>180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65</v>
      </c>
      <c r="AE13" s="5" t="s">
        <v>73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15</v>
      </c>
      <c r="AM13" s="5">
        <v>20</v>
      </c>
      <c r="AN13" s="5">
        <v>20</v>
      </c>
      <c r="AO13" s="5">
        <v>30</v>
      </c>
      <c r="AP13" s="5">
        <v>50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240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0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7</v>
      </c>
      <c r="D5" s="3" t="s">
        <v>174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202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20</v>
      </c>
      <c r="AO5" s="5">
        <v>60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202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20</v>
      </c>
      <c r="AO6" s="5">
        <v>60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80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202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20</v>
      </c>
      <c r="AO7" s="5">
        <v>60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7</v>
      </c>
      <c r="D8" s="3" t="s">
        <v>241</v>
      </c>
      <c r="E8" s="3">
        <v>30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90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209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30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90</v>
      </c>
      <c r="Q9" s="3">
        <v>55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209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30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55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209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ref="B11:B13" si="2">INDEX(B:B,MATCH(121000,B:B,0),1)+(ROW()-MATCH(121000,B:B,0))</f>
        <v>121009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2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2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ROW()-2+122000</f>
        <v>122000</v>
      </c>
      <c r="B2" s="6">
        <v>122000</v>
      </c>
      <c r="C2" s="6" t="s">
        <v>242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210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243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209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241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244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221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233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228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229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229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229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234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229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229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229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230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231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232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267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248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249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250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251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252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253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253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254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253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253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255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256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236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229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235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229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235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229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235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247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246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246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246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245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226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225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225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225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223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257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221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258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259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259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259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260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261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261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261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217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262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262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262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263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264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209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209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209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223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265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266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234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267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226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208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207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207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207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210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241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268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228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234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11" sqref="A11:XF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269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120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160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ROW()-2+141000</f>
        <v>141000</v>
      </c>
      <c r="B2" s="6">
        <v>141000</v>
      </c>
      <c r="C2" s="6" t="s">
        <v>270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224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233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230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231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271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273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274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274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274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238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272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223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6" sqref="A26:XFD2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35">
      <c r="A2" s="6">
        <f>ROW()-2+142000</f>
        <v>142000</v>
      </c>
      <c r="B2" s="6">
        <v>142000</v>
      </c>
      <c r="C2" s="6" t="s">
        <v>275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252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253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253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245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9" activePane="bottomLeft" state="frozen"/>
      <selection activeCell="D1" sqref="D1"/>
      <selection pane="bottomLeft" activeCell="A47" sqref="A47:XFD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ROW()-2+143000</f>
        <v>143000</v>
      </c>
      <c r="B2" s="6">
        <v>143000</v>
      </c>
      <c r="C2" s="6" t="s">
        <v>276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228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234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232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267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224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255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256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225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225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225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236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229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235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229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235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229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235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245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226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225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225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225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208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207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207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207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236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235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235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235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247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246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246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223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276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277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277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277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283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279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280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280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280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281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280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280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280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282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280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280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280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278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 t="shared" ref="B8:B52" si="2">INDEX(B:B,MATCH(146000,B:B,0),1)+(ROW()-MATCH(146000,B:B,0))</f>
        <v>146006</v>
      </c>
      <c r="C8" s="3" t="s">
        <v>284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274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 t="shared" si="2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 t="shared" si="2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274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 t="shared" si="2"/>
        <v>146009</v>
      </c>
      <c r="C11" s="3" t="s">
        <v>297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274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 t="shared" si="2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 t="shared" si="2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274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 t="shared" si="2"/>
        <v>146012</v>
      </c>
      <c r="C14" s="3" t="s">
        <v>285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274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 t="shared" si="2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 t="shared" si="2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 t="shared" si="2"/>
        <v>146015</v>
      </c>
      <c r="C17" s="3" t="s">
        <v>286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274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 t="shared" si="2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 t="shared" si="2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274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 t="shared" si="2"/>
        <v>146018</v>
      </c>
      <c r="C20" s="3" t="s">
        <v>287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288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 t="shared" si="2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288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 t="shared" si="2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288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si="2"/>
        <v>146021</v>
      </c>
      <c r="C23" s="3" t="s">
        <v>289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 t="shared" si="2"/>
        <v>146024</v>
      </c>
      <c r="C26" s="3" t="s">
        <v>290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 t="shared" si="2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 t="shared" si="2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 t="shared" si="2"/>
        <v>146027</v>
      </c>
      <c r="C29" s="3" t="s">
        <v>291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 t="shared" si="2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 t="shared" si="2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 t="shared" si="2"/>
        <v>146030</v>
      </c>
      <c r="C32" s="3" t="s">
        <v>292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 t="shared" si="2"/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 t="shared" si="2"/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 t="shared" si="2"/>
        <v>146033</v>
      </c>
      <c r="C35" s="3" t="s">
        <v>293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 t="shared" si="2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 t="shared" si="2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 t="shared" si="2"/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 t="shared" si="2"/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 t="shared" si="2"/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 t="shared" si="2"/>
        <v>146039</v>
      </c>
      <c r="C41" s="3" t="s">
        <v>296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 t="shared" si="2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209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 t="shared" si="2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209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 t="shared" si="2"/>
        <v>146042</v>
      </c>
      <c r="C44" s="3" t="s">
        <v>294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209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 t="shared" si="2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209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 t="shared" si="2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209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 t="shared" si="2"/>
        <v>146045</v>
      </c>
      <c r="C47" s="3" t="s">
        <v>295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 t="shared" si="2"/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 t="shared" si="2"/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 t="shared" si="2"/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 t="shared" si="2"/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 t="shared" si="2"/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3">INDEX(B:B,MATCH(146000,B:B,0),1)+(ROW()-MATCH(146000,B:B,0))</f>
        <v>146051</v>
      </c>
      <c r="C53" s="3" t="s">
        <v>223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301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299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225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225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225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300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225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225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8" sqref="C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20" customFormat="1" ht="15.75" customHeight="1" x14ac:dyDescent="0.2">
      <c r="A2" s="17">
        <f>ROW()-2+160000</f>
        <v>160000</v>
      </c>
      <c r="B2" s="17">
        <v>160000</v>
      </c>
      <c r="C2" s="17" t="s">
        <v>302</v>
      </c>
      <c r="D2" s="17" t="s">
        <v>7</v>
      </c>
      <c r="E2" s="17">
        <v>30</v>
      </c>
      <c r="F2" s="17">
        <v>0</v>
      </c>
      <c r="G2" s="17">
        <v>80</v>
      </c>
      <c r="H2" s="17">
        <v>200</v>
      </c>
      <c r="I2" s="17">
        <v>0</v>
      </c>
      <c r="J2" s="17">
        <v>0</v>
      </c>
      <c r="K2" s="17">
        <v>0</v>
      </c>
      <c r="L2" s="17">
        <v>100</v>
      </c>
      <c r="M2" s="17">
        <v>0</v>
      </c>
      <c r="N2" s="17">
        <v>0</v>
      </c>
      <c r="O2" s="17">
        <v>0</v>
      </c>
      <c r="P2" s="17">
        <v>0</v>
      </c>
      <c r="Q2" s="17">
        <v>70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8" t="s">
        <v>70</v>
      </c>
      <c r="AD2" s="18" t="s">
        <v>7</v>
      </c>
      <c r="AE2" s="18" t="s">
        <v>7</v>
      </c>
      <c r="AF2" s="18" t="s">
        <v>7</v>
      </c>
      <c r="AG2" s="18" t="s">
        <v>7</v>
      </c>
      <c r="AH2" s="18" t="s">
        <v>7</v>
      </c>
      <c r="AI2" s="18" t="s">
        <v>7</v>
      </c>
      <c r="AJ2" s="18" t="s">
        <v>7</v>
      </c>
      <c r="AK2" s="18" t="s">
        <v>7</v>
      </c>
      <c r="AL2" s="18">
        <v>20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9" t="s">
        <v>154</v>
      </c>
      <c r="AW2" s="18">
        <v>0</v>
      </c>
      <c r="AX2" s="18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223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303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305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304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306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307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308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310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254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273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274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274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309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247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246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246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246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311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312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313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230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231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2024-12-10T13:56:31Z</dcterms:modified>
</cp:coreProperties>
</file>