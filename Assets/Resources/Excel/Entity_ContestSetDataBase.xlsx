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F747F42-FD58-4D18-A020-DD9FD03C2FEE}" xr6:coauthVersionLast="47" xr6:coauthVersionMax="47" xr10:uidLastSave="{00000000-0000-0000-0000-000000000000}"/>
  <bookViews>
    <workbookView xWindow="735" yWindow="735" windowWidth="25560" windowHeight="14325" tabRatio="776" firstSheet="25" activeTab="30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36" l="1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6" i="36"/>
  <c r="B87" i="36"/>
  <c r="B88" i="36"/>
  <c r="B89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A90" i="36"/>
  <c r="A89" i="36"/>
  <c r="A88" i="36"/>
  <c r="A108" i="36"/>
  <c r="A107" i="36"/>
  <c r="A106" i="36"/>
  <c r="B19" i="8"/>
  <c r="A19" i="8"/>
  <c r="B18" i="8"/>
  <c r="A18" i="8"/>
  <c r="B17" i="8"/>
  <c r="A17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20" i="8"/>
  <c r="B21" i="8"/>
  <c r="B22" i="8"/>
  <c r="B23" i="8"/>
  <c r="B24" i="8"/>
  <c r="B25" i="8"/>
  <c r="B26" i="8"/>
  <c r="B27" i="8"/>
  <c r="B28" i="8"/>
  <c r="B29" i="8"/>
  <c r="B30" i="8"/>
  <c r="B31" i="8"/>
  <c r="A7" i="8"/>
  <c r="A6" i="8"/>
  <c r="A5" i="8"/>
  <c r="B7" i="9"/>
  <c r="A7" i="9"/>
  <c r="B6" i="9"/>
  <c r="A6" i="9"/>
  <c r="B5" i="9"/>
  <c r="A5" i="9"/>
  <c r="B19" i="9"/>
  <c r="A19" i="9"/>
  <c r="B18" i="9"/>
  <c r="A18" i="9"/>
  <c r="B17" i="9"/>
  <c r="A17" i="9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66" i="36"/>
  <c r="A65" i="36"/>
  <c r="A64" i="36"/>
  <c r="A81" i="36"/>
  <c r="A80" i="36"/>
  <c r="A79" i="36"/>
  <c r="A63" i="36"/>
  <c r="A62" i="36"/>
  <c r="A61" i="36"/>
  <c r="A72" i="36"/>
  <c r="A71" i="36"/>
  <c r="A70" i="36"/>
  <c r="A69" i="36"/>
  <c r="A68" i="36"/>
  <c r="A67" i="36"/>
  <c r="A42" i="36"/>
  <c r="A41" i="36"/>
  <c r="A40" i="36"/>
  <c r="A39" i="36"/>
  <c r="A38" i="36"/>
  <c r="A37" i="36"/>
  <c r="B7" i="28"/>
  <c r="A7" i="28"/>
  <c r="B6" i="28"/>
  <c r="A6" i="28"/>
  <c r="B5" i="28"/>
  <c r="A5" i="28"/>
  <c r="B16" i="29"/>
  <c r="A16" i="29"/>
  <c r="B15" i="29"/>
  <c r="A15" i="29"/>
  <c r="B14" i="29"/>
  <c r="A14" i="29"/>
  <c r="B22" i="30"/>
  <c r="A22" i="30"/>
  <c r="B21" i="30"/>
  <c r="A21" i="30"/>
  <c r="B20" i="30"/>
  <c r="A20" i="30"/>
  <c r="B19" i="31"/>
  <c r="A19" i="31"/>
  <c r="B18" i="31"/>
  <c r="A18" i="31"/>
  <c r="B17" i="31"/>
  <c r="A17" i="31"/>
  <c r="B3" i="38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A126" i="36"/>
  <c r="A125" i="36"/>
  <c r="A124" i="36"/>
  <c r="A123" i="36"/>
  <c r="A122" i="36"/>
  <c r="A121" i="36"/>
  <c r="A120" i="36"/>
  <c r="A119" i="36"/>
  <c r="A118" i="36"/>
  <c r="A129" i="36"/>
  <c r="A128" i="36"/>
  <c r="A127" i="36"/>
  <c r="A84" i="36"/>
  <c r="A83" i="36"/>
  <c r="A82" i="36"/>
  <c r="A114" i="36"/>
  <c r="A113" i="36"/>
  <c r="A112" i="36"/>
  <c r="A102" i="36"/>
  <c r="A101" i="36"/>
  <c r="A100" i="36"/>
  <c r="A96" i="36"/>
  <c r="A95" i="36"/>
  <c r="A94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55" i="26"/>
  <c r="A55" i="26"/>
  <c r="B54" i="26"/>
  <c r="A54" i="26"/>
  <c r="B53" i="26"/>
  <c r="A53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A7" i="26"/>
  <c r="A6" i="26"/>
  <c r="A5" i="26"/>
  <c r="A13" i="26"/>
  <c r="A12" i="26"/>
  <c r="A11" i="26"/>
  <c r="A43" i="26"/>
  <c r="A42" i="26"/>
  <c r="A41" i="26"/>
  <c r="A52" i="26"/>
  <c r="A51" i="26"/>
  <c r="A50" i="26"/>
  <c r="A49" i="26"/>
  <c r="A48" i="26"/>
  <c r="A47" i="26"/>
  <c r="A46" i="26"/>
  <c r="A45" i="26"/>
  <c r="A44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0" i="26"/>
  <c r="A9" i="26"/>
  <c r="A8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3" i="9"/>
  <c r="A13" i="9"/>
  <c r="B12" i="9"/>
  <c r="A12" i="9"/>
  <c r="B11" i="9"/>
  <c r="A11" i="9"/>
  <c r="B3" i="9"/>
  <c r="B4" i="9"/>
  <c r="B8" i="9"/>
  <c r="B9" i="9"/>
  <c r="B10" i="9"/>
  <c r="B14" i="9"/>
  <c r="B15" i="9"/>
  <c r="B16" i="9"/>
  <c r="B20" i="9"/>
  <c r="B21" i="9"/>
  <c r="B22" i="9"/>
  <c r="B23" i="9"/>
  <c r="B24" i="9"/>
  <c r="B25" i="9"/>
  <c r="B26" i="9"/>
  <c r="B27" i="9"/>
  <c r="B28" i="9"/>
  <c r="B29" i="9"/>
  <c r="B30" i="9"/>
  <c r="B31" i="9"/>
  <c r="A13" i="8"/>
  <c r="A12" i="8"/>
  <c r="A11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3" i="13"/>
  <c r="A13" i="13"/>
  <c r="B12" i="13"/>
  <c r="A12" i="13"/>
  <c r="B11" i="13"/>
  <c r="A11" i="13"/>
  <c r="B3" i="13"/>
  <c r="B4" i="13"/>
  <c r="B5" i="13"/>
  <c r="B6" i="13"/>
  <c r="B7" i="13"/>
  <c r="B8" i="13"/>
  <c r="B9" i="13"/>
  <c r="B10" i="13"/>
  <c r="A10" i="13"/>
  <c r="A9" i="13"/>
  <c r="A8" i="13"/>
  <c r="B16" i="12"/>
  <c r="A16" i="12"/>
  <c r="B15" i="12"/>
  <c r="A15" i="12"/>
  <c r="B14" i="12"/>
  <c r="A14" i="12"/>
  <c r="B3" i="12"/>
  <c r="B4" i="12"/>
  <c r="B5" i="12"/>
  <c r="B6" i="12"/>
  <c r="B7" i="12"/>
  <c r="B8" i="12"/>
  <c r="B9" i="12"/>
  <c r="B10" i="12"/>
  <c r="B11" i="12"/>
  <c r="B12" i="12"/>
  <c r="B13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31" i="9"/>
  <c r="A30" i="9"/>
  <c r="A29" i="9"/>
  <c r="A31" i="8"/>
  <c r="A30" i="8"/>
  <c r="A29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22" i="9"/>
  <c r="A21" i="9"/>
  <c r="A20" i="9"/>
  <c r="A21" i="8"/>
  <c r="A22" i="8"/>
  <c r="A20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111" i="36"/>
  <c r="A110" i="36"/>
  <c r="A109" i="36"/>
  <c r="A105" i="36"/>
  <c r="A104" i="36"/>
  <c r="A103" i="36"/>
  <c r="A99" i="36"/>
  <c r="A98" i="36"/>
  <c r="A97" i="36"/>
  <c r="A93" i="36"/>
  <c r="A92" i="36"/>
  <c r="A91" i="36"/>
  <c r="A78" i="36"/>
  <c r="A77" i="36"/>
  <c r="A76" i="36"/>
  <c r="A12" i="36"/>
  <c r="A11" i="36"/>
  <c r="A10" i="36"/>
  <c r="A9" i="36"/>
  <c r="A8" i="36"/>
  <c r="A7" i="36"/>
  <c r="A6" i="36"/>
  <c r="A5" i="36"/>
  <c r="A75" i="36"/>
  <c r="A74" i="36"/>
  <c r="A73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8" i="9"/>
  <c r="A27" i="9"/>
  <c r="A26" i="9"/>
  <c r="A25" i="9"/>
  <c r="A24" i="9"/>
  <c r="A23" i="9"/>
  <c r="A10" i="9"/>
  <c r="A9" i="9"/>
  <c r="A8" i="9"/>
  <c r="A16" i="8"/>
  <c r="A15" i="8"/>
  <c r="A14" i="8"/>
  <c r="A27" i="8"/>
  <c r="A28" i="8"/>
  <c r="A26" i="8"/>
  <c r="A24" i="8"/>
  <c r="A25" i="8"/>
  <c r="A23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7" i="13"/>
  <c r="A6" i="13"/>
  <c r="A5" i="13"/>
  <c r="A13" i="12"/>
  <c r="A12" i="12"/>
  <c r="A11" i="12"/>
  <c r="A10" i="12"/>
  <c r="A9" i="12"/>
  <c r="A8" i="12"/>
  <c r="A7" i="12"/>
  <c r="A6" i="12"/>
  <c r="A5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6" i="9"/>
  <c r="A15" i="9"/>
  <c r="A14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117" i="36"/>
  <c r="A116" i="36"/>
  <c r="A115" i="36"/>
  <c r="A87" i="36"/>
  <c r="A86" i="36"/>
  <c r="A85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10" i="8"/>
  <c r="A9" i="8"/>
  <c r="A8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9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</calcChain>
</file>

<file path=xl/sharedStrings.xml><?xml version="1.0" encoding="utf-8"?>
<sst xmlns="http://schemas.openxmlformats.org/spreadsheetml/2006/main" count="18244" uniqueCount="333">
  <si>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</si>
  <si>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</si>
  <si>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</si>
  <si>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</si>
  <si>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</si>
  <si>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</si>
  <si>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</si>
  <si>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</si>
  <si>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</si>
  <si>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</si>
  <si>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</si>
  <si>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</si>
  <si>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</si>
  <si>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</si>
  <si>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</si>
  <si>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</si>
  <si>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</si>
  <si>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</si>
  <si>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</si>
  <si>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</si>
  <si>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</si>
  <si>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</si>
  <si>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</si>
  <si>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</si>
  <si>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</si>
  <si>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</si>
  <si>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</si>
  <si>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</si>
  <si>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</si>
  <si>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</si>
  <si>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</si>
  <si>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</si>
  <si>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</si>
  <si>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</si>
  <si>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</si>
  <si>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</si>
  <si>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</si>
  <si>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</si>
  <si>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</si>
  <si>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</si>
  <si>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</si>
  <si>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</si>
  <si>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</si>
  <si>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</si>
  <si>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</si>
  <si>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</si>
  <si>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</si>
  <si>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</si>
  <si>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</si>
  <si>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</si>
  <si>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</si>
  <si>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</si>
  <si>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</si>
  <si>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</si>
  <si>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</si>
  <si>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</si>
  <si>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</si>
  <si>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</si>
  <si>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</si>
  <si>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</si>
  <si>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</si>
  <si>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</si>
  <si>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</si>
  <si>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</si>
  <si>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</si>
  <si>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</si>
  <si>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</si>
  <si>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</si>
  <si>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</si>
  <si>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</si>
  <si>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</si>
  <si>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</si>
  <si>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</si>
  <si>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</si>
  <si>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</si>
  <si>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</si>
  <si>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</si>
  <si>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</si>
  <si>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</si>
  <si>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</si>
  <si>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</si>
  <si>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</si>
  <si>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</si>
  <si>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</si>
  <si>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</si>
  <si>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</si>
  <si>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</si>
  <si>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</si>
  <si>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</si>
  <si>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</si>
  <si>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</si>
  <si>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</si>
  <si>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</si>
  <si>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</si>
  <si>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</si>
  <si>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</si>
  <si>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</si>
  <si>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</si>
  <si>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</si>
  <si>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</si>
  <si>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</si>
  <si>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</si>
  <si>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</si>
  <si>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</si>
  <si>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</si>
  <si>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</si>
  <si>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</si>
  <si>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</si>
  <si>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</si>
  <si>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</si>
  <si>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</si>
  <si>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</si>
  <si>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</si>
  <si>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</si>
  <si>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</si>
  <si>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</si>
  <si>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</si>
  <si>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</si>
  <si>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</si>
  <si>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</si>
  <si>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</si>
  <si>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</si>
  <si>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</si>
  <si>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</si>
  <si>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</si>
  <si>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</si>
  <si>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</si>
  <si>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</si>
  <si>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</si>
  <si>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</si>
  <si>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</si>
  <si>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</si>
  <si>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</si>
  <si>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</si>
  <si>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</si>
  <si>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</si>
  <si>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</si>
  <si>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</si>
  <si>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</si>
  <si>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</si>
  <si>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</si>
  <si>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</si>
  <si>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</si>
  <si>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</si>
  <si>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</si>
  <si>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</si>
  <si>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</si>
  <si>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</si>
  <si>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</si>
  <si>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</si>
  <si>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</si>
  <si>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</si>
  <si>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</si>
  <si>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</si>
  <si>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</si>
  <si>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</si>
  <si>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</si>
  <si>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</si>
  <si>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</si>
  <si>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</si>
  <si>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</si>
  <si>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</si>
  <si>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</si>
  <si>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</si>
  <si>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</si>
  <si>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</si>
  <si>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</si>
  <si>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</si>
  <si>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</si>
  <si>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</si>
  <si>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</si>
  <si>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</si>
  <si>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</si>
  <si>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</si>
  <si>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</si>
  <si>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</si>
  <si>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</si>
  <si>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</si>
  <si>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</si>
  <si>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</si>
  <si>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</si>
  <si>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</si>
  <si>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</si>
  <si>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</si>
  <si>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</si>
  <si>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</si>
  <si>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</si>
  <si>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</si>
  <si>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</si>
  <si>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</si>
  <si>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</si>
  <si>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</si>
  <si>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</si>
  <si>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</si>
  <si>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</si>
  <si>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</si>
  <si>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</si>
  <si>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</si>
  <si>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</si>
  <si>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</si>
  <si>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</si>
  <si>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</si>
  <si>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</si>
  <si>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#クッキーノービスカップ</t>
    <phoneticPr fontId="2"/>
  </si>
  <si>
    <t>#ラスクブロカント</t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</si>
  <si>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phoneticPr fontId="2"/>
  </si>
  <si>
    <r>
      <t>#</t>
    </r>
    <r>
      <rPr>
        <sz val="10"/>
        <rFont val="ＭＳ Ｐゴシック"/>
        <family val="2"/>
        <charset val="128"/>
      </rPr>
      <t>ルミエールカンデラ</t>
    </r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</si>
  <si>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</si>
  <si>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</si>
  <si>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</si>
  <si>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</si>
  <si>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</si>
  <si>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</si>
  <si>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r>
      <t>##</t>
    </r>
    <r>
      <rPr>
        <sz val="10"/>
        <rFont val="ＭＳ Ｐゴシック"/>
        <family val="2"/>
        <charset val="128"/>
      </rPr>
      <t>プラトンアカデミー一回戦　焼き菓子##</t>
    </r>
    <rPh sb="11" eb="14">
      <t>イッカイセン</t>
    </rPh>
    <rPh sb="15" eb="16">
      <t>ヤ</t>
    </rPh>
    <rPh sb="17" eb="19">
      <t>ガシ</t>
    </rPh>
    <phoneticPr fontId="2"/>
  </si>
  <si>
    <r>
      <t>##</t>
    </r>
    <r>
      <rPr>
        <sz val="10"/>
        <rFont val="ＭＳ Ｐゴシック"/>
        <family val="2"/>
        <charset val="128"/>
      </rPr>
      <t>未使用　一回戦　焼き菓子##</t>
    </r>
    <rPh sb="2" eb="5">
      <t>ミシヨウ</t>
    </rPh>
    <rPh sb="6" eb="9">
      <t>イッカイセン</t>
    </rPh>
    <rPh sb="10" eb="11">
      <t>ヤ</t>
    </rPh>
    <rPh sb="12" eb="14">
      <t>ガシ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</si>
  <si>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</si>
  <si>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</si>
  <si>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</si>
  <si>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</si>
  <si>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</si>
  <si>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#オランジーナパティスリーアワード　 ケーキかクリームブリュレ</t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</si>
  <si>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</si>
  <si>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</si>
  <si>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</si>
  <si>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</si>
  <si>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</si>
  <si>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</si>
  <si>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</t>
    </r>
    <rPh sb="22" eb="24">
      <t>シュウバン</t>
    </rPh>
    <rPh sb="27" eb="29">
      <t>キジュン</t>
    </rPh>
    <rPh sb="30" eb="33">
      <t>ナンイド</t>
    </rPh>
    <rPh sb="33" eb="34">
      <t>タカ</t>
    </rPh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</si>
  <si>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</si>
  <si>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</si>
  <si>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</si>
  <si>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</si>
  <si>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</si>
  <si>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</si>
  <si>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</si>
  <si>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</si>
  <si>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</si>
  <si>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</t>
    </r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</si>
  <si>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</si>
  <si>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</si>
  <si>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</si>
  <si>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</si>
  <si>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ゴージャスな飲み物</t>
    </r>
    <rPh sb="19" eb="20">
      <t>ノ</t>
    </rPh>
    <rPh sb="21" eb="22">
      <t>モノ</t>
    </rPh>
    <phoneticPr fontId="2"/>
  </si>
  <si>
    <t>a_JuiceFroat</t>
    <phoneticPr fontId="2"/>
  </si>
  <si>
    <r>
      <t>#</t>
    </r>
    <r>
      <rPr>
        <sz val="10"/>
        <rFont val="ＭＳ Ｐゴシック"/>
        <family val="2"/>
        <charset val="128"/>
      </rPr>
      <t>おみやげお菓子</t>
    </r>
    <rPh sb="6" eb="8">
      <t>カシ</t>
    </rPh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</si>
  <si>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</si>
  <si>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</si>
  <si>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</si>
  <si>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</si>
  <si>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</si>
  <si>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</si>
  <si>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</si>
  <si>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</si>
  <si>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</si>
  <si>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</si>
  <si>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</si>
  <si>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</si>
  <si>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</si>
  <si>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</si>
  <si>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</si>
  <si>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</si>
  <si>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</si>
  <si>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</si>
  <si>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</si>
  <si>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</si>
  <si>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r>
      <t>#</t>
    </r>
    <r>
      <rPr>
        <sz val="10"/>
        <rFont val="ＭＳ Ｐゴシック"/>
        <family val="2"/>
        <charset val="128"/>
      </rPr>
      <t>遥かなる蒼賞</t>
    </r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</si>
  <si>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</t>
    </r>
    <rPh sb="17" eb="19">
      <t>マホウ</t>
    </rPh>
    <rPh sb="22" eb="24">
      <t>ゲンテイ</t>
    </rPh>
    <phoneticPr fontId="2"/>
  </si>
  <si>
    <t>bush_de_noel_buttefly</t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</si>
  <si>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</t>
    </r>
    <rPh sb="4" eb="7">
      <t>ヨウガシ</t>
    </rPh>
    <rPh sb="7" eb="9">
      <t>ギジュツ</t>
    </rPh>
    <rPh sb="18" eb="20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</si>
  <si>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</t>
    </r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</si>
  <si>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</si>
  <si>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</si>
  <si>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</si>
  <si>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</si>
  <si>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</si>
  <si>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</si>
  <si>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</si>
  <si>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</si>
  <si>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</si>
  <si>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</si>
  <si>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</t>
    </r>
    <rPh sb="8" eb="10">
      <t>チョウコク</t>
    </rPh>
    <rPh sb="13" eb="15">
      <t>ゲンテイ</t>
    </rPh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</si>
  <si>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</si>
  <si>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</si>
  <si>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</si>
  <si>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</si>
  <si>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</si>
  <si>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</si>
  <si>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</si>
  <si>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</si>
  <si>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</si>
  <si>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</si>
  <si>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</si>
  <si>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soda_starlight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</si>
  <si>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</si>
  <si>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</si>
  <si>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</si>
  <si>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</si>
  <si>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</si>
  <si>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</t>
    </r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</si>
  <si>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</si>
  <si>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</si>
  <si>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</si>
  <si>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</si>
  <si>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</si>
  <si>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</si>
  <si>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</si>
  <si>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</si>
  <si>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</si>
  <si>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</si>
  <si>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</si>
  <si>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</si>
  <si>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</si>
  <si>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</si>
  <si>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</si>
  <si>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ワールドチャンピオン一回戦　チョコレート##</t>
    </r>
    <rPh sb="12" eb="15">
      <t>イッカイセン</t>
    </rPh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</si>
  <si>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</si>
  <si>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</si>
  <si>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</si>
  <si>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</si>
  <si>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</t>
    </r>
    <rPh sb="15" eb="18">
      <t>イッカイセン</t>
    </rPh>
    <phoneticPr fontId="2"/>
  </si>
  <si>
    <t>brioche</t>
    <phoneticPr fontId="2"/>
  </si>
  <si>
    <t>カンノーリ</t>
    <phoneticPr fontId="2"/>
  </si>
  <si>
    <t>ビスコッティ</t>
    <phoneticPr fontId="2"/>
  </si>
  <si>
    <t>BakedSweets</t>
    <phoneticPr fontId="2"/>
  </si>
  <si>
    <t>castella</t>
    <phoneticPr fontId="2"/>
  </si>
  <si>
    <t>cheese_cake</t>
    <phoneticPr fontId="2"/>
  </si>
  <si>
    <t>a_GlowJelly</t>
    <phoneticPr fontId="2"/>
  </si>
  <si>
    <t>a_GlowCake</t>
    <phoneticPr fontId="2"/>
  </si>
  <si>
    <r>
      <t>#</t>
    </r>
    <r>
      <rPr>
        <sz val="10"/>
        <rFont val="ＭＳ Ｐゴシック"/>
        <family val="2"/>
        <charset val="128"/>
      </rPr>
      <t>アデュルティ・ガトー＜ここの判定使用しない＞</t>
    </r>
    <rPh sb="15" eb="17">
      <t>ハンテイ</t>
    </rPh>
    <rPh sb="17" eb="1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</si>
  <si>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r>
      <rPr>
        <sz val="10"/>
        <rFont val="ＭＳ Ｐゴシック"/>
        <family val="2"/>
        <charset val="128"/>
      </rPr>
      <t>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</si>
  <si>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</si>
  <si>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英国ティータイムコンテスト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</si>
  <si>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自由課題＜ここの判定使用しない＞</t>
    </r>
    <rPh sb="10" eb="14">
      <t>ジユウカダイ</t>
    </rPh>
    <rPh sb="18" eb="20">
      <t>ハンテイ</t>
    </rPh>
    <rPh sb="20" eb="22">
      <t>シヨウ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</si>
</sst>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7" fillId="4" borderId="0" xfId="0" applyFont="1" applyFill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4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ROW()-2+20000</f>
        <v>20000</v>
      </c>
      <c r="B2" s="6">
        <v>20000</v>
      </c>
      <c r="C2" s="6" t="s">
        <v>214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129"/>
  <sheetViews>
    <sheetView zoomScale="85" zoomScaleNormal="85" workbookViewId="0">
      <pane ySplit="1" topLeftCell="A77" activePane="bottomLeft" state="frozen"/>
      <selection activeCell="D1" sqref="D1"/>
      <selection pane="bottomLeft" activeCell="E100" sqref="E10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ROW()-2+30000</f>
        <v>30000</v>
      </c>
      <c r="B2" s="6">
        <v>30000</v>
      </c>
      <c r="C2" s="6" t="s">
        <v>213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ROW()-2+30000</f>
        <v>30001</v>
      </c>
      <c r="B3" s="3">
        <f t="shared" ref="B3:B34" si="0"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84" si="1">ROW()-2+30000</f>
        <v>30002</v>
      </c>
      <c r="B4" s="3">
        <f t="shared" si="0"/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30003</v>
      </c>
      <c r="B5" s="3">
        <f t="shared" si="0"/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1"/>
        <v>30004</v>
      </c>
      <c r="B6" s="3">
        <f t="shared" si="0"/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1"/>
        <v>30005</v>
      </c>
      <c r="B7" s="3">
        <f t="shared" si="0"/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1"/>
        <v>30006</v>
      </c>
      <c r="B8" s="3">
        <f t="shared" si="0"/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1"/>
        <v>30007</v>
      </c>
      <c r="B9" s="3">
        <f t="shared" si="0"/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1"/>
        <v>30008</v>
      </c>
      <c r="B10" s="3">
        <f t="shared" si="0"/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30009</v>
      </c>
      <c r="B11" s="3">
        <f t="shared" si="0"/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30010</v>
      </c>
      <c r="B12" s="3">
        <f t="shared" si="0"/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30011</v>
      </c>
      <c r="B13" s="3">
        <f t="shared" si="0"/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30012</v>
      </c>
      <c r="B14" s="3">
        <f t="shared" si="0"/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30013</v>
      </c>
      <c r="B15" s="3">
        <f t="shared" si="0"/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30014</v>
      </c>
      <c r="B16" s="3">
        <f t="shared" si="0"/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30015</v>
      </c>
      <c r="B17" s="3">
        <f t="shared" si="0"/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30016</v>
      </c>
      <c r="B18" s="3">
        <f t="shared" si="0"/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30017</v>
      </c>
      <c r="B19" s="3">
        <f t="shared" si="0"/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30018</v>
      </c>
      <c r="B20" s="3">
        <f t="shared" si="0"/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30019</v>
      </c>
      <c r="B21" s="3">
        <f t="shared" si="0"/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30020</v>
      </c>
      <c r="B22" s="3">
        <f t="shared" si="0"/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30021</v>
      </c>
      <c r="B23" s="3">
        <f t="shared" si="0"/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30022</v>
      </c>
      <c r="B24" s="3">
        <f t="shared" si="0"/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30023</v>
      </c>
      <c r="B25" s="3">
        <f t="shared" si="0"/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30024</v>
      </c>
      <c r="B26" s="3">
        <f t="shared" si="0"/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30025</v>
      </c>
      <c r="B27" s="3">
        <f t="shared" si="0"/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30026</v>
      </c>
      <c r="B28" s="3">
        <f t="shared" si="0"/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30027</v>
      </c>
      <c r="B29" s="3">
        <f t="shared" si="0"/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30028</v>
      </c>
      <c r="B30" s="3">
        <f t="shared" si="0"/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30029</v>
      </c>
      <c r="B31" s="3">
        <f t="shared" si="0"/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30030</v>
      </c>
      <c r="B32" s="3">
        <f t="shared" si="0"/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30031</v>
      </c>
      <c r="B33" s="3">
        <f t="shared" si="0"/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30032</v>
      </c>
      <c r="B34" s="3">
        <f t="shared" si="0"/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30033</v>
      </c>
      <c r="B35" s="3">
        <f t="shared" ref="B35:B66" si="2"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30034</v>
      </c>
      <c r="B36" s="3">
        <f t="shared" si="2"/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30035</v>
      </c>
      <c r="B37" s="3">
        <f t="shared" si="2"/>
        <v>30035</v>
      </c>
      <c r="C37" s="3" t="s">
        <v>320</v>
      </c>
      <c r="D37" s="3" t="s">
        <v>7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40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40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251</v>
      </c>
      <c r="AW37" s="5">
        <v>0</v>
      </c>
      <c r="AX37" s="5">
        <v>0</v>
      </c>
    </row>
    <row r="38" spans="1:50" ht="15.75" customHeight="1" x14ac:dyDescent="0.2">
      <c r="A38" s="3">
        <f t="shared" si="1"/>
        <v>30036</v>
      </c>
      <c r="B38" s="3">
        <f t="shared" si="2"/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40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40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251</v>
      </c>
      <c r="AW38" s="5">
        <v>0</v>
      </c>
      <c r="AX38" s="5">
        <v>0</v>
      </c>
    </row>
    <row r="39" spans="1:50" ht="15.75" customHeight="1" x14ac:dyDescent="0.2">
      <c r="A39" s="3">
        <f t="shared" si="1"/>
        <v>30037</v>
      </c>
      <c r="B39" s="3">
        <f t="shared" si="2"/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251</v>
      </c>
      <c r="AW39" s="5">
        <v>0</v>
      </c>
      <c r="AX39" s="5">
        <v>0</v>
      </c>
    </row>
    <row r="40" spans="1:50" ht="15.75" customHeight="1" x14ac:dyDescent="0.2">
      <c r="A40" s="3">
        <f t="shared" si="1"/>
        <v>30038</v>
      </c>
      <c r="B40" s="3">
        <f t="shared" si="2"/>
        <v>30038</v>
      </c>
      <c r="C40" s="3" t="s">
        <v>249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30</v>
      </c>
      <c r="J40" s="3">
        <v>0</v>
      </c>
      <c r="K40" s="3">
        <v>40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40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23</v>
      </c>
      <c r="AE40" s="5" t="s">
        <v>250</v>
      </c>
      <c r="AF40" s="5" t="s">
        <v>39</v>
      </c>
      <c r="AG40" s="5" t="s">
        <v>72</v>
      </c>
      <c r="AH40" s="5" t="s">
        <v>61</v>
      </c>
      <c r="AI40" s="5" t="s">
        <v>47</v>
      </c>
      <c r="AJ40" s="5" t="s">
        <v>146</v>
      </c>
      <c r="AK40" s="5" t="s">
        <v>7</v>
      </c>
      <c r="AL40" s="5">
        <v>10</v>
      </c>
      <c r="AM40" s="5">
        <v>10</v>
      </c>
      <c r="AN40" s="5">
        <v>10</v>
      </c>
      <c r="AO40" s="5">
        <v>10</v>
      </c>
      <c r="AP40" s="5">
        <v>10</v>
      </c>
      <c r="AQ40" s="5">
        <v>10</v>
      </c>
      <c r="AR40" s="5">
        <v>10</v>
      </c>
      <c r="AS40" s="5">
        <v>20</v>
      </c>
      <c r="AT40" s="5">
        <v>0</v>
      </c>
      <c r="AU40" s="5">
        <v>0</v>
      </c>
      <c r="AV40" s="4" t="s">
        <v>251</v>
      </c>
      <c r="AW40" s="5">
        <v>0</v>
      </c>
      <c r="AX40" s="5">
        <v>0</v>
      </c>
    </row>
    <row r="41" spans="1:50" ht="15.75" customHeight="1" x14ac:dyDescent="0.2">
      <c r="A41" s="3">
        <f t="shared" si="1"/>
        <v>30039</v>
      </c>
      <c r="B41" s="3">
        <f t="shared" si="2"/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0</v>
      </c>
      <c r="K41" s="3">
        <v>40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250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146</v>
      </c>
      <c r="AK41" s="5" t="s">
        <v>7</v>
      </c>
      <c r="AL41" s="5">
        <v>10</v>
      </c>
      <c r="AM41" s="5">
        <v>10</v>
      </c>
      <c r="AN41" s="5">
        <v>10</v>
      </c>
      <c r="AO41" s="5">
        <v>10</v>
      </c>
      <c r="AP41" s="5">
        <v>10</v>
      </c>
      <c r="AQ41" s="5">
        <v>10</v>
      </c>
      <c r="AR41" s="5">
        <v>10</v>
      </c>
      <c r="AS41" s="5">
        <v>20</v>
      </c>
      <c r="AT41" s="5">
        <v>0</v>
      </c>
      <c r="AU41" s="5">
        <v>0</v>
      </c>
      <c r="AV41" s="4" t="s">
        <v>251</v>
      </c>
      <c r="AW41" s="5">
        <v>0</v>
      </c>
      <c r="AX41" s="5">
        <v>0</v>
      </c>
    </row>
    <row r="42" spans="1:50" ht="15.75" customHeight="1" x14ac:dyDescent="0.2">
      <c r="A42" s="3">
        <f t="shared" si="1"/>
        <v>30040</v>
      </c>
      <c r="B42" s="3">
        <f t="shared" si="2"/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0</v>
      </c>
      <c r="K42" s="3">
        <v>80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250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146</v>
      </c>
      <c r="AK42" s="5" t="s">
        <v>7</v>
      </c>
      <c r="AL42" s="5">
        <v>10</v>
      </c>
      <c r="AM42" s="5">
        <v>10</v>
      </c>
      <c r="AN42" s="5">
        <v>10</v>
      </c>
      <c r="AO42" s="5">
        <v>10</v>
      </c>
      <c r="AP42" s="5">
        <v>10</v>
      </c>
      <c r="AQ42" s="5">
        <v>10</v>
      </c>
      <c r="AR42" s="5">
        <v>10</v>
      </c>
      <c r="AS42" s="5">
        <v>20</v>
      </c>
      <c r="AT42" s="5">
        <v>0</v>
      </c>
      <c r="AU42" s="5">
        <v>0</v>
      </c>
      <c r="AV42" s="4" t="s">
        <v>251</v>
      </c>
      <c r="AW42" s="5">
        <v>0</v>
      </c>
      <c r="AX42" s="5">
        <v>0</v>
      </c>
    </row>
    <row r="43" spans="1:50" ht="15.75" customHeight="1" x14ac:dyDescent="0.2">
      <c r="A43" s="3">
        <f t="shared" si="1"/>
        <v>30041</v>
      </c>
      <c r="B43" s="3">
        <f t="shared" si="2"/>
        <v>30041</v>
      </c>
      <c r="C43" s="3" t="s">
        <v>324</v>
      </c>
      <c r="D43" s="3" t="s">
        <v>7</v>
      </c>
      <c r="E43" s="3">
        <v>0</v>
      </c>
      <c r="F43" s="3">
        <v>0</v>
      </c>
      <c r="G43" s="3">
        <v>130</v>
      </c>
      <c r="H43" s="3">
        <v>0</v>
      </c>
      <c r="I43" s="3">
        <v>0</v>
      </c>
      <c r="J43" s="3">
        <v>0</v>
      </c>
      <c r="K43" s="3">
        <v>85</v>
      </c>
      <c r="L43" s="3">
        <v>0</v>
      </c>
      <c r="M43" s="3">
        <v>35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65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1"/>
        <v>30042</v>
      </c>
      <c r="B44" s="3">
        <f t="shared" si="2"/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130</v>
      </c>
      <c r="H44" s="3">
        <v>0</v>
      </c>
      <c r="I44" s="3">
        <v>0</v>
      </c>
      <c r="J44" s="3">
        <v>0</v>
      </c>
      <c r="K44" s="3">
        <v>85</v>
      </c>
      <c r="L44" s="3">
        <v>0</v>
      </c>
      <c r="M44" s="3">
        <v>35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65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1"/>
        <v>30043</v>
      </c>
      <c r="B45" s="3">
        <f t="shared" si="2"/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130</v>
      </c>
      <c r="H45" s="3">
        <v>0</v>
      </c>
      <c r="I45" s="3">
        <v>0</v>
      </c>
      <c r="J45" s="3">
        <v>0</v>
      </c>
      <c r="K45" s="3">
        <v>120</v>
      </c>
      <c r="L45" s="3">
        <v>0</v>
      </c>
      <c r="M45" s="3">
        <v>35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65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1"/>
        <v>30044</v>
      </c>
      <c r="B46" s="3">
        <f t="shared" si="2"/>
        <v>30044</v>
      </c>
      <c r="C46" s="3" t="s">
        <v>325</v>
      </c>
      <c r="D46" s="3" t="s">
        <v>7</v>
      </c>
      <c r="E46" s="3">
        <v>0</v>
      </c>
      <c r="F46" s="3">
        <v>0</v>
      </c>
      <c r="G46" s="3">
        <v>60</v>
      </c>
      <c r="H46" s="3">
        <v>30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80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1"/>
        <v>30045</v>
      </c>
      <c r="B47" s="3">
        <f t="shared" si="2"/>
        <v>30045</v>
      </c>
      <c r="C47" s="3" t="s">
        <v>7</v>
      </c>
      <c r="D47" s="3" t="s">
        <v>7</v>
      </c>
      <c r="E47" s="3">
        <v>0</v>
      </c>
      <c r="F47" s="3">
        <v>0</v>
      </c>
      <c r="G47" s="3">
        <v>60</v>
      </c>
      <c r="H47" s="3">
        <v>30</v>
      </c>
      <c r="I47" s="3">
        <v>0</v>
      </c>
      <c r="J47" s="3">
        <v>0</v>
      </c>
      <c r="K47" s="3">
        <v>130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1"/>
        <v>30046</v>
      </c>
      <c r="B48" s="3">
        <f t="shared" si="2"/>
        <v>30046</v>
      </c>
      <c r="C48" s="3" t="s">
        <v>7</v>
      </c>
      <c r="D48" s="3" t="s">
        <v>7</v>
      </c>
      <c r="E48" s="3">
        <v>0</v>
      </c>
      <c r="F48" s="3">
        <v>0</v>
      </c>
      <c r="G48" s="3">
        <v>60</v>
      </c>
      <c r="H48" s="3">
        <v>30</v>
      </c>
      <c r="I48" s="3">
        <v>0</v>
      </c>
      <c r="J48" s="3">
        <v>0</v>
      </c>
      <c r="K48" s="3">
        <v>150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1"/>
        <v>30047</v>
      </c>
      <c r="B49" s="3">
        <f t="shared" si="2"/>
        <v>30047</v>
      </c>
      <c r="C49" s="3" t="s">
        <v>185</v>
      </c>
      <c r="D49" s="3" t="s">
        <v>7</v>
      </c>
      <c r="E49" s="3">
        <v>100</v>
      </c>
      <c r="F49" s="3">
        <v>0</v>
      </c>
      <c r="G49" s="3">
        <v>60</v>
      </c>
      <c r="H49" s="3">
        <v>30</v>
      </c>
      <c r="I49" s="3">
        <v>30</v>
      </c>
      <c r="J49" s="3">
        <v>0</v>
      </c>
      <c r="K49" s="3">
        <v>130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80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1"/>
        <v>30048</v>
      </c>
      <c r="B50" s="3">
        <f t="shared" si="2"/>
        <v>30048</v>
      </c>
      <c r="C50" s="3" t="s">
        <v>7</v>
      </c>
      <c r="D50" s="3" t="s">
        <v>7</v>
      </c>
      <c r="E50" s="3">
        <v>100</v>
      </c>
      <c r="F50" s="3">
        <v>0</v>
      </c>
      <c r="G50" s="3">
        <v>60</v>
      </c>
      <c r="H50" s="3">
        <v>30</v>
      </c>
      <c r="I50" s="3">
        <v>30</v>
      </c>
      <c r="J50" s="3">
        <v>0</v>
      </c>
      <c r="K50" s="3">
        <v>130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1"/>
        <v>30049</v>
      </c>
      <c r="B51" s="3">
        <f t="shared" si="2"/>
        <v>30049</v>
      </c>
      <c r="C51" s="3" t="s">
        <v>7</v>
      </c>
      <c r="D51" s="3" t="s">
        <v>7</v>
      </c>
      <c r="E51" s="3">
        <v>100</v>
      </c>
      <c r="F51" s="3">
        <v>0</v>
      </c>
      <c r="G51" s="3">
        <v>60</v>
      </c>
      <c r="H51" s="3">
        <v>30</v>
      </c>
      <c r="I51" s="3">
        <v>30</v>
      </c>
      <c r="J51" s="3">
        <v>0</v>
      </c>
      <c r="K51" s="3">
        <v>150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1"/>
        <v>30050</v>
      </c>
      <c r="B52" s="3">
        <f t="shared" si="2"/>
        <v>30050</v>
      </c>
      <c r="C52" s="3" t="s">
        <v>186</v>
      </c>
      <c r="D52" s="3" t="s">
        <v>7</v>
      </c>
      <c r="E52" s="3">
        <v>100</v>
      </c>
      <c r="F52" s="3">
        <v>0</v>
      </c>
      <c r="G52" s="3">
        <v>60</v>
      </c>
      <c r="H52" s="3">
        <v>20</v>
      </c>
      <c r="I52" s="3">
        <v>30</v>
      </c>
      <c r="J52" s="3">
        <v>0</v>
      </c>
      <c r="K52" s="3">
        <v>130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80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1"/>
        <v>30051</v>
      </c>
      <c r="B53" s="3">
        <f t="shared" si="2"/>
        <v>30051</v>
      </c>
      <c r="C53" s="3" t="s">
        <v>7</v>
      </c>
      <c r="D53" s="3" t="s">
        <v>7</v>
      </c>
      <c r="E53" s="3">
        <v>100</v>
      </c>
      <c r="F53" s="3">
        <v>0</v>
      </c>
      <c r="G53" s="3">
        <v>60</v>
      </c>
      <c r="H53" s="3">
        <v>20</v>
      </c>
      <c r="I53" s="3">
        <v>30</v>
      </c>
      <c r="J53" s="3">
        <v>0</v>
      </c>
      <c r="K53" s="3">
        <v>130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1"/>
        <v>30052</v>
      </c>
      <c r="B54" s="3">
        <f t="shared" si="2"/>
        <v>30052</v>
      </c>
      <c r="C54" s="3" t="s">
        <v>7</v>
      </c>
      <c r="D54" s="3" t="s">
        <v>7</v>
      </c>
      <c r="E54" s="3">
        <v>100</v>
      </c>
      <c r="F54" s="3">
        <v>0</v>
      </c>
      <c r="G54" s="3">
        <v>60</v>
      </c>
      <c r="H54" s="3">
        <v>20</v>
      </c>
      <c r="I54" s="3">
        <v>30</v>
      </c>
      <c r="J54" s="3">
        <v>0</v>
      </c>
      <c r="K54" s="3">
        <v>150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1"/>
        <v>30053</v>
      </c>
      <c r="B55" s="3">
        <f t="shared" si="2"/>
        <v>30053</v>
      </c>
      <c r="C55" s="3" t="s">
        <v>187</v>
      </c>
      <c r="D55" s="3" t="s">
        <v>7</v>
      </c>
      <c r="E55" s="3">
        <v>80</v>
      </c>
      <c r="F55" s="3">
        <v>0</v>
      </c>
      <c r="G55" s="3">
        <v>60</v>
      </c>
      <c r="H55" s="3">
        <v>30</v>
      </c>
      <c r="I55" s="3">
        <v>45</v>
      </c>
      <c r="J55" s="3">
        <v>0</v>
      </c>
      <c r="K55" s="3">
        <v>130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1"/>
        <v>30054</v>
      </c>
      <c r="B56" s="3">
        <f t="shared" si="2"/>
        <v>30054</v>
      </c>
      <c r="C56" s="3" t="s">
        <v>7</v>
      </c>
      <c r="D56" s="3" t="s">
        <v>7</v>
      </c>
      <c r="E56" s="3">
        <v>80</v>
      </c>
      <c r="F56" s="3">
        <v>0</v>
      </c>
      <c r="G56" s="3">
        <v>60</v>
      </c>
      <c r="H56" s="3">
        <v>30</v>
      </c>
      <c r="I56" s="3">
        <v>45</v>
      </c>
      <c r="J56" s="3">
        <v>0</v>
      </c>
      <c r="K56" s="3">
        <v>130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1"/>
        <v>30055</v>
      </c>
      <c r="B57" s="3">
        <f t="shared" si="2"/>
        <v>30055</v>
      </c>
      <c r="C57" s="3" t="s">
        <v>7</v>
      </c>
      <c r="D57" s="3" t="s">
        <v>7</v>
      </c>
      <c r="E57" s="3">
        <v>80</v>
      </c>
      <c r="F57" s="3">
        <v>0</v>
      </c>
      <c r="G57" s="3">
        <v>60</v>
      </c>
      <c r="H57" s="3">
        <v>30</v>
      </c>
      <c r="I57" s="3">
        <v>45</v>
      </c>
      <c r="J57" s="3">
        <v>0</v>
      </c>
      <c r="K57" s="3">
        <v>150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1"/>
        <v>30056</v>
      </c>
      <c r="B58" s="3">
        <f t="shared" si="2"/>
        <v>30056</v>
      </c>
      <c r="C58" s="3" t="s">
        <v>188</v>
      </c>
      <c r="D58" s="3" t="s">
        <v>7</v>
      </c>
      <c r="E58" s="3">
        <v>130</v>
      </c>
      <c r="F58" s="3">
        <v>0</v>
      </c>
      <c r="G58" s="3">
        <v>60</v>
      </c>
      <c r="H58" s="3">
        <v>30</v>
      </c>
      <c r="I58" s="3">
        <v>50</v>
      </c>
      <c r="J58" s="3">
        <v>0</v>
      </c>
      <c r="K58" s="3">
        <v>130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80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1"/>
        <v>30057</v>
      </c>
      <c r="B59" s="3">
        <f t="shared" si="2"/>
        <v>30057</v>
      </c>
      <c r="C59" s="3" t="s">
        <v>7</v>
      </c>
      <c r="D59" s="3" t="s">
        <v>7</v>
      </c>
      <c r="E59" s="3">
        <v>130</v>
      </c>
      <c r="F59" s="3">
        <v>0</v>
      </c>
      <c r="G59" s="3">
        <v>60</v>
      </c>
      <c r="H59" s="3">
        <v>30</v>
      </c>
      <c r="I59" s="3">
        <v>50</v>
      </c>
      <c r="J59" s="3">
        <v>0</v>
      </c>
      <c r="K59" s="3">
        <v>130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222</v>
      </c>
      <c r="AW59" s="5">
        <v>0</v>
      </c>
      <c r="AX59" s="5">
        <v>0</v>
      </c>
    </row>
    <row r="60" spans="1:50" ht="15.75" customHeight="1" x14ac:dyDescent="0.2">
      <c r="A60" s="3">
        <f t="shared" si="1"/>
        <v>30058</v>
      </c>
      <c r="B60" s="3">
        <f t="shared" si="2"/>
        <v>30058</v>
      </c>
      <c r="C60" s="3" t="s">
        <v>7</v>
      </c>
      <c r="D60" s="3" t="s">
        <v>7</v>
      </c>
      <c r="E60" s="3">
        <v>130</v>
      </c>
      <c r="F60" s="3">
        <v>0</v>
      </c>
      <c r="G60" s="3">
        <v>60</v>
      </c>
      <c r="H60" s="3">
        <v>30</v>
      </c>
      <c r="I60" s="3">
        <v>50</v>
      </c>
      <c r="J60" s="3">
        <v>0</v>
      </c>
      <c r="K60" s="3">
        <v>150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222</v>
      </c>
      <c r="AW60" s="5">
        <v>0</v>
      </c>
      <c r="AX60" s="5">
        <v>0</v>
      </c>
    </row>
    <row r="61" spans="1:50" ht="15.75" customHeight="1" x14ac:dyDescent="0.2">
      <c r="A61" s="3">
        <f t="shared" si="1"/>
        <v>30059</v>
      </c>
      <c r="B61" s="3">
        <f t="shared" si="2"/>
        <v>30059</v>
      </c>
      <c r="C61" s="3" t="s">
        <v>7</v>
      </c>
      <c r="D61" s="3" t="s">
        <v>55</v>
      </c>
      <c r="E61" s="3">
        <v>0</v>
      </c>
      <c r="F61" s="3">
        <v>0</v>
      </c>
      <c r="G61" s="3">
        <v>15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120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98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70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322</v>
      </c>
      <c r="AW61" s="5">
        <v>0</v>
      </c>
      <c r="AX61" s="5">
        <v>0</v>
      </c>
    </row>
    <row r="62" spans="1:50" ht="15.75" customHeight="1" x14ac:dyDescent="0.2">
      <c r="A62" s="3">
        <f t="shared" si="1"/>
        <v>30060</v>
      </c>
      <c r="B62" s="3">
        <f t="shared" si="2"/>
        <v>30060</v>
      </c>
      <c r="C62" s="3" t="s">
        <v>7</v>
      </c>
      <c r="D62" s="3" t="s">
        <v>7</v>
      </c>
      <c r="E62" s="3">
        <v>0</v>
      </c>
      <c r="F62" s="3">
        <v>0</v>
      </c>
      <c r="G62" s="3">
        <v>15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120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98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70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322</v>
      </c>
      <c r="AW62" s="5">
        <v>0</v>
      </c>
      <c r="AX62" s="5">
        <v>0</v>
      </c>
    </row>
    <row r="63" spans="1:50" ht="15.75" customHeight="1" x14ac:dyDescent="0.2">
      <c r="A63" s="3">
        <f t="shared" si="1"/>
        <v>30061</v>
      </c>
      <c r="B63" s="3">
        <f t="shared" si="2"/>
        <v>30061</v>
      </c>
      <c r="C63" s="3" t="s">
        <v>7</v>
      </c>
      <c r="D63" s="3" t="s">
        <v>7</v>
      </c>
      <c r="E63" s="3">
        <v>0</v>
      </c>
      <c r="F63" s="3">
        <v>0</v>
      </c>
      <c r="G63" s="3">
        <v>15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150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98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70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322</v>
      </c>
      <c r="AW63" s="5">
        <v>0</v>
      </c>
      <c r="AX63" s="5">
        <v>0</v>
      </c>
    </row>
    <row r="64" spans="1:50" ht="15.75" customHeight="1" x14ac:dyDescent="0.2">
      <c r="A64" s="3">
        <f t="shared" si="1"/>
        <v>30062</v>
      </c>
      <c r="B64" s="3">
        <f t="shared" si="2"/>
        <v>30062</v>
      </c>
      <c r="C64" s="3" t="s">
        <v>7</v>
      </c>
      <c r="D64" s="3" t="s">
        <v>323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35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246</v>
      </c>
      <c r="AW64" s="5">
        <v>0</v>
      </c>
      <c r="AX64" s="5">
        <v>0</v>
      </c>
    </row>
    <row r="65" spans="1:50" ht="15.75" customHeight="1" x14ac:dyDescent="0.2">
      <c r="A65" s="3">
        <f t="shared" si="1"/>
        <v>30063</v>
      </c>
      <c r="B65" s="3">
        <f t="shared" si="2"/>
        <v>30063</v>
      </c>
      <c r="C65" s="3" t="s">
        <v>7</v>
      </c>
      <c r="D65" s="3" t="s">
        <v>7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35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246</v>
      </c>
      <c r="AW65" s="5">
        <v>0</v>
      </c>
      <c r="AX65" s="5">
        <v>0</v>
      </c>
    </row>
    <row r="66" spans="1:50" ht="15.75" customHeight="1" x14ac:dyDescent="0.2">
      <c r="A66" s="3">
        <f t="shared" si="1"/>
        <v>30064</v>
      </c>
      <c r="B66" s="3">
        <f t="shared" si="2"/>
        <v>30064</v>
      </c>
      <c r="C66" s="3" t="s">
        <v>7</v>
      </c>
      <c r="D66" s="3" t="s">
        <v>7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246</v>
      </c>
      <c r="AW66" s="5">
        <v>0</v>
      </c>
      <c r="AX66" s="5">
        <v>0</v>
      </c>
    </row>
    <row r="67" spans="1:50" ht="15.75" customHeight="1" x14ac:dyDescent="0.2">
      <c r="A67" s="3">
        <f t="shared" si="1"/>
        <v>30065</v>
      </c>
      <c r="B67" s="3">
        <f t="shared" ref="B67:B84" si="3">INDEX(B:B,MATCH(30000,B:B,0),1)+(ROW()-MATCH(30000,B:B,0))</f>
        <v>30065</v>
      </c>
      <c r="C67" s="3" t="s">
        <v>7</v>
      </c>
      <c r="D67" s="3" t="s">
        <v>54</v>
      </c>
      <c r="E67" s="3">
        <v>0</v>
      </c>
      <c r="F67" s="3">
        <v>0</v>
      </c>
      <c r="G67" s="3">
        <v>55</v>
      </c>
      <c r="H67" s="3">
        <v>0</v>
      </c>
      <c r="I67" s="3">
        <v>0</v>
      </c>
      <c r="J67" s="3">
        <v>0</v>
      </c>
      <c r="K67" s="3">
        <v>60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259</v>
      </c>
      <c r="AW67" s="5">
        <v>0</v>
      </c>
      <c r="AX67" s="5">
        <v>0</v>
      </c>
    </row>
    <row r="68" spans="1:50" ht="15.75" customHeight="1" x14ac:dyDescent="0.2">
      <c r="A68" s="3">
        <f t="shared" si="1"/>
        <v>30066</v>
      </c>
      <c r="B68" s="3">
        <f t="shared" si="3"/>
        <v>30066</v>
      </c>
      <c r="C68" s="3" t="s">
        <v>7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60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70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259</v>
      </c>
      <c r="AW68" s="5">
        <v>0</v>
      </c>
      <c r="AX68" s="5">
        <v>0</v>
      </c>
    </row>
    <row r="69" spans="1:50" ht="15.75" customHeight="1" x14ac:dyDescent="0.2">
      <c r="A69" s="3">
        <f t="shared" si="1"/>
        <v>30067</v>
      </c>
      <c r="B69" s="3">
        <f t="shared" si="3"/>
        <v>30067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100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259</v>
      </c>
      <c r="AW69" s="5">
        <v>0</v>
      </c>
      <c r="AX69" s="5">
        <v>0</v>
      </c>
    </row>
    <row r="70" spans="1:50" ht="15.75" customHeight="1" x14ac:dyDescent="0.2">
      <c r="A70" s="3">
        <f t="shared" si="1"/>
        <v>30068</v>
      </c>
      <c r="B70" s="3">
        <f t="shared" si="3"/>
        <v>30068</v>
      </c>
      <c r="C70" s="3" t="s">
        <v>7</v>
      </c>
      <c r="D70" s="3" t="s">
        <v>94</v>
      </c>
      <c r="E70" s="3">
        <v>0</v>
      </c>
      <c r="F70" s="3">
        <v>0</v>
      </c>
      <c r="G70" s="3">
        <v>58</v>
      </c>
      <c r="H70" s="3">
        <v>80</v>
      </c>
      <c r="I70" s="3">
        <v>0</v>
      </c>
      <c r="J70" s="3">
        <v>100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100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125</v>
      </c>
      <c r="AD70" s="5" t="s">
        <v>126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50</v>
      </c>
      <c r="AM70" s="5">
        <v>15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321</v>
      </c>
      <c r="AW70" s="5">
        <v>0</v>
      </c>
      <c r="AX70" s="5">
        <v>0</v>
      </c>
    </row>
    <row r="71" spans="1:50" ht="15.75" customHeight="1" x14ac:dyDescent="0.2">
      <c r="A71" s="3">
        <f t="shared" si="1"/>
        <v>30069</v>
      </c>
      <c r="B71" s="3">
        <f t="shared" si="3"/>
        <v>30069</v>
      </c>
      <c r="C71" s="3" t="s">
        <v>7</v>
      </c>
      <c r="D71" s="3" t="s">
        <v>7</v>
      </c>
      <c r="E71" s="3">
        <v>0</v>
      </c>
      <c r="F71" s="3">
        <v>0</v>
      </c>
      <c r="G71" s="3">
        <v>58</v>
      </c>
      <c r="H71" s="3">
        <v>80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120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125</v>
      </c>
      <c r="AD71" s="5" t="s">
        <v>126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15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321</v>
      </c>
      <c r="AW71" s="5">
        <v>0</v>
      </c>
      <c r="AX71" s="5">
        <v>0</v>
      </c>
    </row>
    <row r="72" spans="1:50" ht="15.75" customHeight="1" x14ac:dyDescent="0.2">
      <c r="A72" s="3">
        <f t="shared" si="1"/>
        <v>30070</v>
      </c>
      <c r="B72" s="3">
        <f t="shared" si="3"/>
        <v>30070</v>
      </c>
      <c r="C72" s="3" t="s">
        <v>7</v>
      </c>
      <c r="D72" s="3" t="s">
        <v>7</v>
      </c>
      <c r="E72" s="3">
        <v>0</v>
      </c>
      <c r="F72" s="3">
        <v>0</v>
      </c>
      <c r="G72" s="3">
        <v>58</v>
      </c>
      <c r="H72" s="3">
        <v>80</v>
      </c>
      <c r="I72" s="3">
        <v>0</v>
      </c>
      <c r="J72" s="3">
        <v>140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125</v>
      </c>
      <c r="AD72" s="5" t="s">
        <v>126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50</v>
      </c>
      <c r="AM72" s="5">
        <v>15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321</v>
      </c>
      <c r="AW72" s="5">
        <v>0</v>
      </c>
      <c r="AX72" s="5">
        <v>0</v>
      </c>
    </row>
    <row r="73" spans="1:50" ht="15.75" customHeight="1" x14ac:dyDescent="0.2">
      <c r="A73" s="3">
        <f t="shared" si="1"/>
        <v>30071</v>
      </c>
      <c r="B73" s="3">
        <f t="shared" si="3"/>
        <v>30071</v>
      </c>
      <c r="C73" s="3" t="s">
        <v>7</v>
      </c>
      <c r="D73" s="3" t="s">
        <v>25</v>
      </c>
      <c r="E73" s="3">
        <v>0</v>
      </c>
      <c r="F73" s="3">
        <v>0</v>
      </c>
      <c r="G73" s="3">
        <v>54</v>
      </c>
      <c r="H73" s="3">
        <v>0</v>
      </c>
      <c r="I73" s="3">
        <v>40</v>
      </c>
      <c r="J73" s="3">
        <v>60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82</v>
      </c>
      <c r="AD73" s="5" t="s">
        <v>27</v>
      </c>
      <c r="AE73" s="5" t="s">
        <v>66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5</v>
      </c>
      <c r="AM73" s="5">
        <v>20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10" t="s">
        <v>165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30072</v>
      </c>
      <c r="B74" s="3">
        <f t="shared" si="3"/>
        <v>30072</v>
      </c>
      <c r="C74" s="3" t="s">
        <v>7</v>
      </c>
      <c r="D74" s="3" t="s">
        <v>7</v>
      </c>
      <c r="E74" s="3">
        <v>0</v>
      </c>
      <c r="F74" s="3">
        <v>0</v>
      </c>
      <c r="G74" s="3">
        <v>54</v>
      </c>
      <c r="H74" s="3">
        <v>0</v>
      </c>
      <c r="I74" s="3">
        <v>40</v>
      </c>
      <c r="J74" s="3">
        <v>60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90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82</v>
      </c>
      <c r="AD74" s="5" t="s">
        <v>27</v>
      </c>
      <c r="AE74" s="5" t="s">
        <v>66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5</v>
      </c>
      <c r="AM74" s="5">
        <v>20</v>
      </c>
      <c r="AN74" s="5">
        <v>10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10" t="s">
        <v>165</v>
      </c>
      <c r="AW74" s="5">
        <v>0</v>
      </c>
      <c r="AX74" s="5">
        <v>0</v>
      </c>
    </row>
    <row r="75" spans="1:50" ht="15.75" customHeight="1" x14ac:dyDescent="0.2">
      <c r="A75" s="3">
        <f t="shared" si="1"/>
        <v>30073</v>
      </c>
      <c r="B75" s="3">
        <f t="shared" si="3"/>
        <v>30073</v>
      </c>
      <c r="C75" s="3" t="s">
        <v>7</v>
      </c>
      <c r="D75" s="3" t="s">
        <v>7</v>
      </c>
      <c r="E75" s="3">
        <v>0</v>
      </c>
      <c r="F75" s="3">
        <v>0</v>
      </c>
      <c r="G75" s="3">
        <v>54</v>
      </c>
      <c r="H75" s="3">
        <v>0</v>
      </c>
      <c r="I75" s="3">
        <v>40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82</v>
      </c>
      <c r="AD75" s="5" t="s">
        <v>27</v>
      </c>
      <c r="AE75" s="5" t="s">
        <v>66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5</v>
      </c>
      <c r="AM75" s="5">
        <v>20</v>
      </c>
      <c r="AN75" s="5">
        <v>10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10" t="s">
        <v>165</v>
      </c>
      <c r="AW75" s="5">
        <v>0</v>
      </c>
      <c r="AX75" s="5">
        <v>0</v>
      </c>
    </row>
    <row r="76" spans="1:50" ht="15.75" customHeight="1" x14ac:dyDescent="0.2">
      <c r="A76" s="3">
        <f t="shared" si="1"/>
        <v>30074</v>
      </c>
      <c r="B76" s="3">
        <f t="shared" si="3"/>
        <v>30074</v>
      </c>
      <c r="C76" s="3" t="s">
        <v>7</v>
      </c>
      <c r="D76" s="3" t="s">
        <v>53</v>
      </c>
      <c r="E76" s="3">
        <v>0</v>
      </c>
      <c r="F76" s="3">
        <v>0</v>
      </c>
      <c r="G76" s="3">
        <v>90</v>
      </c>
      <c r="H76" s="3">
        <v>50</v>
      </c>
      <c r="I76" s="3">
        <v>40</v>
      </c>
      <c r="J76" s="3">
        <v>0</v>
      </c>
      <c r="K76" s="3">
        <v>75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22</v>
      </c>
      <c r="AD76" s="5" t="s">
        <v>121</v>
      </c>
      <c r="AE76" s="5" t="s">
        <v>122</v>
      </c>
      <c r="AF76" s="5" t="s">
        <v>47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20</v>
      </c>
      <c r="AM76" s="5">
        <v>30</v>
      </c>
      <c r="AN76" s="5">
        <v>30</v>
      </c>
      <c r="AO76" s="5">
        <v>30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43</v>
      </c>
      <c r="AW76" s="5">
        <v>0</v>
      </c>
      <c r="AX76" s="5">
        <v>0</v>
      </c>
    </row>
    <row r="77" spans="1:50" ht="15.75" customHeight="1" x14ac:dyDescent="0.2">
      <c r="A77" s="3">
        <f t="shared" si="1"/>
        <v>30075</v>
      </c>
      <c r="B77" s="3">
        <f t="shared" si="3"/>
        <v>30075</v>
      </c>
      <c r="C77" s="3" t="s">
        <v>7</v>
      </c>
      <c r="D77" s="3" t="s">
        <v>7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110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44</v>
      </c>
      <c r="AW77" s="5">
        <v>0</v>
      </c>
      <c r="AX77" s="5">
        <v>0</v>
      </c>
    </row>
    <row r="78" spans="1:50" ht="15.75" customHeight="1" x14ac:dyDescent="0.2">
      <c r="A78" s="3">
        <f t="shared" si="1"/>
        <v>30076</v>
      </c>
      <c r="B78" s="3">
        <f t="shared" si="3"/>
        <v>30076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90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67</v>
      </c>
      <c r="AD78" s="5" t="s">
        <v>22</v>
      </c>
      <c r="AE78" s="5" t="s">
        <v>121</v>
      </c>
      <c r="AF78" s="5" t="s">
        <v>122</v>
      </c>
      <c r="AG78" s="5" t="s">
        <v>47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100</v>
      </c>
      <c r="AM78" s="5">
        <v>20</v>
      </c>
      <c r="AN78" s="5">
        <v>10</v>
      </c>
      <c r="AO78" s="5">
        <v>10</v>
      </c>
      <c r="AP78" s="5">
        <v>10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45</v>
      </c>
      <c r="AW78" s="5">
        <v>0</v>
      </c>
      <c r="AX78" s="5">
        <v>0</v>
      </c>
    </row>
    <row r="79" spans="1:50" ht="15.75" customHeight="1" x14ac:dyDescent="0.2">
      <c r="A79" s="3">
        <f t="shared" si="1"/>
        <v>30077</v>
      </c>
      <c r="B79" s="3">
        <f t="shared" si="3"/>
        <v>30077</v>
      </c>
      <c r="C79" s="3" t="s">
        <v>7</v>
      </c>
      <c r="D79" s="3" t="s">
        <v>50</v>
      </c>
      <c r="E79" s="3">
        <v>0</v>
      </c>
      <c r="F79" s="3">
        <v>0</v>
      </c>
      <c r="G79" s="3">
        <v>54</v>
      </c>
      <c r="H79" s="3">
        <v>0</v>
      </c>
      <c r="I79" s="3">
        <v>83</v>
      </c>
      <c r="J79" s="3">
        <v>90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253</v>
      </c>
      <c r="AW79" s="5">
        <v>0</v>
      </c>
      <c r="AX79" s="5">
        <v>0</v>
      </c>
    </row>
    <row r="80" spans="1:50" ht="15.75" customHeight="1" x14ac:dyDescent="0.2">
      <c r="A80" s="3">
        <f t="shared" si="1"/>
        <v>30078</v>
      </c>
      <c r="B80" s="3">
        <f t="shared" si="3"/>
        <v>30078</v>
      </c>
      <c r="C80" s="3" t="s">
        <v>7</v>
      </c>
      <c r="D80" s="3" t="s">
        <v>7</v>
      </c>
      <c r="E80" s="3">
        <v>0</v>
      </c>
      <c r="F80" s="3">
        <v>0</v>
      </c>
      <c r="G80" s="3">
        <v>54</v>
      </c>
      <c r="H80" s="3">
        <v>0</v>
      </c>
      <c r="I80" s="3">
        <v>83</v>
      </c>
      <c r="J80" s="3">
        <v>90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7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253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30079</v>
      </c>
      <c r="B81" s="3">
        <f t="shared" si="3"/>
        <v>30079</v>
      </c>
      <c r="C81" s="3" t="s">
        <v>7</v>
      </c>
      <c r="D81" s="3" t="s">
        <v>7</v>
      </c>
      <c r="E81" s="3">
        <v>0</v>
      </c>
      <c r="F81" s="3">
        <v>0</v>
      </c>
      <c r="G81" s="3">
        <v>54</v>
      </c>
      <c r="H81" s="3">
        <v>0</v>
      </c>
      <c r="I81" s="3">
        <v>83</v>
      </c>
      <c r="J81" s="3">
        <v>110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7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253</v>
      </c>
      <c r="AW81" s="5">
        <v>0</v>
      </c>
      <c r="AX81" s="5">
        <v>0</v>
      </c>
    </row>
    <row r="82" spans="1:50" ht="15.75" customHeight="1" x14ac:dyDescent="0.2">
      <c r="A82" s="3">
        <f t="shared" si="1"/>
        <v>30080</v>
      </c>
      <c r="B82" s="3">
        <f t="shared" si="3"/>
        <v>30080</v>
      </c>
      <c r="C82" s="3" t="s">
        <v>223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1"/>
        <v>30081</v>
      </c>
      <c r="B83" s="3">
        <f t="shared" si="3"/>
        <v>30081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1"/>
        <v>30082</v>
      </c>
      <c r="B84" s="3">
        <f t="shared" si="3"/>
        <v>30082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  <row r="85" spans="1:50" s="9" customFormat="1" ht="15.75" customHeight="1" x14ac:dyDescent="0.2">
      <c r="A85" s="6">
        <f>ROW()-2+30000</f>
        <v>30083</v>
      </c>
      <c r="B85" s="6">
        <v>31000</v>
      </c>
      <c r="C85" s="6" t="s">
        <v>212</v>
      </c>
      <c r="D85" s="6" t="s">
        <v>7</v>
      </c>
      <c r="E85" s="6">
        <v>30</v>
      </c>
      <c r="F85" s="6">
        <v>0</v>
      </c>
      <c r="G85" s="6">
        <v>80</v>
      </c>
      <c r="H85" s="6">
        <v>200</v>
      </c>
      <c r="I85" s="6">
        <v>0</v>
      </c>
      <c r="J85" s="6">
        <v>0</v>
      </c>
      <c r="K85" s="6">
        <v>0</v>
      </c>
      <c r="L85" s="6">
        <v>100</v>
      </c>
      <c r="M85" s="6">
        <v>0</v>
      </c>
      <c r="N85" s="6">
        <v>0</v>
      </c>
      <c r="O85" s="6">
        <v>0</v>
      </c>
      <c r="P85" s="6">
        <v>0</v>
      </c>
      <c r="Q85" s="6">
        <v>70</v>
      </c>
      <c r="R85" s="6">
        <v>0</v>
      </c>
      <c r="S85" s="6">
        <v>30</v>
      </c>
      <c r="T85" s="6">
        <v>30</v>
      </c>
      <c r="U85" s="6">
        <v>30</v>
      </c>
      <c r="V85" s="6">
        <v>30</v>
      </c>
      <c r="W85" s="6">
        <v>30</v>
      </c>
      <c r="X85" s="6">
        <v>30</v>
      </c>
      <c r="Y85" s="6">
        <v>30</v>
      </c>
      <c r="Z85" s="6">
        <v>30</v>
      </c>
      <c r="AA85" s="6">
        <v>30</v>
      </c>
      <c r="AB85" s="6">
        <v>30</v>
      </c>
      <c r="AC85" s="7" t="s">
        <v>70</v>
      </c>
      <c r="AD85" s="7" t="s">
        <v>7</v>
      </c>
      <c r="AE85" s="7" t="s">
        <v>7</v>
      </c>
      <c r="AF85" s="7" t="s">
        <v>7</v>
      </c>
      <c r="AG85" s="7" t="s">
        <v>7</v>
      </c>
      <c r="AH85" s="7" t="s">
        <v>7</v>
      </c>
      <c r="AI85" s="7" t="s">
        <v>7</v>
      </c>
      <c r="AJ85" s="7" t="s">
        <v>7</v>
      </c>
      <c r="AK85" s="7" t="s">
        <v>7</v>
      </c>
      <c r="AL85" s="7">
        <v>20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8" t="s">
        <v>147</v>
      </c>
      <c r="AW85" s="7">
        <v>0</v>
      </c>
      <c r="AX85" s="7">
        <v>0</v>
      </c>
    </row>
    <row r="86" spans="1:50" ht="15.75" customHeight="1" x14ac:dyDescent="0.2">
      <c r="A86" s="3">
        <f>ROW()-2+30000</f>
        <v>30084</v>
      </c>
      <c r="B86" s="3">
        <f>INDEX(B:B,MATCH(31000,B:B,0),1)+(ROW()-MATCH(31000,B:B,0))</f>
        <v>31001</v>
      </c>
      <c r="C86" s="3" t="s">
        <v>7</v>
      </c>
      <c r="D86" s="3" t="s">
        <v>7</v>
      </c>
      <c r="E86" s="3">
        <v>30</v>
      </c>
      <c r="F86" s="3">
        <v>0</v>
      </c>
      <c r="G86" s="3">
        <v>80</v>
      </c>
      <c r="H86" s="3">
        <v>200</v>
      </c>
      <c r="I86" s="3">
        <v>0</v>
      </c>
      <c r="J86" s="3">
        <v>0</v>
      </c>
      <c r="K86" s="3">
        <v>0</v>
      </c>
      <c r="L86" s="3">
        <v>100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30</v>
      </c>
      <c r="T86" s="3">
        <v>30</v>
      </c>
      <c r="U86" s="3">
        <v>30</v>
      </c>
      <c r="V86" s="3">
        <v>30</v>
      </c>
      <c r="W86" s="3">
        <v>30</v>
      </c>
      <c r="X86" s="3">
        <v>30</v>
      </c>
      <c r="Y86" s="3">
        <v>30</v>
      </c>
      <c r="Z86" s="3">
        <v>30</v>
      </c>
      <c r="AA86" s="3">
        <v>30</v>
      </c>
      <c r="AB86" s="3">
        <v>30</v>
      </c>
      <c r="AC86" s="5" t="s">
        <v>70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149</v>
      </c>
      <c r="AW86" s="5">
        <v>0</v>
      </c>
      <c r="AX86" s="5">
        <v>0</v>
      </c>
    </row>
    <row r="87" spans="1:50" ht="15.75" customHeight="1" x14ac:dyDescent="0.2">
      <c r="A87" s="3">
        <f t="shared" ref="A87:A129" si="4">ROW()-2+30000</f>
        <v>30085</v>
      </c>
      <c r="B87" s="3">
        <f>INDEX(B:B,MATCH(31000,B:B,0),1)+(ROW()-MATCH(31000,B:B,0))</f>
        <v>31002</v>
      </c>
      <c r="C87" s="3" t="s">
        <v>7</v>
      </c>
      <c r="D87" s="3" t="s">
        <v>7</v>
      </c>
      <c r="E87" s="3">
        <v>30</v>
      </c>
      <c r="F87" s="3">
        <v>0</v>
      </c>
      <c r="G87" s="3">
        <v>80</v>
      </c>
      <c r="H87" s="3">
        <v>200</v>
      </c>
      <c r="I87" s="3">
        <v>0</v>
      </c>
      <c r="J87" s="3">
        <v>0</v>
      </c>
      <c r="K87" s="3">
        <v>0</v>
      </c>
      <c r="L87" s="3">
        <v>100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30</v>
      </c>
      <c r="T87" s="3">
        <v>30</v>
      </c>
      <c r="U87" s="3">
        <v>30</v>
      </c>
      <c r="V87" s="3">
        <v>30</v>
      </c>
      <c r="W87" s="3">
        <v>30</v>
      </c>
      <c r="X87" s="3">
        <v>30</v>
      </c>
      <c r="Y87" s="3">
        <v>30</v>
      </c>
      <c r="Z87" s="3">
        <v>30</v>
      </c>
      <c r="AA87" s="3">
        <v>30</v>
      </c>
      <c r="AB87" s="3">
        <v>30</v>
      </c>
      <c r="AC87" s="5" t="s">
        <v>70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150</v>
      </c>
      <c r="AW87" s="5">
        <v>0</v>
      </c>
      <c r="AX87" s="5">
        <v>0</v>
      </c>
    </row>
    <row r="88" spans="1:50" ht="15.75" customHeight="1" x14ac:dyDescent="0.2">
      <c r="A88" s="3">
        <f t="shared" si="4"/>
        <v>30086</v>
      </c>
      <c r="B88" s="3">
        <f t="shared" ref="B88:B90" si="5">INDEX(B:B,MATCH(31000,B:B,0),1)+(ROW()-MATCH(31000,B:B,0))</f>
        <v>31003</v>
      </c>
      <c r="C88" s="3" t="s">
        <v>7</v>
      </c>
      <c r="D88" s="3" t="s">
        <v>327</v>
      </c>
      <c r="E88" s="3">
        <v>100</v>
      </c>
      <c r="F88" s="3">
        <v>0</v>
      </c>
      <c r="G88" s="3">
        <v>180</v>
      </c>
      <c r="H88" s="3">
        <v>0</v>
      </c>
      <c r="I88" s="3">
        <v>50</v>
      </c>
      <c r="J88" s="3">
        <v>0</v>
      </c>
      <c r="K88" s="3">
        <v>100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80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229</v>
      </c>
      <c r="AD88" s="5" t="s">
        <v>39</v>
      </c>
      <c r="AE88" s="5" t="s">
        <v>72</v>
      </c>
      <c r="AF88" s="5" t="s">
        <v>62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20</v>
      </c>
      <c r="AP88" s="5">
        <v>20</v>
      </c>
      <c r="AQ88" s="5">
        <v>20</v>
      </c>
      <c r="AR88" s="5">
        <v>20</v>
      </c>
      <c r="AS88" s="5">
        <v>40</v>
      </c>
      <c r="AT88" s="5">
        <v>0</v>
      </c>
      <c r="AU88" s="5">
        <v>0</v>
      </c>
      <c r="AV88" s="4" t="s">
        <v>222</v>
      </c>
      <c r="AW88" s="5">
        <v>0</v>
      </c>
      <c r="AX88" s="5">
        <v>0</v>
      </c>
    </row>
    <row r="89" spans="1:50" ht="15.75" customHeight="1" x14ac:dyDescent="0.2">
      <c r="A89" s="3">
        <f t="shared" si="4"/>
        <v>30087</v>
      </c>
      <c r="B89" s="3">
        <f t="shared" si="5"/>
        <v>31004</v>
      </c>
      <c r="C89" s="3" t="s">
        <v>7</v>
      </c>
      <c r="D89" s="3" t="s">
        <v>7</v>
      </c>
      <c r="E89" s="3">
        <v>100</v>
      </c>
      <c r="F89" s="3">
        <v>0</v>
      </c>
      <c r="G89" s="3">
        <v>180</v>
      </c>
      <c r="H89" s="3">
        <v>0</v>
      </c>
      <c r="I89" s="3">
        <v>50</v>
      </c>
      <c r="J89" s="3">
        <v>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80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229</v>
      </c>
      <c r="AD89" s="5" t="s">
        <v>39</v>
      </c>
      <c r="AE89" s="5" t="s">
        <v>72</v>
      </c>
      <c r="AF89" s="5" t="s">
        <v>62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20</v>
      </c>
      <c r="AP89" s="5">
        <v>20</v>
      </c>
      <c r="AQ89" s="5">
        <v>20</v>
      </c>
      <c r="AR89" s="5">
        <v>20</v>
      </c>
      <c r="AS89" s="5">
        <v>40</v>
      </c>
      <c r="AT89" s="5">
        <v>0</v>
      </c>
      <c r="AU89" s="5">
        <v>0</v>
      </c>
      <c r="AV89" s="4" t="s">
        <v>222</v>
      </c>
      <c r="AW89" s="5">
        <v>0</v>
      </c>
      <c r="AX89" s="5">
        <v>0</v>
      </c>
    </row>
    <row r="90" spans="1:50" ht="15.75" customHeight="1" x14ac:dyDescent="0.2">
      <c r="A90" s="3">
        <f t="shared" si="4"/>
        <v>30088</v>
      </c>
      <c r="B90" s="3">
        <f t="shared" si="5"/>
        <v>31005</v>
      </c>
      <c r="C90" s="3" t="s">
        <v>7</v>
      </c>
      <c r="D90" s="3" t="s">
        <v>7</v>
      </c>
      <c r="E90" s="3">
        <v>100</v>
      </c>
      <c r="F90" s="3">
        <v>0</v>
      </c>
      <c r="G90" s="3">
        <v>180</v>
      </c>
      <c r="H90" s="3">
        <v>0</v>
      </c>
      <c r="I90" s="3">
        <v>50</v>
      </c>
      <c r="J90" s="3">
        <v>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150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229</v>
      </c>
      <c r="AD90" s="5" t="s">
        <v>39</v>
      </c>
      <c r="AE90" s="5" t="s">
        <v>72</v>
      </c>
      <c r="AF90" s="5" t="s">
        <v>62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20</v>
      </c>
      <c r="AP90" s="5">
        <v>20</v>
      </c>
      <c r="AQ90" s="5">
        <v>20</v>
      </c>
      <c r="AR90" s="5">
        <v>20</v>
      </c>
      <c r="AS90" s="5">
        <v>40</v>
      </c>
      <c r="AT90" s="5">
        <v>0</v>
      </c>
      <c r="AU90" s="5">
        <v>0</v>
      </c>
      <c r="AV90" s="4" t="s">
        <v>222</v>
      </c>
      <c r="AW90" s="5">
        <v>0</v>
      </c>
      <c r="AX90" s="5">
        <v>0</v>
      </c>
    </row>
    <row r="91" spans="1:50" ht="15.75" customHeight="1" x14ac:dyDescent="0.2">
      <c r="A91" s="3">
        <f t="shared" si="4"/>
        <v>30089</v>
      </c>
      <c r="B91" s="3">
        <f t="shared" ref="B91:B114" si="6">INDEX(B:B,MATCH(31000,B:B,0),1)+(ROW()-MATCH(31000,B:B,0))</f>
        <v>31006</v>
      </c>
      <c r="C91" s="3" t="s">
        <v>7</v>
      </c>
      <c r="D91" s="3" t="s">
        <v>171</v>
      </c>
      <c r="E91" s="3">
        <v>0</v>
      </c>
      <c r="F91" s="3">
        <v>0</v>
      </c>
      <c r="G91" s="3">
        <v>54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50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26</v>
      </c>
      <c r="AD91" s="5" t="s">
        <v>28</v>
      </c>
      <c r="AE91" s="5" t="s">
        <v>82</v>
      </c>
      <c r="AF91" s="5" t="s">
        <v>27</v>
      </c>
      <c r="AG91" s="5" t="s">
        <v>36</v>
      </c>
      <c r="AH91" s="5" t="s">
        <v>66</v>
      </c>
      <c r="AI91" s="5" t="s">
        <v>7</v>
      </c>
      <c r="AJ91" s="5" t="s">
        <v>7</v>
      </c>
      <c r="AK91" s="5" t="s">
        <v>7</v>
      </c>
      <c r="AL91" s="5">
        <v>5</v>
      </c>
      <c r="AM91" s="5">
        <v>10</v>
      </c>
      <c r="AN91" s="5">
        <v>12</v>
      </c>
      <c r="AO91" s="5">
        <v>20</v>
      </c>
      <c r="AP91" s="5">
        <v>5</v>
      </c>
      <c r="AQ91" s="5">
        <v>10</v>
      </c>
      <c r="AR91" s="5">
        <v>0</v>
      </c>
      <c r="AS91" s="5">
        <v>0</v>
      </c>
      <c r="AT91" s="5">
        <v>0</v>
      </c>
      <c r="AU91" s="5">
        <v>0</v>
      </c>
      <c r="AV91" s="4" t="s">
        <v>86</v>
      </c>
      <c r="AW91" s="5">
        <v>0</v>
      </c>
      <c r="AX91" s="5">
        <v>0</v>
      </c>
    </row>
    <row r="92" spans="1:50" ht="15.75" customHeight="1" x14ac:dyDescent="0.2">
      <c r="A92" s="3">
        <f t="shared" si="4"/>
        <v>30090</v>
      </c>
      <c r="B92" s="3">
        <f t="shared" si="6"/>
        <v>31007</v>
      </c>
      <c r="C92" s="3" t="s">
        <v>7</v>
      </c>
      <c r="D92" s="3" t="s">
        <v>7</v>
      </c>
      <c r="E92" s="3">
        <v>0</v>
      </c>
      <c r="F92" s="3">
        <v>0</v>
      </c>
      <c r="G92" s="3">
        <v>54</v>
      </c>
      <c r="H92" s="3">
        <v>0</v>
      </c>
      <c r="I92" s="3">
        <v>0</v>
      </c>
      <c r="J92" s="3">
        <v>40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26</v>
      </c>
      <c r="AD92" s="5" t="s">
        <v>28</v>
      </c>
      <c r="AE92" s="5" t="s">
        <v>82</v>
      </c>
      <c r="AF92" s="5" t="s">
        <v>27</v>
      </c>
      <c r="AG92" s="5" t="s">
        <v>36</v>
      </c>
      <c r="AH92" s="5" t="s">
        <v>66</v>
      </c>
      <c r="AI92" s="5" t="s">
        <v>7</v>
      </c>
      <c r="AJ92" s="5" t="s">
        <v>7</v>
      </c>
      <c r="AK92" s="5" t="s">
        <v>7</v>
      </c>
      <c r="AL92" s="5">
        <v>5</v>
      </c>
      <c r="AM92" s="5">
        <v>10</v>
      </c>
      <c r="AN92" s="5">
        <v>12</v>
      </c>
      <c r="AO92" s="5">
        <v>20</v>
      </c>
      <c r="AP92" s="5">
        <v>5</v>
      </c>
      <c r="AQ92" s="5">
        <v>10</v>
      </c>
      <c r="AR92" s="5">
        <v>0</v>
      </c>
      <c r="AS92" s="5">
        <v>0</v>
      </c>
      <c r="AT92" s="5">
        <v>0</v>
      </c>
      <c r="AU92" s="5">
        <v>0</v>
      </c>
      <c r="AV92" s="4" t="s">
        <v>44</v>
      </c>
      <c r="AW92" s="5">
        <v>0</v>
      </c>
      <c r="AX92" s="5">
        <v>0</v>
      </c>
    </row>
    <row r="93" spans="1:50" ht="15.75" customHeight="1" x14ac:dyDescent="0.2">
      <c r="A93" s="3">
        <f t="shared" si="4"/>
        <v>30091</v>
      </c>
      <c r="B93" s="3">
        <f t="shared" si="6"/>
        <v>31008</v>
      </c>
      <c r="C93" s="3" t="s">
        <v>7</v>
      </c>
      <c r="D93" s="3" t="s">
        <v>7</v>
      </c>
      <c r="E93" s="3">
        <v>0</v>
      </c>
      <c r="F93" s="3">
        <v>0</v>
      </c>
      <c r="G93" s="3">
        <v>54</v>
      </c>
      <c r="H93" s="3">
        <v>0</v>
      </c>
      <c r="I93" s="3">
        <v>0</v>
      </c>
      <c r="J93" s="3">
        <v>110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26</v>
      </c>
      <c r="AD93" s="5" t="s">
        <v>28</v>
      </c>
      <c r="AE93" s="5" t="s">
        <v>82</v>
      </c>
      <c r="AF93" s="5" t="s">
        <v>27</v>
      </c>
      <c r="AG93" s="5" t="s">
        <v>36</v>
      </c>
      <c r="AH93" s="5" t="s">
        <v>66</v>
      </c>
      <c r="AI93" s="5" t="s">
        <v>7</v>
      </c>
      <c r="AJ93" s="5" t="s">
        <v>7</v>
      </c>
      <c r="AK93" s="5" t="s">
        <v>7</v>
      </c>
      <c r="AL93" s="5">
        <v>5</v>
      </c>
      <c r="AM93" s="5">
        <v>10</v>
      </c>
      <c r="AN93" s="5">
        <v>12</v>
      </c>
      <c r="AO93" s="5">
        <v>20</v>
      </c>
      <c r="AP93" s="5">
        <v>5</v>
      </c>
      <c r="AQ93" s="5">
        <v>10</v>
      </c>
      <c r="AR93" s="5">
        <v>0</v>
      </c>
      <c r="AS93" s="5">
        <v>0</v>
      </c>
      <c r="AT93" s="5">
        <v>0</v>
      </c>
      <c r="AU93" s="5">
        <v>0</v>
      </c>
      <c r="AV93" s="4" t="s">
        <v>45</v>
      </c>
      <c r="AW93" s="5">
        <v>0</v>
      </c>
      <c r="AX93" s="5">
        <v>0</v>
      </c>
    </row>
    <row r="94" spans="1:50" ht="15.75" customHeight="1" x14ac:dyDescent="0.2">
      <c r="A94" s="3">
        <f t="shared" si="4"/>
        <v>30092</v>
      </c>
      <c r="B94" s="3">
        <f t="shared" si="6"/>
        <v>31009</v>
      </c>
      <c r="C94" s="3" t="s">
        <v>7</v>
      </c>
      <c r="D94" s="3" t="s">
        <v>218</v>
      </c>
      <c r="E94" s="3">
        <v>20</v>
      </c>
      <c r="F94" s="3">
        <v>0</v>
      </c>
      <c r="G94" s="3">
        <v>54</v>
      </c>
      <c r="H94" s="3">
        <v>0</v>
      </c>
      <c r="I94" s="3">
        <v>0</v>
      </c>
      <c r="J94" s="3">
        <v>60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26</v>
      </c>
      <c r="AD94" s="5" t="s">
        <v>28</v>
      </c>
      <c r="AE94" s="5" t="s">
        <v>82</v>
      </c>
      <c r="AF94" s="5" t="s">
        <v>27</v>
      </c>
      <c r="AG94" s="5" t="s">
        <v>36</v>
      </c>
      <c r="AH94" s="5" t="s">
        <v>66</v>
      </c>
      <c r="AI94" s="5" t="s">
        <v>7</v>
      </c>
      <c r="AJ94" s="5" t="s">
        <v>7</v>
      </c>
      <c r="AK94" s="5" t="s">
        <v>7</v>
      </c>
      <c r="AL94" s="5">
        <v>5</v>
      </c>
      <c r="AM94" s="5">
        <v>10</v>
      </c>
      <c r="AN94" s="5">
        <v>12</v>
      </c>
      <c r="AO94" s="5">
        <v>20</v>
      </c>
      <c r="AP94" s="5">
        <v>5</v>
      </c>
      <c r="AQ94" s="5">
        <v>10</v>
      </c>
      <c r="AR94" s="5">
        <v>0</v>
      </c>
      <c r="AS94" s="5">
        <v>0</v>
      </c>
      <c r="AT94" s="5">
        <v>0</v>
      </c>
      <c r="AU94" s="5">
        <v>0</v>
      </c>
      <c r="AV94" s="4" t="s">
        <v>86</v>
      </c>
      <c r="AW94" s="5">
        <v>0</v>
      </c>
      <c r="AX94" s="5">
        <v>0</v>
      </c>
    </row>
    <row r="95" spans="1:50" ht="15.75" customHeight="1" x14ac:dyDescent="0.2">
      <c r="A95" s="3">
        <f t="shared" si="4"/>
        <v>30093</v>
      </c>
      <c r="B95" s="3">
        <f t="shared" si="6"/>
        <v>31010</v>
      </c>
      <c r="C95" s="3" t="s">
        <v>7</v>
      </c>
      <c r="D95" s="3" t="s">
        <v>7</v>
      </c>
      <c r="E95" s="3">
        <v>20</v>
      </c>
      <c r="F95" s="3">
        <v>0</v>
      </c>
      <c r="G95" s="3">
        <v>54</v>
      </c>
      <c r="H95" s="3">
        <v>0</v>
      </c>
      <c r="I95" s="3">
        <v>0</v>
      </c>
      <c r="J95" s="3">
        <v>60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26</v>
      </c>
      <c r="AD95" s="5" t="s">
        <v>28</v>
      </c>
      <c r="AE95" s="5" t="s">
        <v>82</v>
      </c>
      <c r="AF95" s="5" t="s">
        <v>27</v>
      </c>
      <c r="AG95" s="5" t="s">
        <v>36</v>
      </c>
      <c r="AH95" s="5" t="s">
        <v>66</v>
      </c>
      <c r="AI95" s="5" t="s">
        <v>7</v>
      </c>
      <c r="AJ95" s="5" t="s">
        <v>7</v>
      </c>
      <c r="AK95" s="5" t="s">
        <v>7</v>
      </c>
      <c r="AL95" s="5">
        <v>5</v>
      </c>
      <c r="AM95" s="5">
        <v>10</v>
      </c>
      <c r="AN95" s="5">
        <v>12</v>
      </c>
      <c r="AO95" s="5">
        <v>20</v>
      </c>
      <c r="AP95" s="5">
        <v>5</v>
      </c>
      <c r="AQ95" s="5">
        <v>10</v>
      </c>
      <c r="AR95" s="5">
        <v>0</v>
      </c>
      <c r="AS95" s="5">
        <v>0</v>
      </c>
      <c r="AT95" s="5">
        <v>0</v>
      </c>
      <c r="AU95" s="5">
        <v>0</v>
      </c>
      <c r="AV95" s="4" t="s">
        <v>44</v>
      </c>
      <c r="AW95" s="5">
        <v>0</v>
      </c>
      <c r="AX95" s="5">
        <v>0</v>
      </c>
    </row>
    <row r="96" spans="1:50" ht="15.75" customHeight="1" x14ac:dyDescent="0.2">
      <c r="A96" s="3">
        <f t="shared" si="4"/>
        <v>30094</v>
      </c>
      <c r="B96" s="3">
        <f t="shared" si="6"/>
        <v>31011</v>
      </c>
      <c r="C96" s="3" t="s">
        <v>7</v>
      </c>
      <c r="D96" s="3" t="s">
        <v>7</v>
      </c>
      <c r="E96" s="3">
        <v>20</v>
      </c>
      <c r="F96" s="3">
        <v>0</v>
      </c>
      <c r="G96" s="3">
        <v>54</v>
      </c>
      <c r="H96" s="3">
        <v>0</v>
      </c>
      <c r="I96" s="3">
        <v>0</v>
      </c>
      <c r="J96" s="3">
        <v>100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26</v>
      </c>
      <c r="AD96" s="5" t="s">
        <v>28</v>
      </c>
      <c r="AE96" s="5" t="s">
        <v>82</v>
      </c>
      <c r="AF96" s="5" t="s">
        <v>27</v>
      </c>
      <c r="AG96" s="5" t="s">
        <v>36</v>
      </c>
      <c r="AH96" s="5" t="s">
        <v>66</v>
      </c>
      <c r="AI96" s="5" t="s">
        <v>7</v>
      </c>
      <c r="AJ96" s="5" t="s">
        <v>7</v>
      </c>
      <c r="AK96" s="5" t="s">
        <v>7</v>
      </c>
      <c r="AL96" s="5">
        <v>5</v>
      </c>
      <c r="AM96" s="5">
        <v>10</v>
      </c>
      <c r="AN96" s="5">
        <v>12</v>
      </c>
      <c r="AO96" s="5">
        <v>20</v>
      </c>
      <c r="AP96" s="5">
        <v>5</v>
      </c>
      <c r="AQ96" s="5">
        <v>10</v>
      </c>
      <c r="AR96" s="5">
        <v>0</v>
      </c>
      <c r="AS96" s="5">
        <v>0</v>
      </c>
      <c r="AT96" s="5">
        <v>0</v>
      </c>
      <c r="AU96" s="5">
        <v>0</v>
      </c>
      <c r="AV96" s="4" t="s">
        <v>45</v>
      </c>
      <c r="AW96" s="5">
        <v>0</v>
      </c>
      <c r="AX96" s="5">
        <v>0</v>
      </c>
    </row>
    <row r="97" spans="1:50" ht="15.75" customHeight="1" x14ac:dyDescent="0.2">
      <c r="A97" s="3">
        <f t="shared" si="4"/>
        <v>30095</v>
      </c>
      <c r="B97" s="3">
        <f t="shared" si="6"/>
        <v>31012</v>
      </c>
      <c r="C97" s="3" t="s">
        <v>7</v>
      </c>
      <c r="D97" s="3" t="s">
        <v>173</v>
      </c>
      <c r="E97" s="3">
        <v>50</v>
      </c>
      <c r="F97" s="3">
        <v>0</v>
      </c>
      <c r="G97" s="3">
        <v>230</v>
      </c>
      <c r="H97" s="3">
        <v>0</v>
      </c>
      <c r="I97" s="3">
        <v>0</v>
      </c>
      <c r="J97" s="3">
        <v>0</v>
      </c>
      <c r="K97" s="3">
        <v>100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7</v>
      </c>
      <c r="AE97" s="5" t="s">
        <v>7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43</v>
      </c>
      <c r="AW97" s="5">
        <v>0</v>
      </c>
      <c r="AX97" s="5">
        <v>0</v>
      </c>
    </row>
    <row r="98" spans="1:50" ht="15.75" customHeight="1" x14ac:dyDescent="0.2">
      <c r="A98" s="3">
        <f t="shared" si="4"/>
        <v>30096</v>
      </c>
      <c r="B98" s="3">
        <f t="shared" si="6"/>
        <v>31013</v>
      </c>
      <c r="C98" s="3" t="s">
        <v>7</v>
      </c>
      <c r="D98" s="3" t="s">
        <v>7</v>
      </c>
      <c r="E98" s="3">
        <v>50</v>
      </c>
      <c r="F98" s="3">
        <v>0</v>
      </c>
      <c r="G98" s="3">
        <v>230</v>
      </c>
      <c r="H98" s="3">
        <v>0</v>
      </c>
      <c r="I98" s="3">
        <v>0</v>
      </c>
      <c r="J98" s="3">
        <v>0</v>
      </c>
      <c r="K98" s="3">
        <v>85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130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44</v>
      </c>
      <c r="AW98" s="5">
        <v>0</v>
      </c>
      <c r="AX98" s="5">
        <v>0</v>
      </c>
    </row>
    <row r="99" spans="1:50" ht="15.75" customHeight="1" x14ac:dyDescent="0.2">
      <c r="A99" s="3">
        <f t="shared" si="4"/>
        <v>30097</v>
      </c>
      <c r="B99" s="3">
        <f t="shared" si="6"/>
        <v>31014</v>
      </c>
      <c r="C99" s="3" t="s">
        <v>7</v>
      </c>
      <c r="D99" s="3" t="s">
        <v>7</v>
      </c>
      <c r="E99" s="3">
        <v>50</v>
      </c>
      <c r="F99" s="3">
        <v>0</v>
      </c>
      <c r="G99" s="3">
        <v>230</v>
      </c>
      <c r="H99" s="3">
        <v>0</v>
      </c>
      <c r="I99" s="3">
        <v>0</v>
      </c>
      <c r="J99" s="3">
        <v>0</v>
      </c>
      <c r="K99" s="3">
        <v>120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45</v>
      </c>
      <c r="AW99" s="5">
        <v>0</v>
      </c>
      <c r="AX99" s="5">
        <v>0</v>
      </c>
    </row>
    <row r="100" spans="1:50" ht="15.75" customHeight="1" x14ac:dyDescent="0.2">
      <c r="A100" s="3">
        <f t="shared" si="4"/>
        <v>30098</v>
      </c>
      <c r="B100" s="3">
        <f t="shared" si="6"/>
        <v>31015</v>
      </c>
      <c r="C100" s="3" t="s">
        <v>7</v>
      </c>
      <c r="D100" s="3" t="s">
        <v>226</v>
      </c>
      <c r="E100" s="3">
        <v>50</v>
      </c>
      <c r="F100" s="3">
        <v>0</v>
      </c>
      <c r="G100" s="3">
        <v>88</v>
      </c>
      <c r="H100" s="3">
        <v>0</v>
      </c>
      <c r="I100" s="3">
        <v>20</v>
      </c>
      <c r="J100" s="3">
        <v>0</v>
      </c>
      <c r="K100" s="3">
        <v>0</v>
      </c>
      <c r="L100" s="3">
        <v>0</v>
      </c>
      <c r="M100" s="3">
        <v>50</v>
      </c>
      <c r="N100" s="3">
        <v>0</v>
      </c>
      <c r="O100" s="3">
        <v>0</v>
      </c>
      <c r="P100" s="3">
        <v>0</v>
      </c>
      <c r="Q100" s="3">
        <v>70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66</v>
      </c>
      <c r="AD100" s="5" t="s">
        <v>82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225</v>
      </c>
      <c r="AW100" s="5">
        <v>0</v>
      </c>
      <c r="AX100" s="5">
        <v>0</v>
      </c>
    </row>
    <row r="101" spans="1:50" ht="15.75" customHeight="1" x14ac:dyDescent="0.2">
      <c r="A101" s="3">
        <f t="shared" si="4"/>
        <v>30099</v>
      </c>
      <c r="B101" s="3">
        <f t="shared" si="6"/>
        <v>31016</v>
      </c>
      <c r="C101" s="3" t="s">
        <v>7</v>
      </c>
      <c r="D101" s="3" t="s">
        <v>7</v>
      </c>
      <c r="E101" s="3">
        <v>50</v>
      </c>
      <c r="F101" s="3">
        <v>0</v>
      </c>
      <c r="G101" s="3">
        <v>88</v>
      </c>
      <c r="H101" s="3">
        <v>0</v>
      </c>
      <c r="I101" s="3">
        <v>20</v>
      </c>
      <c r="J101" s="3">
        <v>0</v>
      </c>
      <c r="K101" s="3">
        <v>0</v>
      </c>
      <c r="L101" s="3">
        <v>0</v>
      </c>
      <c r="M101" s="3">
        <v>50</v>
      </c>
      <c r="N101" s="3">
        <v>0</v>
      </c>
      <c r="O101" s="3">
        <v>0</v>
      </c>
      <c r="P101" s="3">
        <v>0</v>
      </c>
      <c r="Q101" s="3">
        <v>90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66</v>
      </c>
      <c r="AD101" s="5" t="s">
        <v>82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20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225</v>
      </c>
      <c r="AW101" s="5">
        <v>0</v>
      </c>
      <c r="AX101" s="5">
        <v>0</v>
      </c>
    </row>
    <row r="102" spans="1:50" ht="15.75" customHeight="1" x14ac:dyDescent="0.2">
      <c r="A102" s="3">
        <f t="shared" si="4"/>
        <v>30100</v>
      </c>
      <c r="B102" s="3">
        <f t="shared" si="6"/>
        <v>31017</v>
      </c>
      <c r="C102" s="3" t="s">
        <v>7</v>
      </c>
      <c r="D102" s="3" t="s">
        <v>7</v>
      </c>
      <c r="E102" s="3">
        <v>50</v>
      </c>
      <c r="F102" s="3">
        <v>0</v>
      </c>
      <c r="G102" s="3">
        <v>88</v>
      </c>
      <c r="H102" s="3">
        <v>0</v>
      </c>
      <c r="I102" s="3">
        <v>20</v>
      </c>
      <c r="J102" s="3">
        <v>0</v>
      </c>
      <c r="K102" s="3">
        <v>0</v>
      </c>
      <c r="L102" s="3">
        <v>0</v>
      </c>
      <c r="M102" s="3">
        <v>70</v>
      </c>
      <c r="N102" s="3">
        <v>0</v>
      </c>
      <c r="O102" s="3">
        <v>0</v>
      </c>
      <c r="P102" s="3">
        <v>0</v>
      </c>
      <c r="Q102" s="3">
        <v>110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66</v>
      </c>
      <c r="AD102" s="5" t="s">
        <v>82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20</v>
      </c>
      <c r="AM102" s="5">
        <v>20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225</v>
      </c>
      <c r="AW102" s="5">
        <v>0</v>
      </c>
      <c r="AX102" s="5">
        <v>0</v>
      </c>
    </row>
    <row r="103" spans="1:50" ht="15.75" customHeight="1" x14ac:dyDescent="0.2">
      <c r="A103" s="3">
        <f t="shared" si="4"/>
        <v>30101</v>
      </c>
      <c r="B103" s="3">
        <f t="shared" si="6"/>
        <v>31018</v>
      </c>
      <c r="C103" s="3" t="s">
        <v>7</v>
      </c>
      <c r="D103" s="3" t="s">
        <v>208</v>
      </c>
      <c r="E103" s="3">
        <v>0</v>
      </c>
      <c r="F103" s="3">
        <v>0</v>
      </c>
      <c r="G103" s="3">
        <v>54</v>
      </c>
      <c r="H103" s="3">
        <v>20</v>
      </c>
      <c r="I103" s="3">
        <v>30</v>
      </c>
      <c r="J103" s="3">
        <v>60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22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207</v>
      </c>
      <c r="AW103" s="5">
        <v>0</v>
      </c>
      <c r="AX103" s="5">
        <v>0</v>
      </c>
    </row>
    <row r="104" spans="1:50" ht="15.75" customHeight="1" x14ac:dyDescent="0.2">
      <c r="A104" s="3">
        <f t="shared" si="4"/>
        <v>30102</v>
      </c>
      <c r="B104" s="3">
        <f t="shared" si="6"/>
        <v>31019</v>
      </c>
      <c r="C104" s="3" t="s">
        <v>7</v>
      </c>
      <c r="D104" s="3" t="s">
        <v>7</v>
      </c>
      <c r="E104" s="3">
        <v>0</v>
      </c>
      <c r="F104" s="3">
        <v>0</v>
      </c>
      <c r="G104" s="3">
        <v>54</v>
      </c>
      <c r="H104" s="3">
        <v>20</v>
      </c>
      <c r="I104" s="3">
        <v>30</v>
      </c>
      <c r="J104" s="3">
        <v>60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80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22</v>
      </c>
      <c r="AD104" s="5" t="s">
        <v>7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207</v>
      </c>
      <c r="AW104" s="5">
        <v>0</v>
      </c>
      <c r="AX104" s="5">
        <v>0</v>
      </c>
    </row>
    <row r="105" spans="1:50" ht="15.75" customHeight="1" x14ac:dyDescent="0.2">
      <c r="A105" s="3">
        <f t="shared" si="4"/>
        <v>30103</v>
      </c>
      <c r="B105" s="3">
        <f t="shared" si="6"/>
        <v>31020</v>
      </c>
      <c r="C105" s="3" t="s">
        <v>7</v>
      </c>
      <c r="D105" s="3" t="s">
        <v>7</v>
      </c>
      <c r="E105" s="3">
        <v>0</v>
      </c>
      <c r="F105" s="3">
        <v>0</v>
      </c>
      <c r="G105" s="3">
        <v>54</v>
      </c>
      <c r="H105" s="3">
        <v>20</v>
      </c>
      <c r="I105" s="3">
        <v>30</v>
      </c>
      <c r="J105" s="3">
        <v>110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22</v>
      </c>
      <c r="AD105" s="5" t="s">
        <v>7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10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207</v>
      </c>
      <c r="AW105" s="5">
        <v>0</v>
      </c>
      <c r="AX105" s="5">
        <v>0</v>
      </c>
    </row>
    <row r="106" spans="1:50" ht="15.75" customHeight="1" x14ac:dyDescent="0.2">
      <c r="A106" s="3">
        <f t="shared" si="4"/>
        <v>30104</v>
      </c>
      <c r="B106" s="3">
        <f t="shared" si="6"/>
        <v>31021</v>
      </c>
      <c r="C106" s="3" t="s">
        <v>7</v>
      </c>
      <c r="D106" s="3" t="s">
        <v>326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0</v>
      </c>
      <c r="L106" s="3">
        <v>120</v>
      </c>
      <c r="M106" s="3">
        <v>90</v>
      </c>
      <c r="N106" s="3">
        <v>0</v>
      </c>
      <c r="O106" s="3">
        <v>0</v>
      </c>
      <c r="P106" s="3">
        <v>0</v>
      </c>
      <c r="Q106" s="3">
        <v>70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273</v>
      </c>
      <c r="AW106" s="5">
        <v>0</v>
      </c>
      <c r="AX106" s="5">
        <v>0</v>
      </c>
    </row>
    <row r="107" spans="1:50" ht="15.75" customHeight="1" x14ac:dyDescent="0.2">
      <c r="A107" s="3">
        <f t="shared" si="4"/>
        <v>30105</v>
      </c>
      <c r="B107" s="3">
        <f t="shared" si="6"/>
        <v>31022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0</v>
      </c>
      <c r="L107" s="3">
        <v>120</v>
      </c>
      <c r="M107" s="3">
        <v>90</v>
      </c>
      <c r="N107" s="3">
        <v>0</v>
      </c>
      <c r="O107" s="3">
        <v>0</v>
      </c>
      <c r="P107" s="3">
        <v>0</v>
      </c>
      <c r="Q107" s="3">
        <v>90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7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273</v>
      </c>
      <c r="AW107" s="5">
        <v>0</v>
      </c>
      <c r="AX107" s="5">
        <v>0</v>
      </c>
    </row>
    <row r="108" spans="1:50" ht="15.75" customHeight="1" x14ac:dyDescent="0.2">
      <c r="A108" s="3">
        <f t="shared" si="4"/>
        <v>30106</v>
      </c>
      <c r="B108" s="3">
        <f t="shared" si="6"/>
        <v>31023</v>
      </c>
      <c r="C108" s="3" t="s">
        <v>7</v>
      </c>
      <c r="D108" s="3" t="s">
        <v>7</v>
      </c>
      <c r="E108" s="3">
        <v>0</v>
      </c>
      <c r="F108" s="3">
        <v>0</v>
      </c>
      <c r="G108" s="3">
        <v>80</v>
      </c>
      <c r="H108" s="3">
        <v>0</v>
      </c>
      <c r="I108" s="3">
        <v>0</v>
      </c>
      <c r="J108" s="3">
        <v>0</v>
      </c>
      <c r="K108" s="3">
        <v>0</v>
      </c>
      <c r="L108" s="3">
        <v>140</v>
      </c>
      <c r="M108" s="3">
        <v>120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273</v>
      </c>
      <c r="AW108" s="5">
        <v>0</v>
      </c>
      <c r="AX108" s="5">
        <v>0</v>
      </c>
    </row>
    <row r="109" spans="1:50" ht="15.75" customHeight="1" x14ac:dyDescent="0.2">
      <c r="A109" s="3">
        <f t="shared" si="4"/>
        <v>30107</v>
      </c>
      <c r="B109" s="3">
        <f t="shared" si="6"/>
        <v>31024</v>
      </c>
      <c r="C109" s="3" t="s">
        <v>7</v>
      </c>
      <c r="D109" s="3" t="s">
        <v>210</v>
      </c>
      <c r="E109" s="3">
        <v>0</v>
      </c>
      <c r="F109" s="3">
        <v>0</v>
      </c>
      <c r="G109" s="3">
        <v>55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75</v>
      </c>
      <c r="Q109" s="3">
        <v>55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65</v>
      </c>
      <c r="AE109" s="5" t="s">
        <v>202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50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209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30108</v>
      </c>
      <c r="B110" s="3">
        <f t="shared" si="6"/>
        <v>31025</v>
      </c>
      <c r="C110" s="3" t="s">
        <v>7</v>
      </c>
      <c r="D110" s="3" t="s">
        <v>7</v>
      </c>
      <c r="E110" s="3">
        <v>0</v>
      </c>
      <c r="F110" s="3">
        <v>0</v>
      </c>
      <c r="G110" s="3">
        <v>55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75</v>
      </c>
      <c r="Q110" s="3">
        <v>65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65</v>
      </c>
      <c r="AE110" s="5" t="s">
        <v>202</v>
      </c>
      <c r="AF110" s="5" t="s">
        <v>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30</v>
      </c>
      <c r="AN110" s="5">
        <v>50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209</v>
      </c>
      <c r="AW110" s="5">
        <v>0</v>
      </c>
      <c r="AX110" s="5">
        <v>0</v>
      </c>
    </row>
    <row r="111" spans="1:50" ht="15.75" customHeight="1" x14ac:dyDescent="0.2">
      <c r="A111" s="3">
        <f t="shared" si="4"/>
        <v>30109</v>
      </c>
      <c r="B111" s="3">
        <f t="shared" si="6"/>
        <v>31026</v>
      </c>
      <c r="C111" s="3" t="s">
        <v>7</v>
      </c>
      <c r="D111" s="3" t="s">
        <v>7</v>
      </c>
      <c r="E111" s="3">
        <v>0</v>
      </c>
      <c r="F111" s="3">
        <v>0</v>
      </c>
      <c r="G111" s="3">
        <v>55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105</v>
      </c>
      <c r="Q111" s="3">
        <v>55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65</v>
      </c>
      <c r="AE111" s="5" t="s">
        <v>202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-50</v>
      </c>
      <c r="AM111" s="5">
        <v>30</v>
      </c>
      <c r="AN111" s="5">
        <v>50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209</v>
      </c>
      <c r="AW111" s="5">
        <v>0</v>
      </c>
      <c r="AX111" s="5">
        <v>0</v>
      </c>
    </row>
    <row r="112" spans="1:50" ht="15.75" customHeight="1" x14ac:dyDescent="0.2">
      <c r="A112" s="3">
        <f t="shared" si="4"/>
        <v>30110</v>
      </c>
      <c r="B112" s="3">
        <f t="shared" si="6"/>
        <v>31027</v>
      </c>
      <c r="C112" s="3" t="s">
        <v>223</v>
      </c>
      <c r="D112" s="3" t="s">
        <v>7</v>
      </c>
      <c r="E112" s="3">
        <v>0</v>
      </c>
      <c r="F112" s="3">
        <v>0</v>
      </c>
      <c r="G112" s="3">
        <v>80</v>
      </c>
      <c r="H112" s="3">
        <v>0</v>
      </c>
      <c r="I112" s="3">
        <v>0</v>
      </c>
      <c r="J112" s="3">
        <v>110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60</v>
      </c>
      <c r="AD112" s="5" t="s">
        <v>23</v>
      </c>
      <c r="AE112" s="5" t="s">
        <v>66</v>
      </c>
      <c r="AF112" s="5" t="s">
        <v>27</v>
      </c>
      <c r="AG112" s="5" t="s">
        <v>39</v>
      </c>
      <c r="AH112" s="5" t="s">
        <v>131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7</v>
      </c>
      <c r="AN112" s="5">
        <v>20</v>
      </c>
      <c r="AO112" s="5">
        <v>20</v>
      </c>
      <c r="AP112" s="5">
        <v>30</v>
      </c>
      <c r="AQ112" s="5">
        <v>30</v>
      </c>
      <c r="AR112" s="5">
        <v>0</v>
      </c>
      <c r="AS112" s="5">
        <v>0</v>
      </c>
      <c r="AT112" s="5">
        <v>0</v>
      </c>
      <c r="AU112" s="5">
        <v>0</v>
      </c>
      <c r="AV112" s="4" t="s">
        <v>86</v>
      </c>
      <c r="AW112" s="5">
        <v>0</v>
      </c>
      <c r="AX112" s="5">
        <v>0</v>
      </c>
    </row>
    <row r="113" spans="1:50" ht="15.75" customHeight="1" x14ac:dyDescent="0.2">
      <c r="A113" s="3">
        <f t="shared" si="4"/>
        <v>30111</v>
      </c>
      <c r="B113" s="3">
        <f t="shared" si="6"/>
        <v>31028</v>
      </c>
      <c r="C113" s="3" t="s">
        <v>7</v>
      </c>
      <c r="D113" s="3" t="s">
        <v>7</v>
      </c>
      <c r="E113" s="3">
        <v>0</v>
      </c>
      <c r="F113" s="3">
        <v>0</v>
      </c>
      <c r="G113" s="3">
        <v>80</v>
      </c>
      <c r="H113" s="3">
        <v>0</v>
      </c>
      <c r="I113" s="3">
        <v>0</v>
      </c>
      <c r="J113" s="3">
        <v>90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90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61</v>
      </c>
      <c r="AD113" s="5" t="s">
        <v>62</v>
      </c>
      <c r="AE113" s="5" t="s">
        <v>57</v>
      </c>
      <c r="AF113" s="5" t="s">
        <v>23</v>
      </c>
      <c r="AG113" s="5" t="s">
        <v>39</v>
      </c>
      <c r="AH113" s="5" t="s">
        <v>66</v>
      </c>
      <c r="AI113" s="5" t="s">
        <v>27</v>
      </c>
      <c r="AJ113" s="5" t="s">
        <v>131</v>
      </c>
      <c r="AK113" s="5" t="s">
        <v>7</v>
      </c>
      <c r="AL113" s="5">
        <v>20</v>
      </c>
      <c r="AM113" s="5">
        <v>20</v>
      </c>
      <c r="AN113" s="5">
        <v>10</v>
      </c>
      <c r="AO113" s="5">
        <v>10</v>
      </c>
      <c r="AP113" s="5">
        <v>30</v>
      </c>
      <c r="AQ113" s="5">
        <v>20</v>
      </c>
      <c r="AR113" s="5">
        <v>20</v>
      </c>
      <c r="AS113" s="5">
        <v>30</v>
      </c>
      <c r="AT113" s="5">
        <v>0</v>
      </c>
      <c r="AU113" s="5">
        <v>0</v>
      </c>
      <c r="AV113" s="4" t="s">
        <v>44</v>
      </c>
      <c r="AW113" s="5">
        <v>0</v>
      </c>
      <c r="AX113" s="5">
        <v>0</v>
      </c>
    </row>
    <row r="114" spans="1:50" ht="15.75" customHeight="1" x14ac:dyDescent="0.2">
      <c r="A114" s="3">
        <f t="shared" si="4"/>
        <v>30112</v>
      </c>
      <c r="B114" s="3">
        <f t="shared" si="6"/>
        <v>31029</v>
      </c>
      <c r="C114" s="3" t="s">
        <v>7</v>
      </c>
      <c r="D114" s="3" t="s">
        <v>7</v>
      </c>
      <c r="E114" s="3">
        <v>0</v>
      </c>
      <c r="F114" s="3">
        <v>0</v>
      </c>
      <c r="G114" s="3">
        <v>80</v>
      </c>
      <c r="H114" s="3">
        <v>0</v>
      </c>
      <c r="I114" s="3">
        <v>0</v>
      </c>
      <c r="J114" s="3">
        <v>130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63</v>
      </c>
      <c r="AD114" s="5" t="s">
        <v>67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100</v>
      </c>
      <c r="AM114" s="5">
        <v>70</v>
      </c>
      <c r="AN114" s="5">
        <v>20</v>
      </c>
      <c r="AO114" s="5">
        <v>20</v>
      </c>
      <c r="AP114" s="5">
        <v>20</v>
      </c>
      <c r="AQ114" s="5">
        <v>30</v>
      </c>
      <c r="AR114" s="5">
        <v>30</v>
      </c>
      <c r="AS114" s="5">
        <v>0</v>
      </c>
      <c r="AT114" s="5">
        <v>0</v>
      </c>
      <c r="AU114" s="5">
        <v>0</v>
      </c>
      <c r="AV114" s="4" t="s">
        <v>45</v>
      </c>
      <c r="AW114" s="5">
        <v>0</v>
      </c>
      <c r="AX114" s="5">
        <v>1</v>
      </c>
    </row>
    <row r="115" spans="1:50" s="9" customFormat="1" ht="15.75" customHeight="1" x14ac:dyDescent="0.2">
      <c r="A115" s="6">
        <f t="shared" si="4"/>
        <v>30113</v>
      </c>
      <c r="B115" s="6">
        <v>32000</v>
      </c>
      <c r="C115" s="6" t="s">
        <v>310</v>
      </c>
      <c r="D115" s="6" t="s">
        <v>7</v>
      </c>
      <c r="E115" s="6">
        <v>30</v>
      </c>
      <c r="F115" s="6">
        <v>0</v>
      </c>
      <c r="G115" s="6">
        <v>80</v>
      </c>
      <c r="H115" s="6">
        <v>200</v>
      </c>
      <c r="I115" s="6">
        <v>0</v>
      </c>
      <c r="J115" s="6">
        <v>0</v>
      </c>
      <c r="K115" s="6">
        <v>0</v>
      </c>
      <c r="L115" s="6">
        <v>100</v>
      </c>
      <c r="M115" s="6">
        <v>0</v>
      </c>
      <c r="N115" s="6">
        <v>0</v>
      </c>
      <c r="O115" s="6">
        <v>0</v>
      </c>
      <c r="P115" s="6">
        <v>0</v>
      </c>
      <c r="Q115" s="6">
        <v>70</v>
      </c>
      <c r="R115" s="6">
        <v>0</v>
      </c>
      <c r="S115" s="6">
        <v>30</v>
      </c>
      <c r="T115" s="6">
        <v>30</v>
      </c>
      <c r="U115" s="6">
        <v>30</v>
      </c>
      <c r="V115" s="6">
        <v>30</v>
      </c>
      <c r="W115" s="6">
        <v>30</v>
      </c>
      <c r="X115" s="6">
        <v>30</v>
      </c>
      <c r="Y115" s="6">
        <v>30</v>
      </c>
      <c r="Z115" s="6">
        <v>30</v>
      </c>
      <c r="AA115" s="6">
        <v>30</v>
      </c>
      <c r="AB115" s="6">
        <v>30</v>
      </c>
      <c r="AC115" s="7" t="s">
        <v>70</v>
      </c>
      <c r="AD115" s="7" t="s">
        <v>7</v>
      </c>
      <c r="AE115" s="7" t="s">
        <v>7</v>
      </c>
      <c r="AF115" s="7" t="s">
        <v>7</v>
      </c>
      <c r="AG115" s="7" t="s">
        <v>7</v>
      </c>
      <c r="AH115" s="7" t="s">
        <v>7</v>
      </c>
      <c r="AI115" s="7" t="s">
        <v>7</v>
      </c>
      <c r="AJ115" s="7" t="s">
        <v>7</v>
      </c>
      <c r="AK115" s="7" t="s">
        <v>7</v>
      </c>
      <c r="AL115" s="7">
        <v>20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8" t="s">
        <v>147</v>
      </c>
      <c r="AW115" s="7">
        <v>0</v>
      </c>
      <c r="AX115" s="7">
        <v>0</v>
      </c>
    </row>
    <row r="116" spans="1:50" ht="15.75" customHeight="1" x14ac:dyDescent="0.2">
      <c r="A116" s="3">
        <f t="shared" si="4"/>
        <v>30114</v>
      </c>
      <c r="B116" s="3">
        <f t="shared" ref="B116:B129" si="7">INDEX(B:B,MATCH(32000,B:B,0),1)+(ROW()-MATCH(32000,B:B,0))</f>
        <v>32001</v>
      </c>
      <c r="C116" s="3" t="s">
        <v>7</v>
      </c>
      <c r="D116" s="3" t="s">
        <v>7</v>
      </c>
      <c r="E116" s="3">
        <v>30</v>
      </c>
      <c r="F116" s="3">
        <v>0</v>
      </c>
      <c r="G116" s="3">
        <v>80</v>
      </c>
      <c r="H116" s="3">
        <v>200</v>
      </c>
      <c r="I116" s="3">
        <v>0</v>
      </c>
      <c r="J116" s="3">
        <v>0</v>
      </c>
      <c r="K116" s="3">
        <v>0</v>
      </c>
      <c r="L116" s="3">
        <v>100</v>
      </c>
      <c r="M116" s="3">
        <v>0</v>
      </c>
      <c r="N116" s="3">
        <v>0</v>
      </c>
      <c r="O116" s="3">
        <v>0</v>
      </c>
      <c r="P116" s="3">
        <v>0</v>
      </c>
      <c r="Q116" s="3">
        <v>90</v>
      </c>
      <c r="R116" s="3">
        <v>0</v>
      </c>
      <c r="S116" s="3">
        <v>30</v>
      </c>
      <c r="T116" s="3">
        <v>30</v>
      </c>
      <c r="U116" s="3">
        <v>30</v>
      </c>
      <c r="V116" s="3">
        <v>30</v>
      </c>
      <c r="W116" s="3">
        <v>30</v>
      </c>
      <c r="X116" s="3">
        <v>30</v>
      </c>
      <c r="Y116" s="3">
        <v>30</v>
      </c>
      <c r="Z116" s="3">
        <v>30</v>
      </c>
      <c r="AA116" s="3">
        <v>30</v>
      </c>
      <c r="AB116" s="3">
        <v>30</v>
      </c>
      <c r="AC116" s="5" t="s">
        <v>70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149</v>
      </c>
      <c r="AW116" s="5">
        <v>0</v>
      </c>
      <c r="AX116" s="5">
        <v>0</v>
      </c>
    </row>
    <row r="117" spans="1:50" ht="15.75" customHeight="1" x14ac:dyDescent="0.2">
      <c r="A117" s="3">
        <f t="shared" si="4"/>
        <v>30115</v>
      </c>
      <c r="B117" s="3">
        <f t="shared" si="7"/>
        <v>32002</v>
      </c>
      <c r="C117" s="3" t="s">
        <v>7</v>
      </c>
      <c r="D117" s="3" t="s">
        <v>7</v>
      </c>
      <c r="E117" s="3">
        <v>30</v>
      </c>
      <c r="F117" s="3">
        <v>0</v>
      </c>
      <c r="G117" s="3">
        <v>80</v>
      </c>
      <c r="H117" s="3">
        <v>200</v>
      </c>
      <c r="I117" s="3">
        <v>0</v>
      </c>
      <c r="J117" s="3">
        <v>0</v>
      </c>
      <c r="K117" s="3">
        <v>0</v>
      </c>
      <c r="L117" s="3">
        <v>100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30</v>
      </c>
      <c r="T117" s="3">
        <v>30</v>
      </c>
      <c r="U117" s="3">
        <v>30</v>
      </c>
      <c r="V117" s="3">
        <v>30</v>
      </c>
      <c r="W117" s="3">
        <v>30</v>
      </c>
      <c r="X117" s="3">
        <v>30</v>
      </c>
      <c r="Y117" s="3">
        <v>30</v>
      </c>
      <c r="Z117" s="3">
        <v>30</v>
      </c>
      <c r="AA117" s="3">
        <v>30</v>
      </c>
      <c r="AB117" s="3">
        <v>30</v>
      </c>
      <c r="AC117" s="5" t="s">
        <v>70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20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150</v>
      </c>
      <c r="AW117" s="5">
        <v>0</v>
      </c>
      <c r="AX117" s="5">
        <v>0</v>
      </c>
    </row>
    <row r="118" spans="1:50" ht="15.75" customHeight="1" x14ac:dyDescent="0.2">
      <c r="A118" s="3">
        <f t="shared" si="4"/>
        <v>30116</v>
      </c>
      <c r="B118" s="3">
        <f t="shared" si="7"/>
        <v>32003</v>
      </c>
      <c r="C118" s="3" t="s">
        <v>7</v>
      </c>
      <c r="D118" s="3" t="s">
        <v>313</v>
      </c>
      <c r="E118" s="3">
        <v>0</v>
      </c>
      <c r="F118" s="3">
        <v>0</v>
      </c>
      <c r="G118" s="3">
        <v>100</v>
      </c>
      <c r="H118" s="3">
        <v>0</v>
      </c>
      <c r="I118" s="3">
        <v>0</v>
      </c>
      <c r="J118" s="3">
        <v>0</v>
      </c>
      <c r="K118" s="3">
        <v>0</v>
      </c>
      <c r="L118" s="3">
        <v>80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70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25</v>
      </c>
      <c r="AM118" s="5">
        <v>20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273</v>
      </c>
      <c r="AW118" s="5">
        <v>0</v>
      </c>
      <c r="AX118" s="5">
        <v>0</v>
      </c>
    </row>
    <row r="119" spans="1:50" ht="15.75" customHeight="1" x14ac:dyDescent="0.2">
      <c r="A119" s="3">
        <f t="shared" si="4"/>
        <v>30117</v>
      </c>
      <c r="B119" s="3">
        <f t="shared" si="7"/>
        <v>32004</v>
      </c>
      <c r="C119" s="3" t="s">
        <v>7</v>
      </c>
      <c r="D119" s="3" t="s">
        <v>7</v>
      </c>
      <c r="E119" s="3">
        <v>0</v>
      </c>
      <c r="F119" s="3">
        <v>0</v>
      </c>
      <c r="G119" s="3">
        <v>100</v>
      </c>
      <c r="H119" s="3">
        <v>0</v>
      </c>
      <c r="I119" s="3">
        <v>0</v>
      </c>
      <c r="J119" s="3">
        <v>0</v>
      </c>
      <c r="K119" s="3">
        <v>0</v>
      </c>
      <c r="L119" s="3">
        <v>80</v>
      </c>
      <c r="M119" s="3">
        <v>0</v>
      </c>
      <c r="N119" s="3">
        <v>0</v>
      </c>
      <c r="O119" s="3">
        <v>0</v>
      </c>
      <c r="P119" s="3">
        <v>0</v>
      </c>
      <c r="Q119" s="3">
        <v>100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70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25</v>
      </c>
      <c r="AM119" s="5">
        <v>20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273</v>
      </c>
      <c r="AW119" s="5">
        <v>0</v>
      </c>
      <c r="AX119" s="5">
        <v>0</v>
      </c>
    </row>
    <row r="120" spans="1:50" ht="15.75" customHeight="1" x14ac:dyDescent="0.2">
      <c r="A120" s="3">
        <f t="shared" si="4"/>
        <v>30118</v>
      </c>
      <c r="B120" s="3">
        <f t="shared" si="7"/>
        <v>32005</v>
      </c>
      <c r="C120" s="3" t="s">
        <v>7</v>
      </c>
      <c r="D120" s="3" t="s">
        <v>7</v>
      </c>
      <c r="E120" s="3">
        <v>0</v>
      </c>
      <c r="F120" s="3">
        <v>0</v>
      </c>
      <c r="G120" s="3">
        <v>100</v>
      </c>
      <c r="H120" s="3">
        <v>0</v>
      </c>
      <c r="I120" s="3">
        <v>0</v>
      </c>
      <c r="J120" s="3">
        <v>0</v>
      </c>
      <c r="K120" s="3">
        <v>0</v>
      </c>
      <c r="L120" s="3">
        <v>80</v>
      </c>
      <c r="M120" s="3">
        <v>0</v>
      </c>
      <c r="N120" s="3">
        <v>0</v>
      </c>
      <c r="O120" s="3">
        <v>0</v>
      </c>
      <c r="P120" s="3">
        <v>0</v>
      </c>
      <c r="Q120" s="3">
        <v>100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70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25</v>
      </c>
      <c r="AM120" s="5">
        <v>20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273</v>
      </c>
      <c r="AW120" s="5">
        <v>0</v>
      </c>
      <c r="AX120" s="5">
        <v>0</v>
      </c>
    </row>
    <row r="121" spans="1:50" ht="15.75" customHeight="1" x14ac:dyDescent="0.2">
      <c r="A121" s="3">
        <f t="shared" si="4"/>
        <v>30119</v>
      </c>
      <c r="B121" s="3">
        <f t="shared" si="7"/>
        <v>32006</v>
      </c>
      <c r="C121" s="3" t="s">
        <v>7</v>
      </c>
      <c r="D121" s="3" t="s">
        <v>312</v>
      </c>
      <c r="E121" s="3">
        <v>0</v>
      </c>
      <c r="F121" s="3">
        <v>0</v>
      </c>
      <c r="G121" s="3">
        <v>60</v>
      </c>
      <c r="H121" s="3">
        <v>0</v>
      </c>
      <c r="I121" s="3">
        <v>0</v>
      </c>
      <c r="J121" s="3">
        <v>0</v>
      </c>
      <c r="K121" s="3">
        <v>0</v>
      </c>
      <c r="L121" s="3">
        <v>50</v>
      </c>
      <c r="M121" s="3">
        <v>50</v>
      </c>
      <c r="N121" s="3">
        <v>0</v>
      </c>
      <c r="O121" s="3">
        <v>0</v>
      </c>
      <c r="P121" s="3">
        <v>0</v>
      </c>
      <c r="Q121" s="3">
        <v>100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25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273</v>
      </c>
      <c r="AW121" s="5">
        <v>0</v>
      </c>
      <c r="AX121" s="5">
        <v>0</v>
      </c>
    </row>
    <row r="122" spans="1:50" ht="15.75" customHeight="1" x14ac:dyDescent="0.2">
      <c r="A122" s="3">
        <f t="shared" si="4"/>
        <v>30120</v>
      </c>
      <c r="B122" s="3">
        <f t="shared" si="7"/>
        <v>32007</v>
      </c>
      <c r="C122" s="3" t="s">
        <v>7</v>
      </c>
      <c r="D122" s="3" t="s">
        <v>7</v>
      </c>
      <c r="E122" s="3">
        <v>0</v>
      </c>
      <c r="F122" s="3">
        <v>0</v>
      </c>
      <c r="G122" s="3">
        <v>60</v>
      </c>
      <c r="H122" s="3">
        <v>0</v>
      </c>
      <c r="I122" s="3">
        <v>0</v>
      </c>
      <c r="J122" s="3">
        <v>0</v>
      </c>
      <c r="K122" s="3">
        <v>0</v>
      </c>
      <c r="L122" s="3">
        <v>50</v>
      </c>
      <c r="M122" s="3">
        <v>50</v>
      </c>
      <c r="N122" s="3">
        <v>0</v>
      </c>
      <c r="O122" s="3">
        <v>0</v>
      </c>
      <c r="P122" s="3">
        <v>0</v>
      </c>
      <c r="Q122" s="3">
        <v>100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25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273</v>
      </c>
      <c r="AW122" s="5">
        <v>0</v>
      </c>
      <c r="AX122" s="5">
        <v>0</v>
      </c>
    </row>
    <row r="123" spans="1:50" ht="15.75" customHeight="1" x14ac:dyDescent="0.2">
      <c r="A123" s="3">
        <f t="shared" si="4"/>
        <v>30121</v>
      </c>
      <c r="B123" s="3">
        <f t="shared" si="7"/>
        <v>32008</v>
      </c>
      <c r="C123" s="3" t="s">
        <v>7</v>
      </c>
      <c r="D123" s="3" t="s">
        <v>7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0</v>
      </c>
      <c r="L123" s="3">
        <v>50</v>
      </c>
      <c r="M123" s="3">
        <v>50</v>
      </c>
      <c r="N123" s="3">
        <v>0</v>
      </c>
      <c r="O123" s="3">
        <v>0</v>
      </c>
      <c r="P123" s="3">
        <v>0</v>
      </c>
      <c r="Q123" s="3">
        <v>100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25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273</v>
      </c>
      <c r="AW123" s="5">
        <v>0</v>
      </c>
      <c r="AX123" s="5">
        <v>0</v>
      </c>
    </row>
    <row r="124" spans="1:50" ht="15.75" customHeight="1" x14ac:dyDescent="0.2">
      <c r="A124" s="3">
        <f t="shared" si="4"/>
        <v>30122</v>
      </c>
      <c r="B124" s="3">
        <f t="shared" si="7"/>
        <v>32009</v>
      </c>
      <c r="C124" s="3" t="s">
        <v>7</v>
      </c>
      <c r="D124" s="3" t="s">
        <v>311</v>
      </c>
      <c r="E124" s="3">
        <v>0</v>
      </c>
      <c r="F124" s="3">
        <v>0</v>
      </c>
      <c r="G124" s="3">
        <v>100</v>
      </c>
      <c r="H124" s="3">
        <v>0</v>
      </c>
      <c r="I124" s="3">
        <v>0</v>
      </c>
      <c r="J124" s="3">
        <v>0</v>
      </c>
      <c r="K124" s="3">
        <v>0</v>
      </c>
      <c r="L124" s="3">
        <v>50</v>
      </c>
      <c r="M124" s="3">
        <v>0</v>
      </c>
      <c r="N124" s="3">
        <v>0</v>
      </c>
      <c r="O124" s="3">
        <v>0</v>
      </c>
      <c r="P124" s="3">
        <v>0</v>
      </c>
      <c r="Q124" s="3">
        <v>100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70</v>
      </c>
      <c r="AD124" s="5" t="s">
        <v>22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10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273</v>
      </c>
      <c r="AW124" s="5">
        <v>0</v>
      </c>
      <c r="AX124" s="5">
        <v>0</v>
      </c>
    </row>
    <row r="125" spans="1:50" ht="15.75" customHeight="1" x14ac:dyDescent="0.2">
      <c r="A125" s="3">
        <f t="shared" si="4"/>
        <v>30123</v>
      </c>
      <c r="B125" s="3">
        <f t="shared" si="7"/>
        <v>32010</v>
      </c>
      <c r="C125" s="3" t="s">
        <v>7</v>
      </c>
      <c r="D125" s="3" t="s">
        <v>7</v>
      </c>
      <c r="E125" s="3">
        <v>0</v>
      </c>
      <c r="F125" s="3">
        <v>0</v>
      </c>
      <c r="G125" s="3">
        <v>100</v>
      </c>
      <c r="H125" s="3">
        <v>0</v>
      </c>
      <c r="I125" s="3">
        <v>0</v>
      </c>
      <c r="J125" s="3">
        <v>0</v>
      </c>
      <c r="K125" s="3">
        <v>0</v>
      </c>
      <c r="L125" s="3">
        <v>50</v>
      </c>
      <c r="M125" s="3">
        <v>0</v>
      </c>
      <c r="N125" s="3">
        <v>0</v>
      </c>
      <c r="O125" s="3">
        <v>0</v>
      </c>
      <c r="P125" s="3">
        <v>0</v>
      </c>
      <c r="Q125" s="3">
        <v>100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70</v>
      </c>
      <c r="AD125" s="5" t="s">
        <v>22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273</v>
      </c>
      <c r="AW125" s="5">
        <v>0</v>
      </c>
      <c r="AX125" s="5">
        <v>0</v>
      </c>
    </row>
    <row r="126" spans="1:50" ht="15.75" customHeight="1" x14ac:dyDescent="0.2">
      <c r="A126" s="3">
        <f t="shared" si="4"/>
        <v>30124</v>
      </c>
      <c r="B126" s="3">
        <f t="shared" si="7"/>
        <v>32011</v>
      </c>
      <c r="C126" s="3" t="s">
        <v>7</v>
      </c>
      <c r="D126" s="3" t="s">
        <v>7</v>
      </c>
      <c r="E126" s="3">
        <v>0</v>
      </c>
      <c r="F126" s="3">
        <v>0</v>
      </c>
      <c r="G126" s="3">
        <v>100</v>
      </c>
      <c r="H126" s="3">
        <v>0</v>
      </c>
      <c r="I126" s="3">
        <v>0</v>
      </c>
      <c r="J126" s="3">
        <v>0</v>
      </c>
      <c r="K126" s="3">
        <v>0</v>
      </c>
      <c r="L126" s="3">
        <v>50</v>
      </c>
      <c r="M126" s="3">
        <v>0</v>
      </c>
      <c r="N126" s="3">
        <v>0</v>
      </c>
      <c r="O126" s="3">
        <v>0</v>
      </c>
      <c r="P126" s="3">
        <v>0</v>
      </c>
      <c r="Q126" s="3">
        <v>100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70</v>
      </c>
      <c r="AD126" s="5" t="s">
        <v>22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10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273</v>
      </c>
      <c r="AW126" s="5">
        <v>0</v>
      </c>
      <c r="AX126" s="5">
        <v>0</v>
      </c>
    </row>
    <row r="127" spans="1:50" ht="15.75" customHeight="1" x14ac:dyDescent="0.2">
      <c r="A127" s="3">
        <f t="shared" si="4"/>
        <v>30125</v>
      </c>
      <c r="B127" s="3">
        <f t="shared" si="7"/>
        <v>32012</v>
      </c>
      <c r="C127" s="3" t="s">
        <v>223</v>
      </c>
      <c r="D127" s="3" t="s">
        <v>7</v>
      </c>
      <c r="E127" s="3">
        <v>0</v>
      </c>
      <c r="F127" s="3">
        <v>0</v>
      </c>
      <c r="G127" s="3">
        <v>80</v>
      </c>
      <c r="H127" s="3">
        <v>0</v>
      </c>
      <c r="I127" s="3">
        <v>0</v>
      </c>
      <c r="J127" s="3">
        <v>110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60</v>
      </c>
      <c r="AD127" s="5" t="s">
        <v>23</v>
      </c>
      <c r="AE127" s="5" t="s">
        <v>66</v>
      </c>
      <c r="AF127" s="5" t="s">
        <v>27</v>
      </c>
      <c r="AG127" s="5" t="s">
        <v>39</v>
      </c>
      <c r="AH127" s="5" t="s">
        <v>131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7</v>
      </c>
      <c r="AN127" s="5">
        <v>20</v>
      </c>
      <c r="AO127" s="5">
        <v>20</v>
      </c>
      <c r="AP127" s="5">
        <v>30</v>
      </c>
      <c r="AQ127" s="5">
        <v>30</v>
      </c>
      <c r="AR127" s="5">
        <v>0</v>
      </c>
      <c r="AS127" s="5">
        <v>0</v>
      </c>
      <c r="AT127" s="5">
        <v>0</v>
      </c>
      <c r="AU127" s="5">
        <v>0</v>
      </c>
      <c r="AV127" s="4" t="s">
        <v>86</v>
      </c>
      <c r="AW127" s="5">
        <v>0</v>
      </c>
      <c r="AX127" s="5">
        <v>0</v>
      </c>
    </row>
    <row r="128" spans="1:50" ht="15.75" customHeight="1" x14ac:dyDescent="0.2">
      <c r="A128" s="3">
        <f t="shared" si="4"/>
        <v>30126</v>
      </c>
      <c r="B128" s="3">
        <f t="shared" si="7"/>
        <v>32013</v>
      </c>
      <c r="C128" s="3" t="s">
        <v>7</v>
      </c>
      <c r="D128" s="3" t="s">
        <v>7</v>
      </c>
      <c r="E128" s="3">
        <v>0</v>
      </c>
      <c r="F128" s="3">
        <v>0</v>
      </c>
      <c r="G128" s="3">
        <v>80</v>
      </c>
      <c r="H128" s="3">
        <v>0</v>
      </c>
      <c r="I128" s="3">
        <v>0</v>
      </c>
      <c r="J128" s="3">
        <v>90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90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61</v>
      </c>
      <c r="AD128" s="5" t="s">
        <v>62</v>
      </c>
      <c r="AE128" s="5" t="s">
        <v>57</v>
      </c>
      <c r="AF128" s="5" t="s">
        <v>23</v>
      </c>
      <c r="AG128" s="5" t="s">
        <v>39</v>
      </c>
      <c r="AH128" s="5" t="s">
        <v>66</v>
      </c>
      <c r="AI128" s="5" t="s">
        <v>27</v>
      </c>
      <c r="AJ128" s="5" t="s">
        <v>131</v>
      </c>
      <c r="AK128" s="5" t="s">
        <v>7</v>
      </c>
      <c r="AL128" s="5">
        <v>20</v>
      </c>
      <c r="AM128" s="5">
        <v>20</v>
      </c>
      <c r="AN128" s="5">
        <v>10</v>
      </c>
      <c r="AO128" s="5">
        <v>10</v>
      </c>
      <c r="AP128" s="5">
        <v>30</v>
      </c>
      <c r="AQ128" s="5">
        <v>20</v>
      </c>
      <c r="AR128" s="5">
        <v>20</v>
      </c>
      <c r="AS128" s="5">
        <v>30</v>
      </c>
      <c r="AT128" s="5">
        <v>0</v>
      </c>
      <c r="AU128" s="5">
        <v>0</v>
      </c>
      <c r="AV128" s="4" t="s">
        <v>44</v>
      </c>
      <c r="AW128" s="5">
        <v>0</v>
      </c>
      <c r="AX128" s="5">
        <v>0</v>
      </c>
    </row>
    <row r="129" spans="1:50" ht="15.75" customHeight="1" x14ac:dyDescent="0.2">
      <c r="A129" s="3">
        <f t="shared" si="4"/>
        <v>30127</v>
      </c>
      <c r="B129" s="3">
        <f t="shared" si="7"/>
        <v>32014</v>
      </c>
      <c r="C129" s="3" t="s">
        <v>7</v>
      </c>
      <c r="D129" s="3" t="s">
        <v>7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130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63</v>
      </c>
      <c r="AD129" s="5" t="s">
        <v>67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100</v>
      </c>
      <c r="AM129" s="5">
        <v>70</v>
      </c>
      <c r="AN129" s="5">
        <v>20</v>
      </c>
      <c r="AO129" s="5">
        <v>20</v>
      </c>
      <c r="AP129" s="5">
        <v>20</v>
      </c>
      <c r="AQ129" s="5">
        <v>30</v>
      </c>
      <c r="AR129" s="5">
        <v>30</v>
      </c>
      <c r="AS129" s="5">
        <v>0</v>
      </c>
      <c r="AT129" s="5">
        <v>0</v>
      </c>
      <c r="AU129" s="5">
        <v>0</v>
      </c>
      <c r="AV129" s="4" t="s">
        <v>45</v>
      </c>
      <c r="AW129" s="5">
        <v>0</v>
      </c>
      <c r="AX12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2" activePane="bottomLeft" state="frozen"/>
      <selection activeCell="D1" sqref="D1"/>
      <selection pane="bottomLeft" activeCell="C52" sqref="C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ROW()-2+40000</f>
        <v>40000</v>
      </c>
      <c r="B2" s="6">
        <v>40000</v>
      </c>
      <c r="C2" s="6" t="s">
        <v>314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ROW()-2+40000</f>
        <v>40001</v>
      </c>
      <c r="B3" s="3">
        <f t="shared" ref="B3:B10" si="0"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ROW()-2+40000</f>
        <v>40002</v>
      </c>
      <c r="B4" s="3">
        <f t="shared" si="0"/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40003</v>
      </c>
      <c r="B5" s="3">
        <f t="shared" si="0"/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40004</v>
      </c>
      <c r="B6" s="3">
        <f t="shared" si="0"/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40005</v>
      </c>
      <c r="B7" s="3">
        <f t="shared" si="0"/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40006</v>
      </c>
      <c r="B8" s="3">
        <f t="shared" si="0"/>
        <v>40006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40007</v>
      </c>
      <c r="B9" s="3">
        <f t="shared" si="0"/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40008</v>
      </c>
      <c r="B10" s="3">
        <f t="shared" si="0"/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315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2">ROW()-2+40000</f>
        <v>40010</v>
      </c>
      <c r="B12" s="3">
        <f t="shared" ref="B12:B22" si="3"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2"/>
        <v>40011</v>
      </c>
      <c r="B13" s="3">
        <f t="shared" si="3"/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40012</v>
      </c>
      <c r="B14" s="3">
        <f t="shared" si="3"/>
        <v>41003</v>
      </c>
      <c r="C14" s="3" t="s">
        <v>184</v>
      </c>
      <c r="D14" s="3" t="s">
        <v>7</v>
      </c>
      <c r="E14" s="3">
        <v>30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70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2"/>
        <v>40013</v>
      </c>
      <c r="B15" s="3">
        <f t="shared" si="3"/>
        <v>41004</v>
      </c>
      <c r="C15" s="3" t="s">
        <v>7</v>
      </c>
      <c r="D15" s="3" t="s">
        <v>7</v>
      </c>
      <c r="E15" s="3">
        <v>30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70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40014</v>
      </c>
      <c r="B16" s="3">
        <f t="shared" si="3"/>
        <v>41005</v>
      </c>
      <c r="C16" s="3" t="s">
        <v>7</v>
      </c>
      <c r="D16" s="3" t="s">
        <v>7</v>
      </c>
      <c r="E16" s="3">
        <v>30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70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40015</v>
      </c>
      <c r="B17" s="3">
        <f t="shared" si="3"/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110</v>
      </c>
      <c r="H17" s="3">
        <v>80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100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2"/>
        <v>40016</v>
      </c>
      <c r="B18" s="3">
        <f t="shared" si="3"/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80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40017</v>
      </c>
      <c r="B19" s="3">
        <f t="shared" si="3"/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80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2"/>
        <v>40018</v>
      </c>
      <c r="B20" s="3">
        <f t="shared" si="3"/>
        <v>41009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40019</v>
      </c>
      <c r="B21" s="3">
        <f t="shared" si="3"/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40020</v>
      </c>
      <c r="B22" s="3">
        <f t="shared" si="3"/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316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4">ROW()-2+40000</f>
        <v>40022</v>
      </c>
      <c r="B24" s="3">
        <f t="shared" ref="B24:B31" si="5"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40023</v>
      </c>
      <c r="B25" s="3">
        <f t="shared" si="5"/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40024</v>
      </c>
      <c r="B26" s="3">
        <f t="shared" si="5"/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4"/>
        <v>40025</v>
      </c>
      <c r="B27" s="3">
        <f t="shared" si="5"/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40026</v>
      </c>
      <c r="B28" s="3">
        <f t="shared" si="5"/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4"/>
        <v>40027</v>
      </c>
      <c r="B29" s="3">
        <f t="shared" si="5"/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4"/>
        <v>40028</v>
      </c>
      <c r="B30" s="3">
        <f t="shared" si="5"/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4"/>
        <v>40029</v>
      </c>
      <c r="B31" s="3">
        <f t="shared" si="5"/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4"/>
        <v>40030</v>
      </c>
      <c r="B32" s="3">
        <f t="shared" ref="B32:B34" si="6">INDEX(B:B,MATCH(42000,B:B,0),1)+(ROW()-MATCH(42000,B:B,0))</f>
        <v>42009</v>
      </c>
      <c r="C32" s="3" t="s">
        <v>221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4"/>
        <v>40031</v>
      </c>
      <c r="B33" s="3">
        <f t="shared" si="6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4"/>
        <v>40032</v>
      </c>
      <c r="B34" s="3">
        <f t="shared" si="6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4"/>
        <v>40033</v>
      </c>
      <c r="B35" s="3">
        <f t="shared" ref="B35:B67" si="7">INDEX(B:B,MATCH(42000,B:B,0),1)+(ROW()-MATCH(42000,B:B,0))</f>
        <v>42012</v>
      </c>
      <c r="C35" s="3" t="s">
        <v>233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4"/>
        <v>40034</v>
      </c>
      <c r="B36" s="3">
        <f t="shared" si="7"/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4"/>
        <v>40035</v>
      </c>
      <c r="B37" s="3">
        <f t="shared" si="7"/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4"/>
        <v>40036</v>
      </c>
      <c r="B38" s="3">
        <f t="shared" si="7"/>
        <v>42015</v>
      </c>
      <c r="C38" s="3" t="s">
        <v>228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229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4"/>
        <v>40037</v>
      </c>
      <c r="B39" s="3">
        <f t="shared" si="7"/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229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4"/>
        <v>40038</v>
      </c>
      <c r="B40" s="3">
        <f t="shared" si="7"/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229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4"/>
        <v>40039</v>
      </c>
      <c r="B41" s="3">
        <f t="shared" si="7"/>
        <v>42018</v>
      </c>
      <c r="C41" s="3" t="s">
        <v>234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222</v>
      </c>
      <c r="AW41" s="5">
        <v>0</v>
      </c>
      <c r="AX41" s="5">
        <v>0</v>
      </c>
    </row>
    <row r="42" spans="1:50" ht="15.75" customHeight="1" x14ac:dyDescent="0.2">
      <c r="A42" s="3">
        <f t="shared" si="4"/>
        <v>40040</v>
      </c>
      <c r="B42" s="3">
        <f t="shared" si="7"/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222</v>
      </c>
      <c r="AW42" s="5">
        <v>0</v>
      </c>
      <c r="AX42" s="5">
        <v>0</v>
      </c>
    </row>
    <row r="43" spans="1:50" ht="15.75" customHeight="1" x14ac:dyDescent="0.2">
      <c r="A43" s="3">
        <f t="shared" si="4"/>
        <v>40041</v>
      </c>
      <c r="B43" s="3">
        <f t="shared" si="7"/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4"/>
        <v>40042</v>
      </c>
      <c r="B44" s="3">
        <f t="shared" si="7"/>
        <v>42021</v>
      </c>
      <c r="C44" s="3" t="s">
        <v>230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4"/>
        <v>40043</v>
      </c>
      <c r="B45" s="3">
        <f t="shared" si="7"/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4"/>
        <v>40044</v>
      </c>
      <c r="B46" s="3">
        <f t="shared" si="7"/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4"/>
        <v>40045</v>
      </c>
      <c r="B47" s="3">
        <f t="shared" si="7"/>
        <v>42024</v>
      </c>
      <c r="C47" s="3" t="s">
        <v>231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4"/>
        <v>40046</v>
      </c>
      <c r="B48" s="3">
        <f t="shared" si="7"/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4"/>
        <v>40047</v>
      </c>
      <c r="B49" s="3">
        <f t="shared" si="7"/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4"/>
        <v>40048</v>
      </c>
      <c r="B50" s="3">
        <f t="shared" si="7"/>
        <v>42027</v>
      </c>
      <c r="C50" s="3" t="s">
        <v>232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4"/>
        <v>40049</v>
      </c>
      <c r="B51" s="3">
        <f t="shared" si="7"/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4"/>
        <v>40050</v>
      </c>
      <c r="B52" s="3">
        <f t="shared" si="7"/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4"/>
        <v>40051</v>
      </c>
      <c r="B53" s="3">
        <f t="shared" si="7"/>
        <v>42030</v>
      </c>
      <c r="C53" s="3" t="s">
        <v>267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4"/>
        <v>40052</v>
      </c>
      <c r="B54" s="3">
        <f t="shared" si="7"/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4"/>
        <v>40053</v>
      </c>
      <c r="B55" s="3">
        <f t="shared" si="7"/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4"/>
        <v>40054</v>
      </c>
      <c r="B56" s="3">
        <f t="shared" si="7"/>
        <v>42033</v>
      </c>
      <c r="C56" s="3" t="s">
        <v>248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4"/>
        <v>40055</v>
      </c>
      <c r="B57" s="3">
        <f t="shared" si="7"/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4"/>
        <v>40056</v>
      </c>
      <c r="B58" s="3">
        <f t="shared" si="7"/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4"/>
        <v>40057</v>
      </c>
      <c r="B59" s="3">
        <f t="shared" si="7"/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4"/>
        <v>40058</v>
      </c>
      <c r="B60" s="3">
        <f t="shared" si="7"/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4"/>
        <v>40059</v>
      </c>
      <c r="B61" s="3">
        <f t="shared" si="7"/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4"/>
        <v>40060</v>
      </c>
      <c r="B62" s="3">
        <f t="shared" si="7"/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4"/>
        <v>40061</v>
      </c>
      <c r="B63" s="3">
        <f t="shared" si="7"/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4"/>
        <v>40062</v>
      </c>
      <c r="B64" s="3">
        <f t="shared" si="7"/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4"/>
        <v>40063</v>
      </c>
      <c r="B65" s="3">
        <f t="shared" si="7"/>
        <v>42042</v>
      </c>
      <c r="C65" s="3" t="s">
        <v>223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4"/>
        <v>40064</v>
      </c>
      <c r="B66" s="3">
        <f t="shared" si="7"/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4"/>
        <v>40065</v>
      </c>
      <c r="B67" s="3">
        <f t="shared" si="7"/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B20" sqref="B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ROW()-2+50000</f>
        <v>50000</v>
      </c>
      <c r="B2" s="6">
        <v>50000</v>
      </c>
      <c r="C2" s="6" t="s">
        <v>319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ROW()-2+50000</f>
        <v>50001</v>
      </c>
      <c r="B3" s="3">
        <f t="shared" ref="B3:B13" si="0"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ROW()-2+50000</f>
        <v>50002</v>
      </c>
      <c r="B4" s="3">
        <f t="shared" si="0"/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50003</v>
      </c>
      <c r="B5" s="3">
        <f t="shared" si="0"/>
        <v>50003</v>
      </c>
      <c r="C5" s="3" t="s">
        <v>230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50004</v>
      </c>
      <c r="B6" s="3">
        <f t="shared" si="0"/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50005</v>
      </c>
      <c r="B7" s="3">
        <f t="shared" si="0"/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50006</v>
      </c>
      <c r="B8" s="3">
        <f t="shared" si="0"/>
        <v>50006</v>
      </c>
      <c r="C8" s="3" t="s">
        <v>231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50007</v>
      </c>
      <c r="B9" s="3">
        <f t="shared" si="0"/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50008</v>
      </c>
      <c r="B10" s="3">
        <f t="shared" si="0"/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50009</v>
      </c>
      <c r="B11" s="3">
        <f t="shared" si="0"/>
        <v>50009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50010</v>
      </c>
      <c r="B12" s="3">
        <f t="shared" si="0"/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50011</v>
      </c>
      <c r="B13" s="3">
        <f t="shared" si="0"/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318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2">ROW()-2+50000</f>
        <v>50013</v>
      </c>
      <c r="B15" s="3">
        <f t="shared" ref="B15:B22" si="3"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2"/>
        <v>50014</v>
      </c>
      <c r="B16" s="3">
        <f t="shared" si="3"/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2"/>
        <v>50015</v>
      </c>
      <c r="B17" s="3">
        <f t="shared" si="3"/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50016</v>
      </c>
      <c r="B18" s="3">
        <f t="shared" si="3"/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50017</v>
      </c>
      <c r="B19" s="3">
        <f t="shared" si="3"/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2"/>
        <v>50018</v>
      </c>
      <c r="B20" s="3">
        <f t="shared" si="3"/>
        <v>51006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50019</v>
      </c>
      <c r="B21" s="3">
        <f t="shared" si="3"/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50020</v>
      </c>
      <c r="B22" s="3">
        <f t="shared" si="3"/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20" customFormat="1" ht="15.75" customHeight="1" x14ac:dyDescent="0.2">
      <c r="A23" s="17">
        <f>ROW()-2+50000</f>
        <v>50021</v>
      </c>
      <c r="B23" s="17">
        <v>52000</v>
      </c>
      <c r="C23" s="17" t="s">
        <v>317</v>
      </c>
      <c r="D23" s="17" t="s">
        <v>7</v>
      </c>
      <c r="E23" s="17">
        <v>30</v>
      </c>
      <c r="F23" s="17">
        <v>0</v>
      </c>
      <c r="G23" s="17">
        <v>80</v>
      </c>
      <c r="H23" s="17">
        <v>200</v>
      </c>
      <c r="I23" s="17">
        <v>0</v>
      </c>
      <c r="J23" s="17">
        <v>0</v>
      </c>
      <c r="K23" s="17">
        <v>0</v>
      </c>
      <c r="L23" s="17">
        <v>100</v>
      </c>
      <c r="M23" s="17">
        <v>0</v>
      </c>
      <c r="N23" s="17">
        <v>0</v>
      </c>
      <c r="O23" s="17">
        <v>0</v>
      </c>
      <c r="P23" s="17">
        <v>0</v>
      </c>
      <c r="Q23" s="17">
        <v>70</v>
      </c>
      <c r="R23" s="17">
        <v>0</v>
      </c>
      <c r="S23" s="17">
        <v>30</v>
      </c>
      <c r="T23" s="17">
        <v>30</v>
      </c>
      <c r="U23" s="17">
        <v>30</v>
      </c>
      <c r="V23" s="17">
        <v>30</v>
      </c>
      <c r="W23" s="17">
        <v>30</v>
      </c>
      <c r="X23" s="17">
        <v>30</v>
      </c>
      <c r="Y23" s="17">
        <v>30</v>
      </c>
      <c r="Z23" s="17">
        <v>30</v>
      </c>
      <c r="AA23" s="17">
        <v>30</v>
      </c>
      <c r="AB23" s="17">
        <v>30</v>
      </c>
      <c r="AC23" s="18" t="s">
        <v>70</v>
      </c>
      <c r="AD23" s="18" t="s">
        <v>7</v>
      </c>
      <c r="AE23" s="18" t="s">
        <v>7</v>
      </c>
      <c r="AF23" s="18" t="s">
        <v>7</v>
      </c>
      <c r="AG23" s="18" t="s">
        <v>7</v>
      </c>
      <c r="AH23" s="18" t="s">
        <v>7</v>
      </c>
      <c r="AI23" s="18" t="s">
        <v>7</v>
      </c>
      <c r="AJ23" s="18" t="s">
        <v>7</v>
      </c>
      <c r="AK23" s="18" t="s">
        <v>7</v>
      </c>
      <c r="AL23" s="18">
        <v>20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9" t="s">
        <v>147</v>
      </c>
      <c r="AW23" s="18">
        <v>0</v>
      </c>
      <c r="AX23" s="18">
        <v>0</v>
      </c>
    </row>
    <row r="24" spans="1:50" ht="15.75" customHeight="1" x14ac:dyDescent="0.2">
      <c r="A24" s="3">
        <f t="shared" ref="A24:A28" si="4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50024</v>
      </c>
      <c r="B26" s="3">
        <f>INDEX(B:B,MATCH(52000,B:B,0),1)+(ROW()-MATCH(52000,B:B,0))</f>
        <v>52003</v>
      </c>
      <c r="C26" s="3" t="s">
        <v>223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4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ROW()-2+100000</f>
        <v>100000</v>
      </c>
      <c r="B2" s="6">
        <v>100000</v>
      </c>
      <c r="C2" s="11" t="s">
        <v>203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20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20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20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218</v>
      </c>
      <c r="E8" s="3">
        <v>20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20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20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50</v>
      </c>
      <c r="K14" s="3">
        <v>0</v>
      </c>
      <c r="L14" s="3">
        <v>0</v>
      </c>
      <c r="M14" s="3">
        <v>100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50</v>
      </c>
      <c r="K15" s="3">
        <v>0</v>
      </c>
      <c r="L15" s="3">
        <v>0</v>
      </c>
      <c r="M15" s="3">
        <v>100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50</v>
      </c>
      <c r="K16" s="3">
        <v>0</v>
      </c>
      <c r="L16" s="3">
        <v>0</v>
      </c>
      <c r="M16" s="3">
        <v>150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ROW()-2+101000</f>
        <v>101000</v>
      </c>
      <c r="B2" s="6">
        <v>101000</v>
      </c>
      <c r="C2" s="11" t="s">
        <v>220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ROW()-2+102000</f>
        <v>102000</v>
      </c>
      <c r="B2" s="12">
        <v>102000</v>
      </c>
      <c r="C2" s="13" t="s">
        <v>219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R34" sqref="R3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ROW()-2+103000</f>
        <v>103000</v>
      </c>
      <c r="B2" s="6">
        <v>103000</v>
      </c>
      <c r="C2" s="11" t="s">
        <v>204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40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40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60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40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40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40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40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60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40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40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60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40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60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40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40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60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215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40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207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207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60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207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216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40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40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60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217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40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207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207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207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223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D16" sqref="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ROW()-2+104000</f>
        <v>104000</v>
      </c>
      <c r="B2" s="6">
        <v>104000</v>
      </c>
      <c r="C2" s="6" t="s">
        <v>205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ROW()-2+104000</f>
        <v>104001</v>
      </c>
      <c r="B3" s="3">
        <f t="shared" ref="B3:B16" si="0"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ROW()-2+104000</f>
        <v>104002</v>
      </c>
      <c r="B4" s="3">
        <f t="shared" si="0"/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104003</v>
      </c>
      <c r="B5" s="3">
        <f t="shared" si="0"/>
        <v>104003</v>
      </c>
      <c r="C5" s="3" t="s">
        <v>7</v>
      </c>
      <c r="D5" s="3" t="s">
        <v>327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104004</v>
      </c>
      <c r="B6" s="3">
        <f t="shared" si="0"/>
        <v>104004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104005</v>
      </c>
      <c r="B7" s="3">
        <f t="shared" si="0"/>
        <v>104005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104006</v>
      </c>
      <c r="B8" s="3">
        <f t="shared" si="0"/>
        <v>104006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90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104007</v>
      </c>
      <c r="B9" s="3">
        <f t="shared" si="0"/>
        <v>104007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104008</v>
      </c>
      <c r="B10" s="3">
        <f t="shared" si="0"/>
        <v>104008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104009</v>
      </c>
      <c r="B11" s="3">
        <f t="shared" si="0"/>
        <v>104009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104010</v>
      </c>
      <c r="B12" s="3">
        <f t="shared" si="0"/>
        <v>104010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104011</v>
      </c>
      <c r="B13" s="3">
        <f t="shared" si="0"/>
        <v>104011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104012</v>
      </c>
      <c r="B14" s="3">
        <f t="shared" si="0"/>
        <v>104012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104013</v>
      </c>
      <c r="B15" s="3">
        <f t="shared" si="0"/>
        <v>104013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104014</v>
      </c>
      <c r="B16" s="3">
        <f t="shared" si="0"/>
        <v>104014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104015</v>
      </c>
      <c r="B17" s="3">
        <f t="shared" ref="B17:B19" si="2">INDEX(B:B,MATCH(104000,B:B,0),1)+(ROW()-MATCH(104000,B:B,0))</f>
        <v>104015</v>
      </c>
      <c r="C17" s="3" t="s">
        <v>7</v>
      </c>
      <c r="D17" s="3" t="s">
        <v>326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104016</v>
      </c>
      <c r="B18" s="3">
        <f t="shared" si="2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273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104017</v>
      </c>
      <c r="B19" s="3">
        <f t="shared" si="2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273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104018</v>
      </c>
      <c r="B20" s="3">
        <f t="shared" ref="B20:B31" si="3">INDEX(B:B,MATCH(104000,B:B,0),1)+(ROW()-MATCH(104000,B:B,0))</f>
        <v>104018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50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104019</v>
      </c>
      <c r="B21" s="3">
        <f t="shared" si="3"/>
        <v>104019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50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104020</v>
      </c>
      <c r="B22" s="3">
        <f t="shared" si="3"/>
        <v>104020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70</v>
      </c>
      <c r="N22" s="3">
        <v>0</v>
      </c>
      <c r="O22" s="3">
        <v>0</v>
      </c>
      <c r="P22" s="3">
        <v>0</v>
      </c>
      <c r="Q22" s="3">
        <v>110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104021</v>
      </c>
      <c r="B23" s="3">
        <f t="shared" si="3"/>
        <v>104021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104022</v>
      </c>
      <c r="B24" s="3">
        <f t="shared" si="3"/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104023</v>
      </c>
      <c r="B25" s="3">
        <f t="shared" si="3"/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104024</v>
      </c>
      <c r="B26" s="3">
        <f t="shared" si="3"/>
        <v>104024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75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104025</v>
      </c>
      <c r="B27" s="3">
        <f t="shared" si="3"/>
        <v>104025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75</v>
      </c>
      <c r="Q27" s="3">
        <v>65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104026</v>
      </c>
      <c r="B28" s="3">
        <f t="shared" si="3"/>
        <v>104026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75</v>
      </c>
      <c r="Q28" s="3">
        <v>65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104027</v>
      </c>
      <c r="B29" s="3">
        <f t="shared" si="3"/>
        <v>104027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104028</v>
      </c>
      <c r="B30" s="3">
        <f t="shared" si="3"/>
        <v>104028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104029</v>
      </c>
      <c r="B31" s="3">
        <f t="shared" si="3"/>
        <v>104029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ROW()-2+105000</f>
        <v>105000</v>
      </c>
      <c r="B2" s="6">
        <v>105000</v>
      </c>
      <c r="C2" s="6" t="s">
        <v>206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 t="shared" ref="B5:B7" si="1">INDEX(B:B,MATCH(105000,B:B,0),1)+(ROW()-MATCH(105000,B:B,0))</f>
        <v>105003</v>
      </c>
      <c r="C5" s="3" t="s">
        <v>7</v>
      </c>
      <c r="D5" s="3" t="s">
        <v>327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 t="shared" si="1"/>
        <v>105004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 t="shared" si="1"/>
        <v>105005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 t="shared" ref="B8:B31" si="2">INDEX(B:B,MATCH(105000,B:B,0),1)+(ROW()-MATCH(105000,B:B,0))</f>
        <v>105006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70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 t="shared" si="2"/>
        <v>105007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130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70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-50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 t="shared" si="2"/>
        <v>105008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70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-50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 t="shared" si="2"/>
        <v>105009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 t="shared" si="2"/>
        <v>105010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 t="shared" si="2"/>
        <v>105011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 t="shared" si="2"/>
        <v>105012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120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 t="shared" si="2"/>
        <v>105013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110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160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 t="shared" si="2"/>
        <v>105014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140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 t="shared" si="2"/>
        <v>105015</v>
      </c>
      <c r="C17" s="3" t="s">
        <v>7</v>
      </c>
      <c r="D17" s="3" t="s">
        <v>326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 t="shared" si="2"/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273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 t="shared" si="2"/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273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 t="shared" si="2"/>
        <v>105018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80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 t="shared" si="2"/>
        <v>105019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80</v>
      </c>
      <c r="N21" s="3">
        <v>0</v>
      </c>
      <c r="O21" s="3">
        <v>0</v>
      </c>
      <c r="P21" s="3">
        <v>0</v>
      </c>
      <c r="Q21" s="3">
        <v>110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 t="shared" si="2"/>
        <v>105020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130</v>
      </c>
      <c r="N22" s="3">
        <v>0</v>
      </c>
      <c r="O22" s="3">
        <v>0</v>
      </c>
      <c r="P22" s="3">
        <v>0</v>
      </c>
      <c r="Q22" s="3">
        <v>90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 t="shared" si="2"/>
        <v>105021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 t="shared" si="2"/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 t="shared" si="2"/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105024</v>
      </c>
      <c r="B26" s="3">
        <f t="shared" si="2"/>
        <v>105024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110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105025</v>
      </c>
      <c r="B27" s="3">
        <f t="shared" si="2"/>
        <v>105025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110</v>
      </c>
      <c r="Q27" s="3">
        <v>85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105026</v>
      </c>
      <c r="B28" s="3">
        <f t="shared" si="2"/>
        <v>105026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120</v>
      </c>
      <c r="Q28" s="3">
        <v>75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105027</v>
      </c>
      <c r="B29" s="3">
        <f t="shared" si="2"/>
        <v>105027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105028</v>
      </c>
      <c r="B30" s="3">
        <f t="shared" si="2"/>
        <v>105028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105029</v>
      </c>
      <c r="B31" s="3">
        <f t="shared" si="2"/>
        <v>105029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2" activePane="bottomLeft" state="frozen"/>
      <selection activeCell="D1" sqref="D1"/>
      <selection pane="bottomLeft" activeCell="A29" sqref="A29:XFD3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ROW()-2+106000</f>
        <v>106000</v>
      </c>
      <c r="B2" s="6">
        <v>106000</v>
      </c>
      <c r="C2" s="6" t="s">
        <v>227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ROW()-2+106000</f>
        <v>106001</v>
      </c>
      <c r="B3" s="3">
        <f t="shared" ref="B3:B46" si="0"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1">ROW()-2+106000</f>
        <v>106002</v>
      </c>
      <c r="B4" s="3">
        <f t="shared" si="0"/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106003</v>
      </c>
      <c r="B5" s="3">
        <f t="shared" si="0"/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106004</v>
      </c>
      <c r="B6" s="3">
        <f t="shared" si="0"/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106005</v>
      </c>
      <c r="B7" s="3">
        <f t="shared" si="0"/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106006</v>
      </c>
      <c r="B8" s="3">
        <f t="shared" si="0"/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106007</v>
      </c>
      <c r="B9" s="3">
        <f t="shared" si="0"/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106008</v>
      </c>
      <c r="B10" s="3">
        <f t="shared" si="0"/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106009</v>
      </c>
      <c r="B11" s="3">
        <f t="shared" si="0"/>
        <v>106009</v>
      </c>
      <c r="C11" s="3" t="s">
        <v>233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106010</v>
      </c>
      <c r="B12" s="3">
        <f t="shared" si="0"/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106011</v>
      </c>
      <c r="B13" s="3">
        <f t="shared" si="0"/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106012</v>
      </c>
      <c r="B14" s="3">
        <f t="shared" si="0"/>
        <v>106012</v>
      </c>
      <c r="C14" s="3" t="s">
        <v>228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229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106013</v>
      </c>
      <c r="B15" s="3">
        <f t="shared" si="0"/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229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106014</v>
      </c>
      <c r="B16" s="3">
        <f t="shared" si="0"/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229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106015</v>
      </c>
      <c r="B17" s="3">
        <f t="shared" si="0"/>
        <v>106015</v>
      </c>
      <c r="C17" s="3" t="s">
        <v>234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229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106016</v>
      </c>
      <c r="B18" s="3">
        <f t="shared" si="0"/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229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106017</v>
      </c>
      <c r="B19" s="3">
        <f t="shared" si="0"/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229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106018</v>
      </c>
      <c r="B20" s="3">
        <f t="shared" si="0"/>
        <v>106018</v>
      </c>
      <c r="C20" s="3" t="s">
        <v>230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106019</v>
      </c>
      <c r="B21" s="3">
        <f t="shared" si="0"/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106020</v>
      </c>
      <c r="B22" s="3">
        <f t="shared" si="0"/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106021</v>
      </c>
      <c r="B23" s="3">
        <f t="shared" si="0"/>
        <v>106021</v>
      </c>
      <c r="C23" s="3" t="s">
        <v>231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106022</v>
      </c>
      <c r="B24" s="3">
        <f t="shared" si="0"/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106023</v>
      </c>
      <c r="B25" s="3">
        <f t="shared" si="0"/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106024</v>
      </c>
      <c r="B26" s="3">
        <f t="shared" si="0"/>
        <v>106024</v>
      </c>
      <c r="C26" s="3" t="s">
        <v>232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106025</v>
      </c>
      <c r="B27" s="3">
        <f t="shared" si="0"/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106026</v>
      </c>
      <c r="B28" s="3">
        <f t="shared" si="0"/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106027</v>
      </c>
      <c r="B29" s="3">
        <f t="shared" si="0"/>
        <v>106027</v>
      </c>
      <c r="C29" s="3" t="s">
        <v>267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106028</v>
      </c>
      <c r="B30" s="3">
        <f t="shared" si="0"/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106029</v>
      </c>
      <c r="B31" s="3">
        <f t="shared" si="0"/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106030</v>
      </c>
      <c r="B32" s="3">
        <f t="shared" si="0"/>
        <v>106030</v>
      </c>
      <c r="C32" s="3" t="s">
        <v>7</v>
      </c>
      <c r="D32" s="3" t="s">
        <v>236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229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235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106031</v>
      </c>
      <c r="B33" s="3">
        <f t="shared" si="0"/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229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235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106032</v>
      </c>
      <c r="B34" s="3">
        <f t="shared" si="0"/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229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235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106033</v>
      </c>
      <c r="B35" s="3">
        <f t="shared" si="0"/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106034</v>
      </c>
      <c r="B36" s="3">
        <f t="shared" si="0"/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106035</v>
      </c>
      <c r="B37" s="3">
        <f t="shared" si="0"/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106036</v>
      </c>
      <c r="B38" s="3">
        <f t="shared" si="0"/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106037</v>
      </c>
      <c r="B39" s="3">
        <f t="shared" si="0"/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106038</v>
      </c>
      <c r="B40" s="3">
        <f t="shared" si="0"/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106039</v>
      </c>
      <c r="B41" s="3">
        <f t="shared" si="0"/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106040</v>
      </c>
      <c r="B42" s="3">
        <f t="shared" si="0"/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106041</v>
      </c>
      <c r="B43" s="3">
        <f t="shared" si="0"/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106042</v>
      </c>
      <c r="B44" s="3">
        <f t="shared" si="0"/>
        <v>106042</v>
      </c>
      <c r="C44" s="3" t="s">
        <v>223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106043</v>
      </c>
      <c r="B45" s="3">
        <f t="shared" si="0"/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106044</v>
      </c>
      <c r="B46" s="3">
        <f t="shared" si="0"/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8" sqref="D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ROW()-2+107000</f>
        <v>107000</v>
      </c>
      <c r="B2" s="6">
        <v>107000</v>
      </c>
      <c r="C2" s="6" t="s">
        <v>237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211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Q11" sqref="Q1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ROW()-2+120000</f>
        <v>120000</v>
      </c>
      <c r="B2" s="6">
        <v>120000</v>
      </c>
      <c r="C2" s="6" t="s">
        <v>239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ROW()-2+120000</f>
        <v>120002</v>
      </c>
      <c r="B4" s="3">
        <f t="shared" ref="B4:B16" si="1"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 t="shared" si="1"/>
        <v>120003</v>
      </c>
      <c r="C5" s="3" t="s">
        <v>7</v>
      </c>
      <c r="D5" s="3" t="s">
        <v>71</v>
      </c>
      <c r="E5" s="3">
        <v>0</v>
      </c>
      <c r="F5" s="3">
        <v>0</v>
      </c>
      <c r="G5" s="3">
        <v>110</v>
      </c>
      <c r="H5" s="3">
        <v>0</v>
      </c>
      <c r="I5" s="3">
        <v>30</v>
      </c>
      <c r="J5" s="3">
        <v>0</v>
      </c>
      <c r="K5" s="3">
        <v>0</v>
      </c>
      <c r="L5" s="3">
        <v>60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25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 t="shared" si="1"/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0</v>
      </c>
      <c r="I6" s="3">
        <v>30</v>
      </c>
      <c r="J6" s="3">
        <v>0</v>
      </c>
      <c r="K6" s="3">
        <v>0</v>
      </c>
      <c r="L6" s="3">
        <v>50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65</v>
      </c>
      <c r="AE6" s="5" t="s">
        <v>73</v>
      </c>
      <c r="AF6" s="5" t="s">
        <v>72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25</v>
      </c>
      <c r="AM6" s="5">
        <v>30</v>
      </c>
      <c r="AN6" s="5">
        <v>30</v>
      </c>
      <c r="AO6" s="5">
        <v>10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 t="shared" si="1"/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0</v>
      </c>
      <c r="I7" s="3">
        <v>30</v>
      </c>
      <c r="J7" s="3">
        <v>0</v>
      </c>
      <c r="K7" s="3">
        <v>0</v>
      </c>
      <c r="L7" s="3">
        <v>70</v>
      </c>
      <c r="M7" s="3">
        <v>0</v>
      </c>
      <c r="N7" s="3">
        <v>0</v>
      </c>
      <c r="O7" s="3">
        <v>0</v>
      </c>
      <c r="P7" s="3">
        <v>0</v>
      </c>
      <c r="Q7" s="3">
        <v>130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25</v>
      </c>
      <c r="AM7" s="5">
        <v>20</v>
      </c>
      <c r="AN7" s="5">
        <v>20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si="1"/>
        <v>120006</v>
      </c>
      <c r="C8" s="3" t="s">
        <v>7</v>
      </c>
      <c r="D8" s="3" t="s">
        <v>56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230</v>
      </c>
      <c r="M8" s="3">
        <v>90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62</v>
      </c>
      <c r="AD8" s="5" t="s">
        <v>37</v>
      </c>
      <c r="AE8" s="5" t="s">
        <v>22</v>
      </c>
      <c r="AF8" s="5" t="s">
        <v>7</v>
      </c>
      <c r="AG8" s="5" t="s">
        <v>128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20</v>
      </c>
      <c r="AN8" s="5">
        <v>30</v>
      </c>
      <c r="AO8" s="5">
        <v>0</v>
      </c>
      <c r="AP8" s="5">
        <v>50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230</v>
      </c>
      <c r="M9" s="3">
        <v>90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62</v>
      </c>
      <c r="AD9" s="5" t="s">
        <v>37</v>
      </c>
      <c r="AE9" s="5" t="s">
        <v>22</v>
      </c>
      <c r="AF9" s="5" t="s">
        <v>72</v>
      </c>
      <c r="AG9" s="5" t="s">
        <v>128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20</v>
      </c>
      <c r="AN9" s="5">
        <v>30</v>
      </c>
      <c r="AO9" s="5">
        <v>50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260</v>
      </c>
      <c r="M10" s="3">
        <v>110</v>
      </c>
      <c r="N10" s="3">
        <v>0</v>
      </c>
      <c r="O10" s="3">
        <v>0</v>
      </c>
      <c r="P10" s="3">
        <v>0</v>
      </c>
      <c r="Q10" s="3">
        <v>130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30</v>
      </c>
      <c r="AO10" s="5">
        <v>0</v>
      </c>
      <c r="AP10" s="5">
        <v>50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7</v>
      </c>
      <c r="D11" s="3" t="s">
        <v>112</v>
      </c>
      <c r="E11" s="3">
        <v>0</v>
      </c>
      <c r="F11" s="3">
        <v>0</v>
      </c>
      <c r="G11" s="3">
        <v>330</v>
      </c>
      <c r="H11" s="3">
        <v>40</v>
      </c>
      <c r="I11" s="3">
        <v>110</v>
      </c>
      <c r="J11" s="3">
        <v>0</v>
      </c>
      <c r="K11" s="3">
        <v>120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70</v>
      </c>
      <c r="AD11" s="5" t="s">
        <v>65</v>
      </c>
      <c r="AE11" s="5" t="s">
        <v>73</v>
      </c>
      <c r="AF11" s="5" t="s">
        <v>130</v>
      </c>
      <c r="AG11" s="5" t="s">
        <v>128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15</v>
      </c>
      <c r="AM11" s="5">
        <v>30</v>
      </c>
      <c r="AN11" s="5">
        <v>30</v>
      </c>
      <c r="AO11" s="5">
        <v>30</v>
      </c>
      <c r="AP11" s="5">
        <v>50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330</v>
      </c>
      <c r="H12" s="3">
        <v>40</v>
      </c>
      <c r="I12" s="3">
        <v>110</v>
      </c>
      <c r="J12" s="3">
        <v>0</v>
      </c>
      <c r="K12" s="3">
        <v>80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65</v>
      </c>
      <c r="AE12" s="5" t="s">
        <v>73</v>
      </c>
      <c r="AF12" s="5" t="s">
        <v>72</v>
      </c>
      <c r="AG12" s="5" t="s">
        <v>39</v>
      </c>
      <c r="AH12" s="5" t="s">
        <v>130</v>
      </c>
      <c r="AI12" s="5" t="s">
        <v>128</v>
      </c>
      <c r="AJ12" s="5" t="s">
        <v>7</v>
      </c>
      <c r="AK12" s="5" t="s">
        <v>7</v>
      </c>
      <c r="AL12" s="5">
        <v>15</v>
      </c>
      <c r="AM12" s="5">
        <v>30</v>
      </c>
      <c r="AN12" s="5">
        <v>30</v>
      </c>
      <c r="AO12" s="5">
        <v>10</v>
      </c>
      <c r="AP12" s="5">
        <v>10</v>
      </c>
      <c r="AQ12" s="5">
        <v>30</v>
      </c>
      <c r="AR12" s="5">
        <v>50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330</v>
      </c>
      <c r="H13" s="3">
        <v>40</v>
      </c>
      <c r="I13" s="3">
        <v>110</v>
      </c>
      <c r="J13" s="3">
        <v>0</v>
      </c>
      <c r="K13" s="3">
        <v>160</v>
      </c>
      <c r="L13" s="3">
        <v>110</v>
      </c>
      <c r="M13" s="3">
        <v>0</v>
      </c>
      <c r="N13" s="3">
        <v>0</v>
      </c>
      <c r="O13" s="3">
        <v>0</v>
      </c>
      <c r="P13" s="3">
        <v>0</v>
      </c>
      <c r="Q13" s="3">
        <v>180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65</v>
      </c>
      <c r="AE13" s="5" t="s">
        <v>73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15</v>
      </c>
      <c r="AM13" s="5">
        <v>20</v>
      </c>
      <c r="AN13" s="5">
        <v>20</v>
      </c>
      <c r="AO13" s="5">
        <v>30</v>
      </c>
      <c r="AP13" s="5">
        <v>50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ROW()-2+121000</f>
        <v>121000</v>
      </c>
      <c r="B2" s="6">
        <v>121000</v>
      </c>
      <c r="C2" s="6" t="s">
        <v>240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ROW()-2+121000</f>
        <v>121001</v>
      </c>
      <c r="B3" s="3">
        <f t="shared" ref="B3:B10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7</v>
      </c>
      <c r="D5" s="3" t="s">
        <v>174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202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20</v>
      </c>
      <c r="AO5" s="5">
        <v>60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202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20</v>
      </c>
      <c r="AO6" s="5">
        <v>60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80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202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20</v>
      </c>
      <c r="AO7" s="5">
        <v>60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7</v>
      </c>
      <c r="D8" s="3" t="s">
        <v>241</v>
      </c>
      <c r="E8" s="3">
        <v>30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90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209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30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90</v>
      </c>
      <c r="Q9" s="3">
        <v>55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209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30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55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209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ref="B11:B13" si="2">INDEX(B:B,MATCH(121000,B:B,0),1)+(ROW()-MATCH(121000,B:B,0))</f>
        <v>121009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2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2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ROW()-2+122000</f>
        <v>122000</v>
      </c>
      <c r="B2" s="6">
        <v>122000</v>
      </c>
      <c r="C2" s="6" t="s">
        <v>242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210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243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209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241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A14" sqref="A14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ROW()-2+123000</f>
        <v>123000</v>
      </c>
      <c r="B2" s="6">
        <v>123000</v>
      </c>
      <c r="C2" s="6" t="s">
        <v>244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ROW()-2+123000</f>
        <v>123001</v>
      </c>
      <c r="B3" s="3">
        <f t="shared" ref="B3:B13" si="0"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1">ROW()-2+123000</f>
        <v>123002</v>
      </c>
      <c r="B4" s="3">
        <f t="shared" si="0"/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123003</v>
      </c>
      <c r="B5" s="3">
        <f t="shared" si="0"/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123004</v>
      </c>
      <c r="B6" s="3">
        <f t="shared" si="0"/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123005</v>
      </c>
      <c r="B7" s="3">
        <f t="shared" si="0"/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123006</v>
      </c>
      <c r="B8" s="3">
        <f t="shared" si="0"/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123007</v>
      </c>
      <c r="B9" s="3">
        <f t="shared" si="0"/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123008</v>
      </c>
      <c r="B10" s="3">
        <f t="shared" si="0"/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123009</v>
      </c>
      <c r="B11" s="3">
        <f t="shared" si="0"/>
        <v>123009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123010</v>
      </c>
      <c r="B12" s="3">
        <f t="shared" si="0"/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123011</v>
      </c>
      <c r="B13" s="3">
        <f t="shared" si="0"/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123012</v>
      </c>
      <c r="B14" s="3">
        <f t="shared" ref="B14:B16" si="2">INDEX(B:B,MATCH(123000,B:B,0),1)+(ROW()-MATCH(123000,B:B,0))</f>
        <v>123012</v>
      </c>
      <c r="C14" s="3" t="s">
        <v>221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123013</v>
      </c>
      <c r="B15" s="3">
        <f t="shared" si="2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123014</v>
      </c>
      <c r="B16" s="3">
        <f t="shared" si="2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123015</v>
      </c>
      <c r="B17" s="3">
        <f t="shared" ref="B17:B48" si="3">INDEX(B:B,MATCH(123000,B:B,0),1)+(ROW()-MATCH(123000,B:B,0))</f>
        <v>123015</v>
      </c>
      <c r="C17" s="3" t="s">
        <v>233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123016</v>
      </c>
      <c r="B18" s="3">
        <f t="shared" si="3"/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123017</v>
      </c>
      <c r="B19" s="3">
        <f t="shared" si="3"/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123018</v>
      </c>
      <c r="B20" s="3">
        <f t="shared" si="3"/>
        <v>123018</v>
      </c>
      <c r="C20" s="3" t="s">
        <v>228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229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123019</v>
      </c>
      <c r="B21" s="3">
        <f t="shared" si="3"/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229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123020</v>
      </c>
      <c r="B22" s="3">
        <f t="shared" si="3"/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229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123021</v>
      </c>
      <c r="B23" s="3">
        <f t="shared" si="3"/>
        <v>123021</v>
      </c>
      <c r="C23" s="3" t="s">
        <v>234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229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123022</v>
      </c>
      <c r="B24" s="3">
        <f t="shared" si="3"/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229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123023</v>
      </c>
      <c r="B25" s="3">
        <f t="shared" si="3"/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229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123024</v>
      </c>
      <c r="B26" s="3">
        <f t="shared" si="3"/>
        <v>123024</v>
      </c>
      <c r="C26" s="3" t="s">
        <v>230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123025</v>
      </c>
      <c r="B27" s="3">
        <f t="shared" si="3"/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123026</v>
      </c>
      <c r="B28" s="3">
        <f t="shared" si="3"/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123027</v>
      </c>
      <c r="B29" s="3">
        <f t="shared" si="3"/>
        <v>123027</v>
      </c>
      <c r="C29" s="3" t="s">
        <v>231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123028</v>
      </c>
      <c r="B30" s="3">
        <f t="shared" si="3"/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123029</v>
      </c>
      <c r="B31" s="3">
        <f t="shared" si="3"/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123030</v>
      </c>
      <c r="B32" s="3">
        <f t="shared" si="3"/>
        <v>123030</v>
      </c>
      <c r="C32" s="3" t="s">
        <v>232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123031</v>
      </c>
      <c r="B33" s="3">
        <f t="shared" si="3"/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123032</v>
      </c>
      <c r="B34" s="3">
        <f t="shared" si="3"/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123033</v>
      </c>
      <c r="B35" s="3">
        <f t="shared" si="3"/>
        <v>123033</v>
      </c>
      <c r="C35" s="3" t="s">
        <v>267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123034</v>
      </c>
      <c r="B36" s="3">
        <f t="shared" si="3"/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123035</v>
      </c>
      <c r="B37" s="3">
        <f t="shared" si="3"/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123036</v>
      </c>
      <c r="B38" s="3">
        <f t="shared" si="3"/>
        <v>123036</v>
      </c>
      <c r="C38" s="3" t="s">
        <v>248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123037</v>
      </c>
      <c r="B39" s="3">
        <f t="shared" si="3"/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123038</v>
      </c>
      <c r="B40" s="3">
        <f t="shared" si="3"/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123039</v>
      </c>
      <c r="B41" s="3">
        <f t="shared" si="3"/>
        <v>123039</v>
      </c>
      <c r="C41" s="3" t="s">
        <v>249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250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251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123040</v>
      </c>
      <c r="B42" s="3">
        <f t="shared" si="3"/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250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251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123041</v>
      </c>
      <c r="B43" s="3">
        <f t="shared" si="3"/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250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251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123042</v>
      </c>
      <c r="B44" s="3">
        <f t="shared" si="3"/>
        <v>123042</v>
      </c>
      <c r="C44" s="3" t="s">
        <v>252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123043</v>
      </c>
      <c r="B45" s="3">
        <f t="shared" si="3"/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253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123044</v>
      </c>
      <c r="B46" s="3">
        <f t="shared" si="3"/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253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123045</v>
      </c>
      <c r="B47" s="3">
        <f t="shared" si="3"/>
        <v>123045</v>
      </c>
      <c r="C47" s="3" t="s">
        <v>254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123046</v>
      </c>
      <c r="B48" s="3">
        <f t="shared" si="3"/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253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123047</v>
      </c>
      <c r="B49" s="3">
        <f t="shared" ref="B49:B80" si="4"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253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123048</v>
      </c>
      <c r="B50" s="3">
        <f t="shared" si="4"/>
        <v>123048</v>
      </c>
      <c r="C50" s="3" t="s">
        <v>255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225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123049</v>
      </c>
      <c r="B51" s="3">
        <f t="shared" si="4"/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123050</v>
      </c>
      <c r="B52" s="3">
        <f t="shared" si="4"/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123051</v>
      </c>
      <c r="B53" s="3">
        <f t="shared" si="4"/>
        <v>123051</v>
      </c>
      <c r="C53" s="3" t="s">
        <v>256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225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123052</v>
      </c>
      <c r="B54" s="3">
        <f t="shared" si="4"/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123053</v>
      </c>
      <c r="B55" s="3">
        <f t="shared" si="4"/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123054</v>
      </c>
      <c r="B56" s="3">
        <f t="shared" si="4"/>
        <v>123054</v>
      </c>
      <c r="C56" s="3" t="s">
        <v>7</v>
      </c>
      <c r="D56" s="3" t="s">
        <v>236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229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235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123055</v>
      </c>
      <c r="B57" s="3">
        <f t="shared" si="4"/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229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235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123056</v>
      </c>
      <c r="B58" s="3">
        <f t="shared" si="4"/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229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235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123057</v>
      </c>
      <c r="B59" s="3">
        <f t="shared" si="4"/>
        <v>123057</v>
      </c>
      <c r="C59" s="3" t="s">
        <v>7</v>
      </c>
      <c r="D59" s="3" t="s">
        <v>247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246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123058</v>
      </c>
      <c r="B60" s="3">
        <f t="shared" si="4"/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246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123059</v>
      </c>
      <c r="B61" s="3">
        <f t="shared" si="4"/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246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123060</v>
      </c>
      <c r="B62" s="3">
        <f t="shared" si="4"/>
        <v>123060</v>
      </c>
      <c r="C62" s="3" t="s">
        <v>7</v>
      </c>
      <c r="D62" s="3" t="s">
        <v>245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123061</v>
      </c>
      <c r="B63" s="3">
        <f t="shared" si="4"/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123062</v>
      </c>
      <c r="B64" s="3">
        <f t="shared" si="4"/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123063</v>
      </c>
      <c r="B65" s="3">
        <f t="shared" si="4"/>
        <v>123063</v>
      </c>
      <c r="C65" s="3" t="s">
        <v>7</v>
      </c>
      <c r="D65" s="3" t="s">
        <v>226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225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123064</v>
      </c>
      <c r="B66" s="3">
        <f t="shared" si="4"/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225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123065</v>
      </c>
      <c r="B67" s="3">
        <f t="shared" si="4"/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225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123066</v>
      </c>
      <c r="B68" s="3">
        <f t="shared" si="4"/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123067</v>
      </c>
      <c r="B69" s="3">
        <f t="shared" si="4"/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123068</v>
      </c>
      <c r="B70" s="3">
        <f t="shared" si="4"/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123069</v>
      </c>
      <c r="B71" s="3">
        <f t="shared" si="4"/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123070</v>
      </c>
      <c r="B72" s="3">
        <f t="shared" si="4"/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123071</v>
      </c>
      <c r="B73" s="3">
        <f t="shared" si="4"/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123072</v>
      </c>
      <c r="B74" s="3">
        <f t="shared" si="4"/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123073</v>
      </c>
      <c r="B75" s="3">
        <f t="shared" si="4"/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123074</v>
      </c>
      <c r="B76" s="3">
        <f t="shared" si="4"/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123075</v>
      </c>
      <c r="B77" s="3">
        <f t="shared" si="4"/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123076</v>
      </c>
      <c r="B78" s="3">
        <f t="shared" si="4"/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123077</v>
      </c>
      <c r="B79" s="3">
        <f t="shared" si="4"/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123078</v>
      </c>
      <c r="B80" s="3">
        <f t="shared" si="4"/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123079</v>
      </c>
      <c r="B81" s="3">
        <f t="shared" ref="B81:B103" si="5"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123080</v>
      </c>
      <c r="B82" s="3">
        <f t="shared" si="5"/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123081</v>
      </c>
      <c r="B83" s="3">
        <f t="shared" si="5"/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123082</v>
      </c>
      <c r="B84" s="3">
        <f t="shared" si="5"/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123083</v>
      </c>
      <c r="B85" s="3">
        <f t="shared" si="5"/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123084</v>
      </c>
      <c r="B86" s="3">
        <f t="shared" si="5"/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123085</v>
      </c>
      <c r="B87" s="3">
        <f t="shared" si="5"/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123086</v>
      </c>
      <c r="B88" s="3">
        <f t="shared" si="5"/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123087</v>
      </c>
      <c r="B89" s="3">
        <f t="shared" si="5"/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123088</v>
      </c>
      <c r="B90" s="3">
        <f t="shared" si="5"/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123089</v>
      </c>
      <c r="B91" s="3">
        <f t="shared" si="5"/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123090</v>
      </c>
      <c r="B92" s="3">
        <f t="shared" si="5"/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123091</v>
      </c>
      <c r="B93" s="3">
        <f t="shared" si="5"/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123092</v>
      </c>
      <c r="B94" s="3">
        <f t="shared" si="5"/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1"/>
        <v>123093</v>
      </c>
      <c r="B95" s="3">
        <f t="shared" si="5"/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1"/>
        <v>123094</v>
      </c>
      <c r="B96" s="3">
        <f t="shared" si="5"/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1"/>
        <v>123095</v>
      </c>
      <c r="B97" s="3">
        <f t="shared" si="5"/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1"/>
        <v>123096</v>
      </c>
      <c r="B98" s="3">
        <f t="shared" si="5"/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6">ROW()-2+123000</f>
        <v>123097</v>
      </c>
      <c r="B99" s="3">
        <f t="shared" si="5"/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6"/>
        <v>123098</v>
      </c>
      <c r="B100" s="3">
        <f t="shared" si="5"/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6"/>
        <v>123099</v>
      </c>
      <c r="B101" s="3">
        <f t="shared" si="5"/>
        <v>123099</v>
      </c>
      <c r="C101" s="3" t="s">
        <v>223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6"/>
        <v>123100</v>
      </c>
      <c r="B102" s="3">
        <f t="shared" si="5"/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6"/>
        <v>123101</v>
      </c>
      <c r="B103" s="3">
        <f t="shared" si="5"/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257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252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221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258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259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259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259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260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261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261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261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217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262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262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262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263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264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209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209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209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223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ROW()-2+125000</f>
        <v>125000</v>
      </c>
      <c r="B2" s="6">
        <v>125000</v>
      </c>
      <c r="C2" s="6" t="s">
        <v>265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ROW()-2+126000</f>
        <v>126000</v>
      </c>
      <c r="B2" s="6">
        <v>126000</v>
      </c>
      <c r="C2" s="6" t="s">
        <v>266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234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267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226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208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207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207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207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210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241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3" sqref="C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ROW()-2+127000</f>
        <v>127000</v>
      </c>
      <c r="B2" s="6">
        <v>127000</v>
      </c>
      <c r="C2" s="6" t="s">
        <v>268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228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234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11" sqref="A11:XF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ROW()-2+140000</f>
        <v>140000</v>
      </c>
      <c r="B2" s="6">
        <v>140000</v>
      </c>
      <c r="C2" s="6" t="s">
        <v>269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120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160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ROW()-2+141000</f>
        <v>141000</v>
      </c>
      <c r="B2" s="12">
        <v>141000</v>
      </c>
      <c r="C2" s="12" t="s">
        <v>328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224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233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230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231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270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272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273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273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273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238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271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223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35">
      <c r="A2" s="12">
        <f>ROW()-2+142000</f>
        <v>142000</v>
      </c>
      <c r="B2" s="12">
        <v>142000</v>
      </c>
      <c r="C2" s="12" t="s">
        <v>329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252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253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253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253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245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ROW()-2+143000</f>
        <v>143000</v>
      </c>
      <c r="B2" s="12">
        <v>143000</v>
      </c>
      <c r="C2" s="12" t="s">
        <v>330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228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234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232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267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224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255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256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225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225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225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236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229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235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229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235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229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235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245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226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225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225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225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208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207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207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207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236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235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235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235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247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246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246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223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ROW()-2+144000</f>
        <v>144000</v>
      </c>
      <c r="B2" s="6">
        <v>144000</v>
      </c>
      <c r="C2" s="6" t="s">
        <v>331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274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274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274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ROW()-2+145000</f>
        <v>145000</v>
      </c>
      <c r="B2" s="6">
        <v>145000</v>
      </c>
      <c r="C2" s="6" t="s">
        <v>280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276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277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277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277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278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277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277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277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279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277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277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277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275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55"/>
  <sheetViews>
    <sheetView zoomScale="85" zoomScaleNormal="85" workbookViewId="0">
      <pane ySplit="1" topLeftCell="A17" activePane="bottomLeft" state="frozen"/>
      <selection activeCell="D1" sqref="D1"/>
      <selection pane="bottomLeft" activeCell="W52" sqref="W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295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5" si="0">ROW()-2+146000</f>
        <v>146002</v>
      </c>
      <c r="B4" s="3">
        <f>INDEX(B:B,MATCH(146000,B:B,0),1)+(ROW()-MATCH(146000,B:B,0))</f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146003</v>
      </c>
      <c r="B5" s="3">
        <f t="shared" ref="B5:B7" si="1">INDEX(B:B,MATCH(146000,B:B,0),1)+(ROW()-MATCH(146000,B:B,0))</f>
        <v>146003</v>
      </c>
      <c r="C5" s="3" t="s">
        <v>185</v>
      </c>
      <c r="D5" s="3" t="s">
        <v>7</v>
      </c>
      <c r="E5" s="3">
        <v>100</v>
      </c>
      <c r="F5" s="3">
        <v>0</v>
      </c>
      <c r="G5" s="3">
        <v>60</v>
      </c>
      <c r="H5" s="3">
        <v>30</v>
      </c>
      <c r="I5" s="3">
        <v>30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146004</v>
      </c>
      <c r="B6" s="3">
        <f t="shared" si="1"/>
        <v>146004</v>
      </c>
      <c r="C6" s="3" t="s">
        <v>7</v>
      </c>
      <c r="D6" s="3" t="s">
        <v>7</v>
      </c>
      <c r="E6" s="3">
        <v>100</v>
      </c>
      <c r="F6" s="3">
        <v>0</v>
      </c>
      <c r="G6" s="3">
        <v>60</v>
      </c>
      <c r="H6" s="3">
        <v>30</v>
      </c>
      <c r="I6" s="3">
        <v>30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146005</v>
      </c>
      <c r="B7" s="3">
        <f t="shared" si="1"/>
        <v>146005</v>
      </c>
      <c r="C7" s="3" t="s">
        <v>7</v>
      </c>
      <c r="D7" s="3" t="s">
        <v>7</v>
      </c>
      <c r="E7" s="3">
        <v>100</v>
      </c>
      <c r="F7" s="3">
        <v>0</v>
      </c>
      <c r="G7" s="3">
        <v>60</v>
      </c>
      <c r="H7" s="3">
        <v>30</v>
      </c>
      <c r="I7" s="3">
        <v>30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146006</v>
      </c>
      <c r="B8" s="3">
        <f t="shared" ref="B8:B52" si="2">INDEX(B:B,MATCH(146000,B:B,0),1)+(ROW()-MATCH(146000,B:B,0))</f>
        <v>146006</v>
      </c>
      <c r="C8" s="3" t="s">
        <v>281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120</v>
      </c>
      <c r="M8" s="3">
        <v>90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273</v>
      </c>
      <c r="AW8" s="5">
        <v>0</v>
      </c>
      <c r="AX8" s="5">
        <v>0</v>
      </c>
    </row>
    <row r="9" spans="1:50" ht="15.75" customHeight="1" x14ac:dyDescent="0.2">
      <c r="A9" s="3">
        <f t="shared" si="0"/>
        <v>146007</v>
      </c>
      <c r="B9" s="3">
        <f t="shared" si="2"/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120</v>
      </c>
      <c r="M9" s="3">
        <v>90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273</v>
      </c>
      <c r="AW9" s="5">
        <v>0</v>
      </c>
      <c r="AX9" s="5">
        <v>0</v>
      </c>
    </row>
    <row r="10" spans="1:50" ht="15.75" customHeight="1" x14ac:dyDescent="0.2">
      <c r="A10" s="3">
        <f t="shared" si="0"/>
        <v>146008</v>
      </c>
      <c r="B10" s="3">
        <f t="shared" si="2"/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120</v>
      </c>
      <c r="M10" s="3">
        <v>90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273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146009</v>
      </c>
      <c r="B11" s="3">
        <f t="shared" si="2"/>
        <v>146009</v>
      </c>
      <c r="C11" s="3" t="s">
        <v>294</v>
      </c>
      <c r="D11" s="3" t="s">
        <v>7</v>
      </c>
      <c r="E11" s="3">
        <v>0</v>
      </c>
      <c r="F11" s="3">
        <v>0</v>
      </c>
      <c r="G11" s="3">
        <v>120</v>
      </c>
      <c r="H11" s="3">
        <v>0</v>
      </c>
      <c r="I11" s="3">
        <v>40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106</v>
      </c>
      <c r="AD11" s="5" t="s">
        <v>57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146010</v>
      </c>
      <c r="B12" s="3">
        <f t="shared" si="2"/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120</v>
      </c>
      <c r="H12" s="3">
        <v>0</v>
      </c>
      <c r="I12" s="3">
        <v>40</v>
      </c>
      <c r="J12" s="3">
        <v>0</v>
      </c>
      <c r="K12" s="3">
        <v>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106</v>
      </c>
      <c r="AD12" s="5" t="s">
        <v>57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273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146011</v>
      </c>
      <c r="B13" s="3">
        <f t="shared" si="2"/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120</v>
      </c>
      <c r="H13" s="3">
        <v>0</v>
      </c>
      <c r="I13" s="3">
        <v>40</v>
      </c>
      <c r="J13" s="3">
        <v>0</v>
      </c>
      <c r="K13" s="3">
        <v>70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106</v>
      </c>
      <c r="AD13" s="5" t="s">
        <v>57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273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146012</v>
      </c>
      <c r="B14" s="3">
        <f t="shared" si="2"/>
        <v>146012</v>
      </c>
      <c r="C14" s="3" t="s">
        <v>282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57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273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146013</v>
      </c>
      <c r="B15" s="3">
        <f t="shared" si="2"/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50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57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273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146014</v>
      </c>
      <c r="B16" s="3">
        <f t="shared" si="2"/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50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57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273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146015</v>
      </c>
      <c r="B17" s="3">
        <f t="shared" si="2"/>
        <v>146015</v>
      </c>
      <c r="C17" s="3" t="s">
        <v>283</v>
      </c>
      <c r="D17" s="3" t="s">
        <v>7</v>
      </c>
      <c r="E17" s="3">
        <v>0</v>
      </c>
      <c r="F17" s="3">
        <v>0</v>
      </c>
      <c r="G17" s="3">
        <v>100</v>
      </c>
      <c r="H17" s="3">
        <v>0</v>
      </c>
      <c r="I17" s="3">
        <v>0</v>
      </c>
      <c r="J17" s="3">
        <v>0</v>
      </c>
      <c r="K17" s="3">
        <v>0</v>
      </c>
      <c r="L17" s="3">
        <v>50</v>
      </c>
      <c r="M17" s="3">
        <v>0</v>
      </c>
      <c r="N17" s="3">
        <v>0</v>
      </c>
      <c r="O17" s="3">
        <v>0</v>
      </c>
      <c r="P17" s="3">
        <v>0</v>
      </c>
      <c r="Q17" s="3">
        <v>100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146016</v>
      </c>
      <c r="B18" s="3">
        <f t="shared" si="2"/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100</v>
      </c>
      <c r="H18" s="3">
        <v>0</v>
      </c>
      <c r="I18" s="3">
        <v>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273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146017</v>
      </c>
      <c r="B19" s="3">
        <f t="shared" si="2"/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100</v>
      </c>
      <c r="H19" s="3">
        <v>0</v>
      </c>
      <c r="I19" s="3">
        <v>0</v>
      </c>
      <c r="J19" s="3">
        <v>0</v>
      </c>
      <c r="K19" s="3">
        <v>0</v>
      </c>
      <c r="L19" s="3">
        <v>50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273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146018</v>
      </c>
      <c r="B20" s="3">
        <f t="shared" si="2"/>
        <v>146018</v>
      </c>
      <c r="C20" s="3" t="s">
        <v>284</v>
      </c>
      <c r="D20" s="3" t="s">
        <v>7</v>
      </c>
      <c r="E20" s="3">
        <v>0</v>
      </c>
      <c r="F20" s="3">
        <v>0</v>
      </c>
      <c r="G20" s="3">
        <v>70</v>
      </c>
      <c r="H20" s="3">
        <v>0</v>
      </c>
      <c r="I20" s="3">
        <v>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285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146019</v>
      </c>
      <c r="B21" s="3">
        <f t="shared" si="2"/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70</v>
      </c>
      <c r="H21" s="3">
        <v>0</v>
      </c>
      <c r="I21" s="3">
        <v>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285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146020</v>
      </c>
      <c r="B22" s="3">
        <f t="shared" si="2"/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80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285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146021</v>
      </c>
      <c r="B23" s="3">
        <f t="shared" si="2"/>
        <v>146021</v>
      </c>
      <c r="C23" s="3" t="s">
        <v>286</v>
      </c>
      <c r="D23" s="3" t="s">
        <v>7</v>
      </c>
      <c r="E23" s="3">
        <v>0</v>
      </c>
      <c r="F23" s="3">
        <v>0</v>
      </c>
      <c r="G23" s="3">
        <v>80</v>
      </c>
      <c r="H23" s="3">
        <v>200</v>
      </c>
      <c r="I23" s="3">
        <v>0</v>
      </c>
      <c r="J23" s="3">
        <v>0</v>
      </c>
      <c r="K23" s="3">
        <v>0</v>
      </c>
      <c r="L23" s="3">
        <v>100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30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148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146022</v>
      </c>
      <c r="B24" s="3">
        <f t="shared" si="2"/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30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148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146023</v>
      </c>
      <c r="B25" s="3">
        <f t="shared" si="2"/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30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148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146024</v>
      </c>
      <c r="B26" s="3">
        <f t="shared" si="2"/>
        <v>146024</v>
      </c>
      <c r="C26" s="3" t="s">
        <v>287</v>
      </c>
      <c r="D26" s="3" t="s">
        <v>7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146025</v>
      </c>
      <c r="B27" s="3">
        <f t="shared" si="2"/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148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146026</v>
      </c>
      <c r="B28" s="3">
        <f t="shared" si="2"/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70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148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146027</v>
      </c>
      <c r="B29" s="3">
        <f t="shared" si="2"/>
        <v>146027</v>
      </c>
      <c r="C29" s="3" t="s">
        <v>288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30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146028</v>
      </c>
      <c r="B30" s="3">
        <f t="shared" si="2"/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30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146029</v>
      </c>
      <c r="B31" s="3">
        <f t="shared" si="2"/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30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146030</v>
      </c>
      <c r="B32" s="3">
        <f t="shared" si="2"/>
        <v>146030</v>
      </c>
      <c r="C32" s="3" t="s">
        <v>289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146031</v>
      </c>
      <c r="B33" s="3">
        <f t="shared" si="2"/>
        <v>146031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146032</v>
      </c>
      <c r="B34" s="3">
        <f t="shared" si="2"/>
        <v>146032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146033</v>
      </c>
      <c r="B35" s="3">
        <f t="shared" si="2"/>
        <v>146033</v>
      </c>
      <c r="C35" s="3" t="s">
        <v>290</v>
      </c>
      <c r="D35" s="3" t="s">
        <v>7</v>
      </c>
      <c r="E35" s="3">
        <v>0</v>
      </c>
      <c r="F35" s="3">
        <v>0</v>
      </c>
      <c r="G35" s="3">
        <v>80</v>
      </c>
      <c r="H35" s="3">
        <v>200</v>
      </c>
      <c r="I35" s="3">
        <v>0</v>
      </c>
      <c r="J35" s="3">
        <v>0</v>
      </c>
      <c r="K35" s="3">
        <v>0</v>
      </c>
      <c r="L35" s="3">
        <v>100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30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148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146034</v>
      </c>
      <c r="B36" s="3">
        <f t="shared" si="2"/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200</v>
      </c>
      <c r="I36" s="3">
        <v>0</v>
      </c>
      <c r="J36" s="3">
        <v>0</v>
      </c>
      <c r="K36" s="3">
        <v>0</v>
      </c>
      <c r="L36" s="3">
        <v>100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30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148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146035</v>
      </c>
      <c r="B37" s="3">
        <f t="shared" si="2"/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200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30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148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146036</v>
      </c>
      <c r="B38" s="3">
        <f t="shared" si="2"/>
        <v>146036</v>
      </c>
      <c r="C38" s="3" t="s">
        <v>184</v>
      </c>
      <c r="D38" s="3" t="s">
        <v>7</v>
      </c>
      <c r="E38" s="3">
        <v>30</v>
      </c>
      <c r="F38" s="3">
        <v>0</v>
      </c>
      <c r="G38" s="3">
        <v>80</v>
      </c>
      <c r="H38" s="3">
        <v>200</v>
      </c>
      <c r="I38" s="3">
        <v>0</v>
      </c>
      <c r="J38" s="3">
        <v>0</v>
      </c>
      <c r="K38" s="3">
        <v>0</v>
      </c>
      <c r="L38" s="3">
        <v>100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30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148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146037</v>
      </c>
      <c r="B39" s="3">
        <f t="shared" si="2"/>
        <v>146037</v>
      </c>
      <c r="C39" s="3" t="s">
        <v>7</v>
      </c>
      <c r="D39" s="3" t="s">
        <v>7</v>
      </c>
      <c r="E39" s="3">
        <v>30</v>
      </c>
      <c r="F39" s="3">
        <v>0</v>
      </c>
      <c r="G39" s="3">
        <v>80</v>
      </c>
      <c r="H39" s="3">
        <v>200</v>
      </c>
      <c r="I39" s="3">
        <v>0</v>
      </c>
      <c r="J39" s="3">
        <v>0</v>
      </c>
      <c r="K39" s="3">
        <v>0</v>
      </c>
      <c r="L39" s="3">
        <v>100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0</v>
      </c>
      <c r="S39" s="3">
        <v>30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148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146038</v>
      </c>
      <c r="B40" s="3">
        <f t="shared" si="2"/>
        <v>146038</v>
      </c>
      <c r="C40" s="3" t="s">
        <v>7</v>
      </c>
      <c r="D40" s="3" t="s">
        <v>7</v>
      </c>
      <c r="E40" s="3">
        <v>30</v>
      </c>
      <c r="F40" s="3">
        <v>0</v>
      </c>
      <c r="G40" s="3">
        <v>80</v>
      </c>
      <c r="H40" s="3">
        <v>200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30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148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146039</v>
      </c>
      <c r="B41" s="3">
        <f t="shared" si="2"/>
        <v>146039</v>
      </c>
      <c r="C41" s="3" t="s">
        <v>293</v>
      </c>
      <c r="D41" s="3" t="s">
        <v>7</v>
      </c>
      <c r="E41" s="3">
        <v>0</v>
      </c>
      <c r="F41" s="3">
        <v>0</v>
      </c>
      <c r="G41" s="3">
        <v>55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110</v>
      </c>
      <c r="Q41" s="3">
        <v>55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202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50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209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146040</v>
      </c>
      <c r="B42" s="3">
        <f t="shared" si="2"/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110</v>
      </c>
      <c r="Q42" s="3">
        <v>55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202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50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209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146041</v>
      </c>
      <c r="B43" s="3">
        <f t="shared" si="2"/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110</v>
      </c>
      <c r="Q43" s="3">
        <v>55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202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50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209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146042</v>
      </c>
      <c r="B44" s="3">
        <f t="shared" si="2"/>
        <v>146042</v>
      </c>
      <c r="C44" s="3" t="s">
        <v>291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30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90</v>
      </c>
      <c r="Q44" s="3">
        <v>55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46</v>
      </c>
      <c r="AD44" s="5" t="s">
        <v>65</v>
      </c>
      <c r="AE44" s="5" t="s">
        <v>202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-50</v>
      </c>
      <c r="AM44" s="5">
        <v>30</v>
      </c>
      <c r="AN44" s="5">
        <v>50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209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146043</v>
      </c>
      <c r="B45" s="3">
        <f t="shared" si="2"/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55</v>
      </c>
      <c r="H45" s="3">
        <v>0</v>
      </c>
      <c r="I45" s="3">
        <v>30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90</v>
      </c>
      <c r="Q45" s="3">
        <v>55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46</v>
      </c>
      <c r="AD45" s="5" t="s">
        <v>65</v>
      </c>
      <c r="AE45" s="5" t="s">
        <v>202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-50</v>
      </c>
      <c r="AM45" s="5">
        <v>30</v>
      </c>
      <c r="AN45" s="5">
        <v>50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209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146044</v>
      </c>
      <c r="B46" s="3">
        <f t="shared" si="2"/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55</v>
      </c>
      <c r="H46" s="3">
        <v>0</v>
      </c>
      <c r="I46" s="3">
        <v>30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90</v>
      </c>
      <c r="Q46" s="3">
        <v>55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46</v>
      </c>
      <c r="AD46" s="5" t="s">
        <v>65</v>
      </c>
      <c r="AE46" s="5" t="s">
        <v>202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-50</v>
      </c>
      <c r="AM46" s="5">
        <v>30</v>
      </c>
      <c r="AN46" s="5">
        <v>50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209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146045</v>
      </c>
      <c r="B47" s="3">
        <f t="shared" si="2"/>
        <v>146045</v>
      </c>
      <c r="C47" s="3" t="s">
        <v>292</v>
      </c>
      <c r="D47" s="3" t="s">
        <v>7</v>
      </c>
      <c r="E47" s="3">
        <v>20</v>
      </c>
      <c r="F47" s="3">
        <v>0</v>
      </c>
      <c r="G47" s="3">
        <v>55</v>
      </c>
      <c r="H47" s="3">
        <v>0</v>
      </c>
      <c r="I47" s="3">
        <v>30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90</v>
      </c>
      <c r="Q47" s="3">
        <v>55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46</v>
      </c>
      <c r="AD47" s="5" t="s">
        <v>65</v>
      </c>
      <c r="AE47" s="5" t="s">
        <v>202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-50</v>
      </c>
      <c r="AM47" s="5">
        <v>30</v>
      </c>
      <c r="AN47" s="5">
        <v>50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209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146046</v>
      </c>
      <c r="B48" s="3">
        <f t="shared" si="2"/>
        <v>146046</v>
      </c>
      <c r="C48" s="3" t="s">
        <v>7</v>
      </c>
      <c r="D48" s="3" t="s">
        <v>7</v>
      </c>
      <c r="E48" s="3">
        <v>20</v>
      </c>
      <c r="F48" s="3">
        <v>0</v>
      </c>
      <c r="G48" s="3">
        <v>55</v>
      </c>
      <c r="H48" s="3">
        <v>0</v>
      </c>
      <c r="I48" s="3">
        <v>30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90</v>
      </c>
      <c r="Q48" s="3">
        <v>55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46</v>
      </c>
      <c r="AD48" s="5" t="s">
        <v>65</v>
      </c>
      <c r="AE48" s="5" t="s">
        <v>202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-50</v>
      </c>
      <c r="AM48" s="5">
        <v>30</v>
      </c>
      <c r="AN48" s="5">
        <v>50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209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146047</v>
      </c>
      <c r="B49" s="3">
        <f t="shared" si="2"/>
        <v>146047</v>
      </c>
      <c r="C49" s="3" t="s">
        <v>7</v>
      </c>
      <c r="D49" s="3" t="s">
        <v>7</v>
      </c>
      <c r="E49" s="3">
        <v>20</v>
      </c>
      <c r="F49" s="3">
        <v>0</v>
      </c>
      <c r="G49" s="3">
        <v>55</v>
      </c>
      <c r="H49" s="3">
        <v>0</v>
      </c>
      <c r="I49" s="3">
        <v>30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90</v>
      </c>
      <c r="Q49" s="3">
        <v>55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46</v>
      </c>
      <c r="AD49" s="5" t="s">
        <v>65</v>
      </c>
      <c r="AE49" s="5" t="s">
        <v>202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-50</v>
      </c>
      <c r="AM49" s="5">
        <v>30</v>
      </c>
      <c r="AN49" s="5">
        <v>50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209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146048</v>
      </c>
      <c r="B50" s="3">
        <f t="shared" si="2"/>
        <v>146048</v>
      </c>
      <c r="C50" s="3" t="s">
        <v>7</v>
      </c>
      <c r="D50" s="3" t="s">
        <v>169</v>
      </c>
      <c r="E50" s="3">
        <v>30</v>
      </c>
      <c r="F50" s="3">
        <v>0</v>
      </c>
      <c r="G50" s="3">
        <v>88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120</v>
      </c>
      <c r="R50" s="3">
        <v>65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50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89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146049</v>
      </c>
      <c r="B51" s="3">
        <f t="shared" si="2"/>
        <v>146049</v>
      </c>
      <c r="C51" s="3" t="s">
        <v>7</v>
      </c>
      <c r="D51" s="3" t="s">
        <v>7</v>
      </c>
      <c r="E51" s="3">
        <v>30</v>
      </c>
      <c r="F51" s="3">
        <v>0</v>
      </c>
      <c r="G51" s="3">
        <v>88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80</v>
      </c>
      <c r="R51" s="3">
        <v>60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50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89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146050</v>
      </c>
      <c r="B52" s="3">
        <f t="shared" si="2"/>
        <v>146050</v>
      </c>
      <c r="C52" s="3" t="s">
        <v>7</v>
      </c>
      <c r="D52" s="3" t="s">
        <v>7</v>
      </c>
      <c r="E52" s="3">
        <v>30</v>
      </c>
      <c r="F52" s="3">
        <v>0</v>
      </c>
      <c r="G52" s="3">
        <v>88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180</v>
      </c>
      <c r="R52" s="3">
        <v>70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50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89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146051</v>
      </c>
      <c r="B53" s="3">
        <f t="shared" ref="B53:B55" si="3">INDEX(B:B,MATCH(146000,B:B,0),1)+(ROW()-MATCH(146000,B:B,0))</f>
        <v>146051</v>
      </c>
      <c r="C53" s="3" t="s">
        <v>223</v>
      </c>
      <c r="D53" s="3" t="s">
        <v>7</v>
      </c>
      <c r="E53" s="3">
        <v>0</v>
      </c>
      <c r="F53" s="3">
        <v>0</v>
      </c>
      <c r="G53" s="3">
        <v>80</v>
      </c>
      <c r="H53" s="3">
        <v>0</v>
      </c>
      <c r="I53" s="3">
        <v>0</v>
      </c>
      <c r="J53" s="3">
        <v>110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60</v>
      </c>
      <c r="AD53" s="5" t="s">
        <v>23</v>
      </c>
      <c r="AE53" s="5" t="s">
        <v>66</v>
      </c>
      <c r="AF53" s="5" t="s">
        <v>27</v>
      </c>
      <c r="AG53" s="5" t="s">
        <v>39</v>
      </c>
      <c r="AH53" s="5" t="s">
        <v>131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7</v>
      </c>
      <c r="AN53" s="5">
        <v>20</v>
      </c>
      <c r="AO53" s="5">
        <v>20</v>
      </c>
      <c r="AP53" s="5">
        <v>30</v>
      </c>
      <c r="AQ53" s="5">
        <v>30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146052</v>
      </c>
      <c r="B54" s="3">
        <f t="shared" si="3"/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0</v>
      </c>
      <c r="I54" s="3">
        <v>0</v>
      </c>
      <c r="J54" s="3">
        <v>90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90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61</v>
      </c>
      <c r="AD54" s="5" t="s">
        <v>62</v>
      </c>
      <c r="AE54" s="5" t="s">
        <v>57</v>
      </c>
      <c r="AF54" s="5" t="s">
        <v>23</v>
      </c>
      <c r="AG54" s="5" t="s">
        <v>39</v>
      </c>
      <c r="AH54" s="5" t="s">
        <v>66</v>
      </c>
      <c r="AI54" s="5" t="s">
        <v>27</v>
      </c>
      <c r="AJ54" s="5" t="s">
        <v>131</v>
      </c>
      <c r="AK54" s="5" t="s">
        <v>7</v>
      </c>
      <c r="AL54" s="5">
        <v>20</v>
      </c>
      <c r="AM54" s="5">
        <v>20</v>
      </c>
      <c r="AN54" s="5">
        <v>10</v>
      </c>
      <c r="AO54" s="5">
        <v>10</v>
      </c>
      <c r="AP54" s="5">
        <v>30</v>
      </c>
      <c r="AQ54" s="5">
        <v>20</v>
      </c>
      <c r="AR54" s="5">
        <v>20</v>
      </c>
      <c r="AS54" s="5">
        <v>30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146053</v>
      </c>
      <c r="B55" s="3">
        <f t="shared" si="3"/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0</v>
      </c>
      <c r="I55" s="3">
        <v>0</v>
      </c>
      <c r="J55" s="3">
        <v>130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63</v>
      </c>
      <c r="AD55" s="5" t="s">
        <v>67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100</v>
      </c>
      <c r="AM55" s="5">
        <v>70</v>
      </c>
      <c r="AN55" s="5">
        <v>20</v>
      </c>
      <c r="AO55" s="5">
        <v>20</v>
      </c>
      <c r="AP55" s="5">
        <v>20</v>
      </c>
      <c r="AQ55" s="5">
        <v>30</v>
      </c>
      <c r="AR55" s="5">
        <v>30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ROW()-2+147000</f>
        <v>147000</v>
      </c>
      <c r="B2" s="6">
        <v>147000</v>
      </c>
      <c r="C2" s="6" t="s">
        <v>298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296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225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225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225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297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225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225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20" customFormat="1" ht="15.75" customHeight="1" x14ac:dyDescent="0.2">
      <c r="A2" s="17">
        <f>ROW()-2+160000</f>
        <v>160000</v>
      </c>
      <c r="B2" s="17">
        <v>160000</v>
      </c>
      <c r="C2" s="17" t="s">
        <v>332</v>
      </c>
      <c r="D2" s="17" t="s">
        <v>7</v>
      </c>
      <c r="E2" s="17">
        <v>30</v>
      </c>
      <c r="F2" s="17">
        <v>0</v>
      </c>
      <c r="G2" s="17">
        <v>80</v>
      </c>
      <c r="H2" s="17">
        <v>200</v>
      </c>
      <c r="I2" s="17">
        <v>0</v>
      </c>
      <c r="J2" s="17">
        <v>0</v>
      </c>
      <c r="K2" s="17">
        <v>0</v>
      </c>
      <c r="L2" s="17">
        <v>100</v>
      </c>
      <c r="M2" s="17">
        <v>0</v>
      </c>
      <c r="N2" s="17">
        <v>0</v>
      </c>
      <c r="O2" s="17">
        <v>0</v>
      </c>
      <c r="P2" s="17">
        <v>0</v>
      </c>
      <c r="Q2" s="17">
        <v>70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8" t="s">
        <v>70</v>
      </c>
      <c r="AD2" s="18" t="s">
        <v>7</v>
      </c>
      <c r="AE2" s="18" t="s">
        <v>7</v>
      </c>
      <c r="AF2" s="18" t="s">
        <v>7</v>
      </c>
      <c r="AG2" s="18" t="s">
        <v>7</v>
      </c>
      <c r="AH2" s="18" t="s">
        <v>7</v>
      </c>
      <c r="AI2" s="18" t="s">
        <v>7</v>
      </c>
      <c r="AJ2" s="18" t="s">
        <v>7</v>
      </c>
      <c r="AK2" s="18" t="s">
        <v>7</v>
      </c>
      <c r="AL2" s="18">
        <v>20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9" t="s">
        <v>154</v>
      </c>
      <c r="AW2" s="18">
        <v>0</v>
      </c>
      <c r="AX2" s="18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223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7" sqref="C1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299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 t="shared" ref="B3:B16" si="0"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ROW()-2+161000</f>
        <v>161002</v>
      </c>
      <c r="B4" s="3">
        <f t="shared" si="0"/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161003</v>
      </c>
      <c r="B5" s="3">
        <f t="shared" si="0"/>
        <v>161003</v>
      </c>
      <c r="C5" s="3" t="s">
        <v>301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161004</v>
      </c>
      <c r="B6" s="3">
        <f t="shared" si="0"/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161005</v>
      </c>
      <c r="B7" s="3">
        <f t="shared" si="0"/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161006</v>
      </c>
      <c r="B8" s="3">
        <f t="shared" si="0"/>
        <v>161006</v>
      </c>
      <c r="C8" s="3" t="s">
        <v>7</v>
      </c>
      <c r="D8" s="3" t="s">
        <v>300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161007</v>
      </c>
      <c r="B9" s="3">
        <f t="shared" si="0"/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161008</v>
      </c>
      <c r="B10" s="3">
        <f t="shared" si="0"/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161009</v>
      </c>
      <c r="B11" s="3">
        <f t="shared" si="0"/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161010</v>
      </c>
      <c r="B12" s="3">
        <f t="shared" si="0"/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161011</v>
      </c>
      <c r="B13" s="3">
        <f t="shared" si="0"/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161012</v>
      </c>
      <c r="B14" s="3">
        <f t="shared" si="0"/>
        <v>161012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161013</v>
      </c>
      <c r="B15" s="3">
        <f t="shared" si="0"/>
        <v>161013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161014</v>
      </c>
      <c r="B16" s="3">
        <f t="shared" si="0"/>
        <v>161014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3" sqref="C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302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 t="shared" ref="B3:B16" si="0"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ROW()-2+162000</f>
        <v>162002</v>
      </c>
      <c r="B4" s="3">
        <f t="shared" si="0"/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162003</v>
      </c>
      <c r="B5" s="3">
        <f t="shared" si="0"/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162004</v>
      </c>
      <c r="B6" s="3">
        <f t="shared" si="0"/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162005</v>
      </c>
      <c r="B7" s="3">
        <f t="shared" si="0"/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162006</v>
      </c>
      <c r="B8" s="3">
        <f t="shared" si="0"/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162007</v>
      </c>
      <c r="B9" s="3">
        <f t="shared" si="0"/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162008</v>
      </c>
      <c r="B10" s="3">
        <f t="shared" si="0"/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162009</v>
      </c>
      <c r="B11" s="3">
        <f t="shared" si="0"/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162010</v>
      </c>
      <c r="B12" s="3">
        <f t="shared" si="0"/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162011</v>
      </c>
      <c r="B13" s="3">
        <f t="shared" si="0"/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162012</v>
      </c>
      <c r="B14" s="3">
        <f t="shared" si="0"/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162013</v>
      </c>
      <c r="B15" s="3">
        <f t="shared" si="0"/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162014</v>
      </c>
      <c r="B16" s="3">
        <f t="shared" si="0"/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162015</v>
      </c>
      <c r="B17" s="3">
        <f t="shared" ref="B17:B22" si="2">INDEX(B:B,MATCH(162000,B:B,0),1)+(ROW()-MATCH(162000,B:B,0))</f>
        <v>162015</v>
      </c>
      <c r="C17" s="3" t="s">
        <v>303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162016</v>
      </c>
      <c r="B18" s="3">
        <f t="shared" si="2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162017</v>
      </c>
      <c r="B19" s="3">
        <f t="shared" si="2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162018</v>
      </c>
      <c r="B20" s="3">
        <f t="shared" si="2"/>
        <v>162018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162019</v>
      </c>
      <c r="B21" s="3">
        <f t="shared" si="2"/>
        <v>162019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162020</v>
      </c>
      <c r="B22" s="3">
        <f t="shared" si="2"/>
        <v>162020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16" sqref="C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304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 t="shared" ref="B8:B19" si="2"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 t="shared" si="2"/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 t="shared" si="2"/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 t="shared" si="2"/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 t="shared" si="2"/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 t="shared" si="2"/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 t="shared" si="2"/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 t="shared" si="2"/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 t="shared" si="2"/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163015</v>
      </c>
      <c r="B17" s="3">
        <f t="shared" si="2"/>
        <v>163015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163016</v>
      </c>
      <c r="B18" s="3">
        <f t="shared" si="2"/>
        <v>163016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163017</v>
      </c>
      <c r="B19" s="3">
        <f t="shared" si="2"/>
        <v>163017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306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 t="shared" ref="B3:B13" si="0"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ROW()-2+164000</f>
        <v>164002</v>
      </c>
      <c r="B4" s="3">
        <f t="shared" si="0"/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164003</v>
      </c>
      <c r="B5" s="3">
        <f t="shared" si="0"/>
        <v>164003</v>
      </c>
      <c r="C5" s="3" t="s">
        <v>254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1"/>
        <v>164004</v>
      </c>
      <c r="B6" s="3">
        <f t="shared" si="0"/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1"/>
        <v>164005</v>
      </c>
      <c r="B7" s="3">
        <f t="shared" si="0"/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1"/>
        <v>164006</v>
      </c>
      <c r="B8" s="3">
        <f t="shared" si="0"/>
        <v>164006</v>
      </c>
      <c r="C8" s="3" t="s">
        <v>272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273</v>
      </c>
      <c r="AW8" s="5">
        <v>0</v>
      </c>
      <c r="AX8" s="5">
        <v>0</v>
      </c>
    </row>
    <row r="9" spans="1:50" ht="15.75" customHeight="1" x14ac:dyDescent="0.2">
      <c r="A9" s="3">
        <f t="shared" si="1"/>
        <v>164007</v>
      </c>
      <c r="B9" s="3">
        <f t="shared" si="0"/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273</v>
      </c>
      <c r="AW9" s="5">
        <v>0</v>
      </c>
      <c r="AX9" s="5">
        <v>0</v>
      </c>
    </row>
    <row r="10" spans="1:50" ht="15.75" customHeight="1" x14ac:dyDescent="0.2">
      <c r="A10" s="3">
        <f t="shared" si="1"/>
        <v>164008</v>
      </c>
      <c r="B10" s="3">
        <f t="shared" si="0"/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273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164009</v>
      </c>
      <c r="B11" s="3">
        <f t="shared" si="0"/>
        <v>164009</v>
      </c>
      <c r="C11" s="3" t="s">
        <v>7</v>
      </c>
      <c r="D11" s="3" t="s">
        <v>305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164010</v>
      </c>
      <c r="B12" s="3">
        <f t="shared" si="0"/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164011</v>
      </c>
      <c r="B13" s="3">
        <f t="shared" si="0"/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164012</v>
      </c>
      <c r="B14" s="3">
        <f t="shared" ref="B14:B16" si="2">INDEX(B:B,MATCH(164000,B:B,0),1)+(ROW()-MATCH(164000,B:B,0))</f>
        <v>164012</v>
      </c>
      <c r="C14" s="3" t="s">
        <v>7</v>
      </c>
      <c r="D14" s="3" t="s">
        <v>247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246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164013</v>
      </c>
      <c r="B15" s="3">
        <f t="shared" si="2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246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164014</v>
      </c>
      <c r="B16" s="3">
        <f t="shared" si="2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246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164015</v>
      </c>
      <c r="B17" s="3">
        <f>INDEX(B:B,MATCH(164000,B:B,0),1)+(ROW()-MATCH(164000,B:B,0))</f>
        <v>164015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307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252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253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253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253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308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309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230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231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 t="shared" ref="B14:B19" si="2"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 t="shared" si="2"/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 t="shared" si="2"/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 t="shared" si="2"/>
        <v>167015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 t="shared" si="2"/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 t="shared" si="2"/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2024-12-16T01:38:07Z</dcterms:modified>
</cp:coreProperties>
</file>