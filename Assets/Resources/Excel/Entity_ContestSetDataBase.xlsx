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60CD026-7C63-4F37-B2AF-D8F02049E5AA}" xr6:coauthVersionLast="47" xr6:coauthVersionMax="47" xr10:uidLastSave="{00000000-0000-0000-0000-000000000000}"/>
  <bookViews>
    <workbookView xWindow="2055" yWindow="1080" windowWidth="25560" windowHeight="14325" tabRatio="776" firstSheet="23" activeTab="29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5" i="26" l="1"/>
  <c r="A25" i="26"/>
  <c r="B24" i="26"/>
  <c r="A24" i="26"/>
  <c r="B23" i="26"/>
  <c r="A23" i="26"/>
  <c r="B28" i="26"/>
  <c r="A28" i="26"/>
  <c r="B27" i="26"/>
  <c r="A27" i="26"/>
  <c r="B26" i="26"/>
  <c r="A26" i="26"/>
  <c r="B31" i="26"/>
  <c r="A31" i="26"/>
  <c r="B30" i="26"/>
  <c r="A30" i="26"/>
  <c r="B29" i="26"/>
  <c r="A29" i="26"/>
  <c r="B22" i="26"/>
  <c r="A22" i="26"/>
  <c r="B21" i="26"/>
  <c r="A21" i="26"/>
  <c r="B20" i="26"/>
  <c r="A20" i="26"/>
  <c r="B85" i="26"/>
  <c r="A85" i="26"/>
  <c r="B84" i="26"/>
  <c r="A84" i="26"/>
  <c r="B83" i="26"/>
  <c r="A83" i="26"/>
  <c r="B13" i="26"/>
  <c r="A13" i="26"/>
  <c r="B12" i="26"/>
  <c r="A12" i="26"/>
  <c r="B11" i="26"/>
  <c r="A11" i="26"/>
  <c r="B19" i="26"/>
  <c r="A19" i="26"/>
  <c r="B18" i="26"/>
  <c r="A18" i="26"/>
  <c r="B17" i="26"/>
  <c r="A17" i="26"/>
  <c r="B16" i="26"/>
  <c r="A16" i="26"/>
  <c r="B15" i="26"/>
  <c r="A15" i="26"/>
  <c r="B14" i="26"/>
  <c r="A14" i="26"/>
  <c r="B73" i="26"/>
  <c r="A73" i="26"/>
  <c r="B72" i="26"/>
  <c r="A72" i="26"/>
  <c r="B71" i="26"/>
  <c r="A71" i="26"/>
  <c r="B70" i="26"/>
  <c r="A70" i="26"/>
  <c r="B69" i="26"/>
  <c r="A69" i="26"/>
  <c r="B68" i="26"/>
  <c r="A68" i="26"/>
  <c r="B88" i="26"/>
  <c r="A88" i="26"/>
  <c r="B87" i="26"/>
  <c r="A87" i="26"/>
  <c r="B86" i="26"/>
  <c r="A86" i="26"/>
  <c r="B79" i="26"/>
  <c r="A79" i="26"/>
  <c r="B78" i="26"/>
  <c r="A78" i="26"/>
  <c r="B77" i="26"/>
  <c r="A77" i="26"/>
  <c r="B10" i="26"/>
  <c r="A10" i="26"/>
  <c r="B9" i="26"/>
  <c r="A9" i="26"/>
  <c r="B8" i="26"/>
  <c r="A8" i="26"/>
  <c r="B7" i="26"/>
  <c r="A7" i="26"/>
  <c r="B6" i="26"/>
  <c r="A6" i="26"/>
  <c r="B5" i="26"/>
  <c r="A5" i="26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B6" i="12"/>
  <c r="B5" i="12"/>
  <c r="A7" i="12"/>
  <c r="A6" i="12"/>
  <c r="A5" i="12"/>
  <c r="B10" i="13"/>
  <c r="A10" i="13"/>
  <c r="B9" i="13"/>
  <c r="A9" i="13"/>
  <c r="B8" i="13"/>
  <c r="A8" i="13"/>
  <c r="B7" i="13"/>
  <c r="A7" i="13"/>
  <c r="B6" i="13"/>
  <c r="A6" i="13"/>
  <c r="B5" i="13"/>
  <c r="A5" i="1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94" i="26"/>
  <c r="A94" i="26"/>
  <c r="B93" i="26"/>
  <c r="A93" i="26"/>
  <c r="B92" i="26"/>
  <c r="A92" i="26"/>
  <c r="B3" i="26"/>
  <c r="B4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B53" i="26"/>
  <c r="B54" i="26"/>
  <c r="B55" i="26"/>
  <c r="B56" i="26"/>
  <c r="B57" i="26"/>
  <c r="B58" i="26"/>
  <c r="B59" i="26"/>
  <c r="B60" i="26"/>
  <c r="B61" i="26"/>
  <c r="B62" i="26"/>
  <c r="B63" i="26"/>
  <c r="B64" i="26"/>
  <c r="B65" i="26"/>
  <c r="B66" i="26"/>
  <c r="B67" i="26"/>
  <c r="B74" i="26"/>
  <c r="B75" i="26"/>
  <c r="B76" i="26"/>
  <c r="B80" i="26"/>
  <c r="B81" i="26"/>
  <c r="B82" i="26"/>
  <c r="B89" i="26"/>
  <c r="B90" i="26"/>
  <c r="B91" i="26"/>
  <c r="A34" i="26"/>
  <c r="A33" i="26"/>
  <c r="A32" i="26"/>
  <c r="A40" i="26"/>
  <c r="A39" i="26"/>
  <c r="A38" i="26"/>
  <c r="A76" i="26"/>
  <c r="A75" i="26"/>
  <c r="A74" i="26"/>
  <c r="A91" i="26"/>
  <c r="A90" i="26"/>
  <c r="A89" i="26"/>
  <c r="A82" i="26"/>
  <c r="A81" i="26"/>
  <c r="A80" i="26"/>
  <c r="A67" i="26"/>
  <c r="A66" i="26"/>
  <c r="A65" i="26"/>
  <c r="A64" i="26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37" i="26"/>
  <c r="A36" i="26"/>
  <c r="A35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9" i="13"/>
  <c r="A19" i="13"/>
  <c r="B18" i="13"/>
  <c r="A18" i="13"/>
  <c r="B17" i="13"/>
  <c r="A17" i="13"/>
  <c r="B3" i="13"/>
  <c r="B4" i="13"/>
  <c r="B11" i="13"/>
  <c r="B12" i="13"/>
  <c r="B13" i="13"/>
  <c r="B14" i="13"/>
  <c r="B15" i="13"/>
  <c r="B16" i="13"/>
  <c r="A16" i="13"/>
  <c r="A15" i="13"/>
  <c r="A14" i="13"/>
  <c r="B28" i="12"/>
  <c r="A28" i="12"/>
  <c r="B27" i="12"/>
  <c r="A27" i="12"/>
  <c r="B26" i="12"/>
  <c r="A26" i="12"/>
  <c r="B3" i="12"/>
  <c r="B4" i="12"/>
  <c r="B17" i="12"/>
  <c r="B18" i="12"/>
  <c r="B19" i="12"/>
  <c r="B20" i="12"/>
  <c r="B21" i="12"/>
  <c r="B22" i="12"/>
  <c r="B23" i="12"/>
  <c r="B24" i="12"/>
  <c r="B25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13" i="13"/>
  <c r="A12" i="13"/>
  <c r="A11" i="13"/>
  <c r="A25" i="12"/>
  <c r="A24" i="12"/>
  <c r="A23" i="12"/>
  <c r="A22" i="12"/>
  <c r="A21" i="12"/>
  <c r="A20" i="12"/>
  <c r="A19" i="12"/>
  <c r="A18" i="12"/>
  <c r="A17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<sst xmlns="http://schemas.openxmlformats.org/spreadsheetml/2006/main" count="18928" uniqueCount="352">
  <si>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</si>
  <si>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</si>
  <si>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</si>
  <si>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</si>
  <si>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</si>
  <si>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</si>
  <si>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</si>
  <si>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</si>
  <si>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</si>
  <si>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</si>
  <si>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</si>
  <si>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</si>
  <si>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</si>
  <si>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</si>
  <si>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</si>
  <si>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</si>
  <si>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</si>
  <si>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</si>
  <si>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</si>
  <si>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</si>
  <si>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</si>
  <si>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</si>
  <si>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</si>
  <si>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</si>
  <si>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</si>
  <si>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</si>
  <si>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</si>
  <si>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</si>
  <si>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</si>
  <si>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</si>
  <si>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</si>
  <si>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</si>
  <si>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</si>
  <si>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</si>
  <si>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</si>
  <si>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</si>
  <si>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</si>
  <si>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</si>
  <si>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</si>
  <si>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</si>
  <si>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</si>
  <si>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</si>
  <si>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</si>
  <si>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</si>
  <si>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</si>
  <si>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</si>
  <si>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</si>
  <si>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</si>
  <si>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</si>
  <si>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</si>
  <si>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</si>
  <si>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</si>
  <si>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</si>
  <si>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</si>
  <si>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</si>
  <si>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</si>
  <si>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</si>
  <si>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</si>
  <si>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</si>
  <si>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</si>
  <si>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</si>
  <si>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</si>
  <si>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</si>
  <si>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</si>
  <si>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</si>
  <si>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</si>
  <si>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</si>
  <si>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</si>
  <si>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</si>
  <si>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</si>
  <si>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</si>
  <si>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</si>
  <si>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</si>
  <si>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</si>
  <si>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</si>
  <si>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</si>
  <si>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</si>
  <si>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</si>
  <si>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</si>
  <si>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</si>
  <si>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</si>
  <si>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</si>
  <si>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</si>
  <si>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</si>
  <si>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</si>
  <si>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</si>
  <si>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</si>
  <si>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</si>
  <si>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</si>
  <si>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</si>
  <si>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</si>
  <si>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</si>
  <si>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</si>
  <si>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</si>
  <si>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</si>
  <si>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</si>
  <si>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</si>
  <si>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</si>
  <si>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</si>
  <si>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</si>
  <si>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</si>
  <si>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</si>
  <si>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</si>
  <si>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</si>
  <si>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</si>
  <si>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</si>
  <si>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</si>
  <si>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</si>
  <si>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</si>
  <si>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</si>
  <si>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</si>
  <si>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</si>
  <si>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</si>
  <si>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</si>
  <si>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</si>
  <si>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</si>
  <si>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</si>
  <si>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</si>
  <si>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</si>
  <si>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</si>
  <si>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</si>
  <si>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</si>
  <si>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</si>
  <si>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</si>
  <si>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</si>
  <si>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</si>
  <si>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</si>
  <si>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</si>
  <si>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</si>
  <si>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</si>
  <si>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</si>
  <si>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</si>
  <si>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</si>
  <si>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</si>
  <si>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</si>
  <si>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</si>
  <si>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</si>
  <si>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</si>
  <si>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</si>
  <si>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</si>
  <si>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</si>
  <si>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</si>
  <si>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</si>
  <si>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</si>
  <si>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</si>
  <si>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</si>
  <si>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</si>
  <si>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</si>
  <si>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</si>
  <si>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</si>
  <si>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</si>
  <si>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</si>
  <si>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</si>
  <si>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</si>
  <si>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</si>
  <si>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</si>
  <si>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</si>
  <si>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</si>
  <si>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</si>
  <si>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</si>
  <si>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</si>
  <si>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</si>
  <si>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</si>
  <si>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</si>
  <si>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</si>
  <si>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</si>
  <si>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</si>
  <si>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</si>
  <si>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</si>
  <si>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</si>
  <si>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</si>
  <si>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</si>
  <si>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</si>
  <si>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</si>
  <si>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</si>
  <si>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</si>
  <si>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</si>
  <si>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</si>
  <si>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</si>
  <si>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</si>
  <si>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</si>
  <si>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</si>
  <si>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</si>
  <si>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</si>
  <si>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</si>
  <si>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</si>
  <si>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</si>
  <si>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</si>
  <si>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</si>
  <si>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</si>
  <si>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</si>
  <si>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</si>
  <si>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</si>
  <si>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</si>
  <si>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</si>
  <si>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</si>
  <si>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</si>
  <si>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</si>
  <si>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</si>
  <si>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</si>
  <si>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</si>
  <si>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</si>
  <si>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</si>
  <si>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</si>
  <si>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</si>
  <si>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</si>
  <si>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</si>
  <si>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</si>
  <si>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</si>
  <si>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</si>
  <si>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</si>
  <si>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</si>
  <si>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</si>
  <si>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</si>
  <si>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</si>
  <si>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</si>
  <si>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</si>
  <si>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</si>
  <si>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</si>
  <si>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</si>
  <si>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</si>
  <si>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</si>
  <si>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</si>
  <si>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</si>
  <si>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</si>
  <si>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</si>
  <si>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</si>
  <si>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</si>
  <si>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</si>
  <si>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</si>
  <si>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</si>
  <si>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</si>
  <si>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</si>
  <si>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t>a_JuiceFroat</t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</si>
  <si>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</si>
  <si>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</si>
  <si>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</si>
  <si>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</si>
  <si>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</si>
  <si>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</si>
  <si>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</si>
  <si>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</si>
  <si>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</si>
  <si>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</si>
  <si>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</si>
  <si>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</si>
  <si>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</si>
  <si>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</si>
  <si>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</si>
  <si>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</si>
  <si>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</si>
  <si>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</si>
  <si>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</si>
  <si>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</si>
  <si>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t>bush_de_noel_buttefly</t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</si>
  <si>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</si>
  <si>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</si>
  <si>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</si>
  <si>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</si>
  <si>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</si>
  <si>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</si>
  <si>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</si>
  <si>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</si>
  <si>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</si>
  <si>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</si>
  <si>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</si>
  <si>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</si>
  <si>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</si>
  <si>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</si>
  <si>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</si>
  <si>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</si>
  <si>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</si>
  <si>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</si>
  <si>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</si>
  <si>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</si>
  <si>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</si>
  <si>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</si>
  <si>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</si>
  <si>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</si>
  <si>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</si>
  <si>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</si>
  <si>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</si>
  <si>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</si>
  <si>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</si>
  <si>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</si>
  <si>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</si>
  <si>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</si>
  <si>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</si>
  <si>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</si>
  <si>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</si>
  <si>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</si>
  <si>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</si>
  <si>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</si>
  <si>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</si>
  <si>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</si>
  <si>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</si>
  <si>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</si>
  <si>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</si>
  <si>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</si>
  <si>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</si>
  <si>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</si>
  <si>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</si>
  <si>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</si>
  <si>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</si>
  <si>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</si>
  <si>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</si>
  <si>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</si>
  <si>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</si>
  <si>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</si>
  <si>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</si>
  <si>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</si>
  <si>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</si>
  <si>
    <t>cola</t>
    <phoneticPr fontId="2"/>
  </si>
  <si>
    <t>soda_rainbow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</si>
  <si>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自由課題</t>
    </r>
    <rPh sb="13" eb="17">
      <t>ジユウカダイ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</si>
  <si>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</si>
  <si>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</si>
  <si>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icemilk_frozen_twister</t>
    <phoneticPr fontId="2"/>
  </si>
  <si>
    <t>#クッキーノービスカップ　女の子好み使用</t>
    <rPh sb="13" eb="14">
      <t>オンナ</t>
    </rPh>
    <rPh sb="15" eb="16">
      <t>コ</t>
    </rPh>
    <rPh sb="16" eb="17">
      <t>コノ</t>
    </rPh>
    <rPh sb="18" eb="20">
      <t>シヨウ</t>
    </rPh>
    <phoneticPr fontId="2"/>
  </si>
  <si>
    <t>#ラスクブロカント　女の子好み使用</t>
    <rPh sb="10" eb="11">
      <t>オンナ</t>
    </rPh>
    <rPh sb="12" eb="13">
      <t>コ</t>
    </rPh>
    <rPh sb="13" eb="14">
      <t>コノ</t>
    </rPh>
    <rPh sb="15" eb="17">
      <t>シヨウ</t>
    </rPh>
    <phoneticPr fontId="2"/>
  </si>
  <si>
    <t>#オランジーナパティスリーアワード　 ケーキかクリームブリュレ　女の子好み使用</t>
    <rPh sb="32" eb="33">
      <t>オンナ</t>
    </rPh>
    <rPh sb="34" eb="35">
      <t>コ</t>
    </rPh>
    <rPh sb="35" eb="36">
      <t>コノ</t>
    </rPh>
    <rPh sb="37" eb="39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</si>
  <si>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サマードリームスフェスタ##　ここの判定値未使用</t>
    </r>
    <rPh sb="20" eb="23">
      <t>ハンテイチ</t>
    </rPh>
    <rPh sb="23" eb="26">
      <t>ミシヨウ</t>
    </rPh>
    <phoneticPr fontId="2"/>
  </si>
  <si>
    <t>##プラトンアカデミー 一回戦##　ここの判定値未使用</t>
    <rPh sb="21" eb="23">
      <t>ハンテイ</t>
    </rPh>
    <rPh sb="23" eb="24">
      <t>チ</t>
    </rPh>
    <rPh sb="24" eb="25">
      <t>ミ</t>
    </rPh>
    <rPh sb="25" eb="27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</si>
  <si>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アルクアンシェル##　ここの判定値未使用</t>
    </r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</si>
  <si>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　ここの判定値未使用</t>
    </r>
    <rPh sb="15" eb="18">
      <t>イッカイセン</t>
    </rPh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</si>
  <si>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r>
      <rPr>
        <sz val="10"/>
        <rFont val="游ゴシック"/>
        <family val="2"/>
        <charset val="128"/>
      </rPr>
      <t>　女の子好み使用と演出魔法も判定</t>
    </r>
    <rPh sb="21" eb="23">
      <t>エンシュツ</t>
    </rPh>
    <rPh sb="23" eb="25">
      <t>マホウ</t>
    </rPh>
    <rPh sb="26" eb="28">
      <t>ハンテイ</t>
    </rPh>
    <phoneticPr fontId="2"/>
  </si>
  <si>
    <r>
      <t>#</t>
    </r>
    <r>
      <rPr>
        <sz val="10"/>
        <rFont val="ＭＳ Ｐゴシック"/>
        <family val="2"/>
        <charset val="128"/>
      </rPr>
      <t>ルミエールカンデラ　　女の子好み使用と演出魔法も判定</t>
    </r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</si>
  <si>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　女の子の好み使用</t>
    </r>
    <rPh sb="22" eb="24">
      <t>シュウバン</t>
    </rPh>
    <rPh sb="27" eb="29">
      <t>キジュン</t>
    </rPh>
    <rPh sb="30" eb="33">
      <t>ナンイド</t>
    </rPh>
    <rPh sb="33" eb="34">
      <t>タカ</t>
    </rPh>
    <rPh sb="36" eb="37">
      <t>オンナ</t>
    </rPh>
    <rPh sb="38" eb="39">
      <t>コ</t>
    </rPh>
    <rPh sb="40" eb="41">
      <t>コノ</t>
    </rPh>
    <rPh sb="42" eb="44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</si>
  <si>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　女の子の好み使用</t>
    </r>
    <rPh sb="20" eb="21">
      <t>オンナ</t>
    </rPh>
    <rPh sb="22" eb="23">
      <t>コ</t>
    </rPh>
    <rPh sb="24" eb="25">
      <t>コノ</t>
    </rPh>
    <rPh sb="26" eb="28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</si>
  <si>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おみやげお菓子　女の子の好み使用</t>
    </r>
    <rPh sb="6" eb="8">
      <t>カシ</t>
    </rPh>
    <rPh sb="9" eb="10">
      <t>オンナ</t>
    </rPh>
    <rPh sb="11" eb="12">
      <t>コ</t>
    </rPh>
    <rPh sb="13" eb="14">
      <t>コノ</t>
    </rPh>
    <rPh sb="15" eb="17">
      <t>シヨウ</t>
    </rPh>
    <phoneticPr fontId="2"/>
  </si>
  <si>
    <r>
      <t>#</t>
    </r>
    <r>
      <rPr>
        <sz val="10"/>
        <rFont val="ＭＳ Ｐゴシック"/>
        <family val="2"/>
        <charset val="128"/>
      </rPr>
      <t>遥かなる蒼賞　女の子の好み使用</t>
    </r>
    <rPh sb="8" eb="9">
      <t>オンナ</t>
    </rPh>
    <rPh sb="10" eb="11">
      <t>コ</t>
    </rPh>
    <rPh sb="12" eb="13">
      <t>コノ</t>
    </rPh>
    <rPh sb="14" eb="16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</si>
  <si>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　女の子好み使用</t>
    </r>
    <rPh sb="17" eb="19">
      <t>マホウ</t>
    </rPh>
    <rPh sb="22" eb="24">
      <t>ゲンテイ</t>
    </rPh>
    <rPh sb="25" eb="26">
      <t>オンナ</t>
    </rPh>
    <rPh sb="27" eb="28">
      <t>コ</t>
    </rPh>
    <rPh sb="28" eb="29">
      <t>コノ</t>
    </rPh>
    <rPh sb="30" eb="32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</si>
  <si>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　女の子の好み使用</t>
    </r>
    <rPh sb="4" eb="7">
      <t>ヨウガシ</t>
    </rPh>
    <rPh sb="7" eb="9">
      <t>ギジュツ</t>
    </rPh>
    <rPh sb="18" eb="20">
      <t>ゲンテイ</t>
    </rPh>
    <rPh sb="21" eb="22">
      <t>オンナ</t>
    </rPh>
    <rPh sb="23" eb="24">
      <t>コ</t>
    </rPh>
    <rPh sb="25" eb="26">
      <t>コノ</t>
    </rPh>
    <rPh sb="27" eb="2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</si>
  <si>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　女の子好み使用</t>
    </r>
    <rPh sb="16" eb="17">
      <t>オンナ</t>
    </rPh>
    <rPh sb="18" eb="20">
      <t>ココノ</t>
    </rPh>
    <rPh sb="21" eb="23">
      <t>シヨウ</t>
    </rPh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</si>
  <si>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</si>
  <si>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彫刻おかし限定＜ここの判定使用しない＞</t>
    </r>
    <rPh sb="8" eb="10">
      <t>チョウコク</t>
    </rPh>
    <rPh sb="13" eb="15">
      <t>ゲンテイ</t>
    </rPh>
    <phoneticPr fontId="2"/>
  </si>
  <si>
    <t>blueberry_cookie</t>
    <phoneticPr fontId="2"/>
  </si>
  <si>
    <t>grape_cookie</t>
    <phoneticPr fontId="2"/>
  </si>
  <si>
    <t>ぶどうねこクッキー</t>
    <phoneticPr fontId="2"/>
  </si>
  <si>
    <t>IceCubeHigh</t>
    <phoneticPr fontId="2"/>
  </si>
  <si>
    <t>IceCubeEx</t>
    <phoneticPr fontId="2"/>
  </si>
  <si>
    <t>ラベンダティー</t>
    <phoneticPr fontId="2"/>
  </si>
  <si>
    <t>ice_candy</t>
    <phoneticPr fontId="2"/>
  </si>
  <si>
    <t>grape_juice</t>
    <phoneticPr fontId="2"/>
  </si>
  <si>
    <t>blueberry_juice</t>
    <phoneticPr fontId="2"/>
  </si>
  <si>
    <t>lumi_blueberry_cookie</t>
    <phoneticPr fontId="2"/>
  </si>
  <si>
    <t>lumi_grape_cookie</t>
    <phoneticPr fontId="2"/>
  </si>
  <si>
    <t>soda_night</t>
    <phoneticPr fontId="2"/>
  </si>
  <si>
    <t>blueberry_crepe</t>
    <phoneticPr fontId="2"/>
  </si>
  <si>
    <t>StrawberryIceCream</t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</si>
  <si>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</si>
  <si>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　女の子の好み使用</t>
    </r>
    <rPh sb="17" eb="18">
      <t>オンナ</t>
    </rPh>
    <rPh sb="19" eb="20">
      <t>コ</t>
    </rPh>
    <rPh sb="21" eb="22">
      <t>コノ</t>
    </rPh>
    <rPh sb="23" eb="25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</si>
</sst>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ROW()-2+20000</f>
        <v>20000</v>
      </c>
      <c r="B2" s="11">
        <v>20000</v>
      </c>
      <c r="C2" s="12" t="s">
        <v>322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ROW()-2+30000</f>
        <v>30000</v>
      </c>
      <c r="B2" s="11">
        <v>30000</v>
      </c>
      <c r="C2" s="11" t="s">
        <v>321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300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240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240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240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238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239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240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239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240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239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240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304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305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215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215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302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302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302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303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235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235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235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248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248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248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301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301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301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242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242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242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216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208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307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221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215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221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215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221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215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212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219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218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218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218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204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203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203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203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306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258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258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258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206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205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205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205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216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292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295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258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258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258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294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258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258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258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293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258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258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258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216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ROW()-2+40000</f>
        <v>40000</v>
      </c>
      <c r="B2" s="11">
        <v>40000</v>
      </c>
      <c r="C2" s="11" t="s">
        <v>323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80</v>
      </c>
      <c r="H5" s="3">
        <v>230</v>
      </c>
      <c r="I5" s="3">
        <v>0</v>
      </c>
      <c r="J5" s="3">
        <v>0</v>
      </c>
      <c r="K5" s="3">
        <v>0</v>
      </c>
      <c r="L5" s="3">
        <v>70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5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230</v>
      </c>
      <c r="I6" s="3">
        <v>0</v>
      </c>
      <c r="J6" s="3">
        <v>0</v>
      </c>
      <c r="K6" s="3">
        <v>0</v>
      </c>
      <c r="L6" s="3">
        <v>70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230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5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296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50</v>
      </c>
      <c r="F14" s="3">
        <v>0</v>
      </c>
      <c r="G14" s="3">
        <v>80</v>
      </c>
      <c r="H14" s="3">
        <v>230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10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5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50</v>
      </c>
      <c r="F15" s="3">
        <v>0</v>
      </c>
      <c r="G15" s="3">
        <v>80</v>
      </c>
      <c r="H15" s="3">
        <v>230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10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5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50</v>
      </c>
      <c r="F16" s="3">
        <v>0</v>
      </c>
      <c r="G16" s="3">
        <v>80</v>
      </c>
      <c r="H16" s="3">
        <v>230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10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5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230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10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230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5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230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5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297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214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225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220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221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221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221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226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215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215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222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223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224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254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237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216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D3" sqref="D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ROW()-2+50000</f>
        <v>50000</v>
      </c>
      <c r="B2" s="11">
        <v>50000</v>
      </c>
      <c r="C2" s="11" t="s">
        <v>324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222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223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299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19" customFormat="1" ht="15.75" customHeight="1" x14ac:dyDescent="0.2">
      <c r="A23" s="16">
        <f>ROW()-2+50000</f>
        <v>50021</v>
      </c>
      <c r="B23" s="16">
        <v>52000</v>
      </c>
      <c r="C23" s="16" t="s">
        <v>298</v>
      </c>
      <c r="D23" s="16" t="s">
        <v>7</v>
      </c>
      <c r="E23" s="16">
        <v>30</v>
      </c>
      <c r="F23" s="16">
        <v>0</v>
      </c>
      <c r="G23" s="16">
        <v>80</v>
      </c>
      <c r="H23" s="16">
        <v>200</v>
      </c>
      <c r="I23" s="16">
        <v>0</v>
      </c>
      <c r="J23" s="16">
        <v>0</v>
      </c>
      <c r="K23" s="16">
        <v>0</v>
      </c>
      <c r="L23" s="16">
        <v>100</v>
      </c>
      <c r="M23" s="16">
        <v>0</v>
      </c>
      <c r="N23" s="16">
        <v>0</v>
      </c>
      <c r="O23" s="16">
        <v>0</v>
      </c>
      <c r="P23" s="16">
        <v>0</v>
      </c>
      <c r="Q23" s="16">
        <v>70</v>
      </c>
      <c r="R23" s="16">
        <v>0</v>
      </c>
      <c r="S23" s="16">
        <v>30</v>
      </c>
      <c r="T23" s="16">
        <v>30</v>
      </c>
      <c r="U23" s="16">
        <v>30</v>
      </c>
      <c r="V23" s="16">
        <v>30</v>
      </c>
      <c r="W23" s="16">
        <v>30</v>
      </c>
      <c r="X23" s="16">
        <v>30</v>
      </c>
      <c r="Y23" s="16">
        <v>30</v>
      </c>
      <c r="Z23" s="16">
        <v>30</v>
      </c>
      <c r="AA23" s="16">
        <v>30</v>
      </c>
      <c r="AB23" s="16">
        <v>30</v>
      </c>
      <c r="AC23" s="17" t="s">
        <v>70</v>
      </c>
      <c r="AD23" s="17" t="s">
        <v>7</v>
      </c>
      <c r="AE23" s="17" t="s">
        <v>7</v>
      </c>
      <c r="AF23" s="17" t="s">
        <v>7</v>
      </c>
      <c r="AG23" s="17" t="s">
        <v>7</v>
      </c>
      <c r="AH23" s="17" t="s">
        <v>7</v>
      </c>
      <c r="AI23" s="17" t="s">
        <v>7</v>
      </c>
      <c r="AJ23" s="17" t="s">
        <v>7</v>
      </c>
      <c r="AK23" s="17" t="s">
        <v>7</v>
      </c>
      <c r="AL23" s="17">
        <v>20</v>
      </c>
      <c r="AM23" s="17">
        <v>0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0</v>
      </c>
      <c r="AV23" s="18" t="s">
        <v>147</v>
      </c>
      <c r="AW23" s="17">
        <v>0</v>
      </c>
      <c r="AX23" s="17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ROW()-2+100000</f>
        <v>100000</v>
      </c>
      <c r="B2" s="11">
        <v>100000</v>
      </c>
      <c r="C2" s="12" t="s">
        <v>318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212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32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32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32</v>
      </c>
      <c r="H13" s="3">
        <v>0</v>
      </c>
      <c r="I13" s="3">
        <v>0</v>
      </c>
      <c r="J13" s="3">
        <v>80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60</v>
      </c>
      <c r="N14" s="3">
        <v>0</v>
      </c>
      <c r="O14" s="3">
        <v>0</v>
      </c>
      <c r="P14" s="3">
        <v>0</v>
      </c>
      <c r="Q14" s="3">
        <v>40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60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60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ROW()-2+101000</f>
        <v>101000</v>
      </c>
      <c r="B2" s="11">
        <v>101000</v>
      </c>
      <c r="C2" s="12" t="s">
        <v>320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ROW()-2+102000</f>
        <v>102000</v>
      </c>
      <c r="B2" s="11">
        <v>102000</v>
      </c>
      <c r="C2" s="12" t="s">
        <v>213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ROW()-2+103000</f>
        <v>103000</v>
      </c>
      <c r="B2" s="11">
        <v>103000</v>
      </c>
      <c r="C2" s="12" t="s">
        <v>319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209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203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203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203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210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203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203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203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211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203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203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216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ROW()-2+104000</f>
        <v>104000</v>
      </c>
      <c r="B2" s="11">
        <v>104000</v>
      </c>
      <c r="C2" s="11" t="s">
        <v>325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307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306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258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258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258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ROW()-2+105000</f>
        <v>105000</v>
      </c>
      <c r="B2" s="11">
        <v>105000</v>
      </c>
      <c r="C2" s="11" t="s">
        <v>326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307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306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258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258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258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11" activePane="bottomLeft" state="frozen"/>
      <selection activeCell="D1" sqref="D1"/>
      <selection pane="bottomLeft" activeCell="D22" sqref="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ROW()-2+106000</f>
        <v>106000</v>
      </c>
      <c r="B2" s="11">
        <v>106000</v>
      </c>
      <c r="C2" s="11" t="s">
        <v>327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225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220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221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221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221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226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221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221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221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222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223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224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254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228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221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221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221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216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5" sqref="D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ROW()-2+107000</f>
        <v>107000</v>
      </c>
      <c r="B2" s="11">
        <v>107000</v>
      </c>
      <c r="C2" s="11" t="s">
        <v>328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G11" sqref="G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8" si="0">ROW()-2+120000</f>
        <v>120002</v>
      </c>
      <c r="B4" s="3">
        <f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>INDEX(B:B,MATCH(120000,B:B,0),1)+(ROW()-MATCH(120000,B:B,0))</f>
        <v>120003</v>
      </c>
      <c r="C5" s="3" t="s">
        <v>315</v>
      </c>
      <c r="D5" s="3" t="s">
        <v>7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1</v>
      </c>
      <c r="Y5" s="3">
        <v>0</v>
      </c>
      <c r="Z5" s="3">
        <v>10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316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>INDEX(B:B,MATCH(120000,B:B,0),1)+(ROW()-MATCH(120000,B:B,0))</f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32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1</v>
      </c>
      <c r="Y6" s="3">
        <v>0</v>
      </c>
      <c r="Z6" s="3">
        <v>10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316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>INDEX(B:B,MATCH(120000,B:B,0),1)+(ROW()-MATCH(120000,B:B,0))</f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32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1</v>
      </c>
      <c r="Y7" s="3">
        <v>0</v>
      </c>
      <c r="Z7" s="3">
        <v>10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316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ref="B8:B16" si="1">INDEX(B:B,MATCH(120000,B:B,0),1)+(ROW()-MATCH(120000,B:B,0))</f>
        <v>120006</v>
      </c>
      <c r="C8" s="3" t="s">
        <v>317</v>
      </c>
      <c r="D8" s="3" t="s">
        <v>7</v>
      </c>
      <c r="E8" s="3">
        <v>0</v>
      </c>
      <c r="F8" s="3">
        <v>0</v>
      </c>
      <c r="G8" s="3">
        <v>100</v>
      </c>
      <c r="H8" s="3">
        <v>0</v>
      </c>
      <c r="I8" s="3">
        <v>0</v>
      </c>
      <c r="J8" s="3">
        <v>0</v>
      </c>
      <c r="K8" s="3">
        <v>0</v>
      </c>
      <c r="L8" s="3">
        <v>50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1</v>
      </c>
      <c r="Y8" s="3">
        <v>0</v>
      </c>
      <c r="Z8" s="3">
        <v>10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262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0</v>
      </c>
      <c r="I9" s="3">
        <v>0</v>
      </c>
      <c r="J9" s="3">
        <v>0</v>
      </c>
      <c r="K9" s="3">
        <v>0</v>
      </c>
      <c r="L9" s="3">
        <v>70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10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10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263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10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10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10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264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1</v>
      </c>
      <c r="Y14" s="3">
        <v>0</v>
      </c>
      <c r="Z14" s="3">
        <v>10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70</v>
      </c>
      <c r="M15" s="3">
        <v>0</v>
      </c>
      <c r="N15" s="3">
        <v>0</v>
      </c>
      <c r="O15" s="3">
        <v>0</v>
      </c>
      <c r="P15" s="3">
        <v>0</v>
      </c>
      <c r="Q15" s="3">
        <v>50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10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1</v>
      </c>
      <c r="Y16" s="3">
        <v>0</v>
      </c>
      <c r="Z16" s="3">
        <v>10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120015</v>
      </c>
      <c r="B17" s="3">
        <f t="shared" ref="B17:B28" si="2">INDEX(B:B,MATCH(120000,B:B,0),1)+(ROW()-MATCH(120000,B:B,0))</f>
        <v>120015</v>
      </c>
      <c r="C17" s="3" t="s">
        <v>7</v>
      </c>
      <c r="D17" s="3" t="s">
        <v>71</v>
      </c>
      <c r="E17" s="3">
        <v>0</v>
      </c>
      <c r="F17" s="3">
        <v>0</v>
      </c>
      <c r="G17" s="3">
        <v>110</v>
      </c>
      <c r="H17" s="3">
        <v>0</v>
      </c>
      <c r="I17" s="3">
        <v>30</v>
      </c>
      <c r="J17" s="3">
        <v>0</v>
      </c>
      <c r="K17" s="3">
        <v>0</v>
      </c>
      <c r="L17" s="3">
        <v>60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73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25</v>
      </c>
      <c r="AM17" s="5">
        <v>30</v>
      </c>
      <c r="AN17" s="5">
        <v>30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120016</v>
      </c>
      <c r="B18" s="3">
        <f t="shared" si="2"/>
        <v>120016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0</v>
      </c>
      <c r="I18" s="3">
        <v>30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73</v>
      </c>
      <c r="AF18" s="5" t="s">
        <v>72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25</v>
      </c>
      <c r="AM18" s="5">
        <v>30</v>
      </c>
      <c r="AN18" s="5">
        <v>30</v>
      </c>
      <c r="AO18" s="5">
        <v>10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120017</v>
      </c>
      <c r="B19" s="3">
        <f t="shared" si="2"/>
        <v>120017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0</v>
      </c>
      <c r="I19" s="3">
        <v>30</v>
      </c>
      <c r="J19" s="3">
        <v>0</v>
      </c>
      <c r="K19" s="3">
        <v>0</v>
      </c>
      <c r="L19" s="3">
        <v>70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73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20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120018</v>
      </c>
      <c r="B20" s="3">
        <f t="shared" si="2"/>
        <v>120018</v>
      </c>
      <c r="C20" s="3" t="s">
        <v>7</v>
      </c>
      <c r="D20" s="3" t="s">
        <v>56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0</v>
      </c>
      <c r="K20" s="3">
        <v>0</v>
      </c>
      <c r="L20" s="3">
        <v>230</v>
      </c>
      <c r="M20" s="3">
        <v>90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62</v>
      </c>
      <c r="AD20" s="5" t="s">
        <v>37</v>
      </c>
      <c r="AE20" s="5" t="s">
        <v>22</v>
      </c>
      <c r="AF20" s="5" t="s">
        <v>7</v>
      </c>
      <c r="AG20" s="5" t="s">
        <v>128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20</v>
      </c>
      <c r="AN20" s="5">
        <v>30</v>
      </c>
      <c r="AO20" s="5">
        <v>0</v>
      </c>
      <c r="AP20" s="5">
        <v>50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120019</v>
      </c>
      <c r="B21" s="3">
        <f t="shared" si="2"/>
        <v>120019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0</v>
      </c>
      <c r="K21" s="3">
        <v>0</v>
      </c>
      <c r="L21" s="3">
        <v>230</v>
      </c>
      <c r="M21" s="3">
        <v>90</v>
      </c>
      <c r="N21" s="3">
        <v>0</v>
      </c>
      <c r="O21" s="3">
        <v>0</v>
      </c>
      <c r="P21" s="3">
        <v>0</v>
      </c>
      <c r="Q21" s="3">
        <v>130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62</v>
      </c>
      <c r="AD21" s="5" t="s">
        <v>37</v>
      </c>
      <c r="AE21" s="5" t="s">
        <v>22</v>
      </c>
      <c r="AF21" s="5" t="s">
        <v>72</v>
      </c>
      <c r="AG21" s="5" t="s">
        <v>128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30</v>
      </c>
      <c r="AM21" s="5">
        <v>20</v>
      </c>
      <c r="AN21" s="5">
        <v>30</v>
      </c>
      <c r="AO21" s="5">
        <v>50</v>
      </c>
      <c r="AP21" s="5">
        <v>50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120020</v>
      </c>
      <c r="B22" s="3">
        <f t="shared" si="2"/>
        <v>120020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0</v>
      </c>
      <c r="K22" s="3">
        <v>0</v>
      </c>
      <c r="L22" s="3">
        <v>260</v>
      </c>
      <c r="M22" s="3">
        <v>110</v>
      </c>
      <c r="N22" s="3">
        <v>0</v>
      </c>
      <c r="O22" s="3">
        <v>0</v>
      </c>
      <c r="P22" s="3">
        <v>0</v>
      </c>
      <c r="Q22" s="3">
        <v>130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30</v>
      </c>
      <c r="AO22" s="5">
        <v>0</v>
      </c>
      <c r="AP22" s="5">
        <v>50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120021</v>
      </c>
      <c r="B23" s="3">
        <f t="shared" si="2"/>
        <v>120021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120022</v>
      </c>
      <c r="B24" s="3">
        <f t="shared" si="2"/>
        <v>120022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120023</v>
      </c>
      <c r="B25" s="3">
        <f t="shared" si="2"/>
        <v>120023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120024</v>
      </c>
      <c r="B26" s="3">
        <f t="shared" si="2"/>
        <v>120024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120025</v>
      </c>
      <c r="B27" s="3">
        <f t="shared" si="2"/>
        <v>120025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120026</v>
      </c>
      <c r="B28" s="3">
        <f t="shared" si="2"/>
        <v>120026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J20" sqref="J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231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9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312</v>
      </c>
      <c r="D5" s="3" t="s">
        <v>7</v>
      </c>
      <c r="E5" s="3">
        <v>50</v>
      </c>
      <c r="F5" s="3">
        <v>0</v>
      </c>
      <c r="G5" s="3">
        <v>55</v>
      </c>
      <c r="H5" s="3">
        <v>0</v>
      </c>
      <c r="I5" s="3">
        <v>30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55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202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50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50</v>
      </c>
      <c r="F6" s="3">
        <v>0</v>
      </c>
      <c r="G6" s="3">
        <v>55</v>
      </c>
      <c r="H6" s="3">
        <v>0</v>
      </c>
      <c r="I6" s="3">
        <v>30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75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202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50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50</v>
      </c>
      <c r="F7" s="3">
        <v>0</v>
      </c>
      <c r="G7" s="3">
        <v>55</v>
      </c>
      <c r="H7" s="3">
        <v>0</v>
      </c>
      <c r="I7" s="3">
        <v>30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202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50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313</v>
      </c>
      <c r="D8" s="3" t="s">
        <v>7</v>
      </c>
      <c r="E8" s="3">
        <v>25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50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60</v>
      </c>
      <c r="Q9" s="3">
        <v>75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10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si="0"/>
        <v>121009</v>
      </c>
      <c r="C11" s="3" t="s">
        <v>7</v>
      </c>
      <c r="D11" s="3" t="s">
        <v>174</v>
      </c>
      <c r="E11" s="3">
        <v>0</v>
      </c>
      <c r="F11" s="3">
        <v>0</v>
      </c>
      <c r="G11" s="3">
        <v>55</v>
      </c>
      <c r="H11" s="3">
        <v>0</v>
      </c>
      <c r="I11" s="3">
        <v>30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70</v>
      </c>
      <c r="Q11" s="3">
        <v>55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50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0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55</v>
      </c>
      <c r="H12" s="3">
        <v>0</v>
      </c>
      <c r="I12" s="3">
        <v>30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60</v>
      </c>
      <c r="Q12" s="3">
        <v>75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50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0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55</v>
      </c>
      <c r="H13" s="3">
        <v>0</v>
      </c>
      <c r="I13" s="3">
        <v>30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90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50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121012</v>
      </c>
      <c r="B14" s="3">
        <f t="shared" si="0"/>
        <v>121012</v>
      </c>
      <c r="C14" s="3" t="s">
        <v>7</v>
      </c>
      <c r="D14" s="3" t="s">
        <v>232</v>
      </c>
      <c r="E14" s="3">
        <v>30</v>
      </c>
      <c r="F14" s="3">
        <v>0</v>
      </c>
      <c r="G14" s="3">
        <v>55</v>
      </c>
      <c r="H14" s="3">
        <v>0</v>
      </c>
      <c r="I14" s="3">
        <v>30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90</v>
      </c>
      <c r="Q14" s="3">
        <v>55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202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50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205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121013</v>
      </c>
      <c r="B15" s="3">
        <f t="shared" si="0"/>
        <v>121013</v>
      </c>
      <c r="C15" s="3" t="s">
        <v>7</v>
      </c>
      <c r="D15" s="3" t="s">
        <v>7</v>
      </c>
      <c r="E15" s="3">
        <v>30</v>
      </c>
      <c r="F15" s="3">
        <v>0</v>
      </c>
      <c r="G15" s="3">
        <v>55</v>
      </c>
      <c r="H15" s="3">
        <v>0</v>
      </c>
      <c r="I15" s="3">
        <v>30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90</v>
      </c>
      <c r="Q15" s="3">
        <v>55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202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50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205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121014</v>
      </c>
      <c r="B16" s="3">
        <f t="shared" si="0"/>
        <v>121014</v>
      </c>
      <c r="C16" s="3" t="s">
        <v>7</v>
      </c>
      <c r="D16" s="3" t="s">
        <v>7</v>
      </c>
      <c r="E16" s="3">
        <v>30</v>
      </c>
      <c r="F16" s="3">
        <v>0</v>
      </c>
      <c r="G16" s="3">
        <v>55</v>
      </c>
      <c r="H16" s="3">
        <v>0</v>
      </c>
      <c r="I16" s="3">
        <v>30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90</v>
      </c>
      <c r="Q16" s="3">
        <v>55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202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50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205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121015</v>
      </c>
      <c r="B17" s="3">
        <f t="shared" si="0"/>
        <v>121015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121016</v>
      </c>
      <c r="B18" s="3">
        <f t="shared" si="0"/>
        <v>121016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121017</v>
      </c>
      <c r="B19" s="3">
        <f t="shared" si="0"/>
        <v>121017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I23" sqref="I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ROW()-2+122000</f>
        <v>122000</v>
      </c>
      <c r="B2" s="11">
        <v>122000</v>
      </c>
      <c r="C2" s="11" t="s">
        <v>314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206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233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232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ROW()-2+123000</f>
        <v>123000</v>
      </c>
      <c r="B2" s="11">
        <v>123000</v>
      </c>
      <c r="C2" s="11" t="s">
        <v>329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214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225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221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221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221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226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221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221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221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222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223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224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254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237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238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239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240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239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240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239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240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241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243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242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242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242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244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218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218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218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245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218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218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218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228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221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227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221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227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221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227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236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235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235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235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234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219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218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218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218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216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246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241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214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247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249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250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250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250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211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251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251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251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252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205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205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253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205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205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216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ROW()-2+125000</f>
        <v>125000</v>
      </c>
      <c r="B2" s="11">
        <v>125000</v>
      </c>
      <c r="C2" s="11" t="s">
        <v>330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ROW()-2+126000</f>
        <v>126000</v>
      </c>
      <c r="B2" s="11">
        <v>126000</v>
      </c>
      <c r="C2" s="11" t="s">
        <v>331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226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254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219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204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203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203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206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232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ROW()-2+127000</f>
        <v>127000</v>
      </c>
      <c r="B2" s="11">
        <v>127000</v>
      </c>
      <c r="C2" s="11" t="s">
        <v>332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220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226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ROW()-2+140000</f>
        <v>140000</v>
      </c>
      <c r="B2" s="11">
        <v>140000</v>
      </c>
      <c r="C2" s="11" t="s">
        <v>333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90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ROW()-2+141000</f>
        <v>141000</v>
      </c>
      <c r="B2" s="11">
        <v>141000</v>
      </c>
      <c r="C2" s="11" t="s">
        <v>308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217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225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222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223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255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257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258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258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258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229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256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216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ROW()-2+142000</f>
        <v>142000</v>
      </c>
      <c r="B2" s="11">
        <v>142000</v>
      </c>
      <c r="C2" s="11" t="s">
        <v>309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241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242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242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242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234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ROW()-2+143000</f>
        <v>143000</v>
      </c>
      <c r="B2" s="11">
        <v>143000</v>
      </c>
      <c r="C2" s="11" t="s">
        <v>310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220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226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224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254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217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244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245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218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218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218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228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221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227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221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227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221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227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234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219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218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218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218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204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203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203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228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227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227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227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236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235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235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235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216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F22" sqref="F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ROW()-2+144000</f>
        <v>144000</v>
      </c>
      <c r="B2" s="11">
        <v>144000</v>
      </c>
      <c r="C2" s="11" t="s">
        <v>334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259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259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259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3" sqref="D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ROW()-2+145000</f>
        <v>145000</v>
      </c>
      <c r="B2" s="11">
        <v>145000</v>
      </c>
      <c r="C2" s="11" t="s">
        <v>335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261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262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262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262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263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262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262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264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260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94"/>
  <sheetViews>
    <sheetView zoomScale="85" zoomScaleNormal="85" workbookViewId="0">
      <pane ySplit="1" topLeftCell="A2" activePane="bottomLeft" state="frozen"/>
      <selection activeCell="D1" sqref="D1"/>
      <selection pane="bottomLeft" activeCell="Q24" sqref="Q2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278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4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>INDEX(B:B,MATCH(146000,B:B,0),1)+(ROW()-MATCH(146000,B:B,0))</f>
        <v>146003</v>
      </c>
      <c r="C5" s="3" t="s">
        <v>336</v>
      </c>
      <c r="D5" s="3" t="s">
        <v>7</v>
      </c>
      <c r="E5" s="3">
        <v>0</v>
      </c>
      <c r="F5" s="3">
        <v>0</v>
      </c>
      <c r="G5" s="3">
        <v>60</v>
      </c>
      <c r="H5" s="3">
        <v>0</v>
      </c>
      <c r="I5" s="3">
        <v>50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269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>INDEX(B:B,MATCH(146000,B:B,0),1)+(ROW()-MATCH(146000,B:B,0))</f>
        <v>146004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0</v>
      </c>
      <c r="I6" s="3">
        <v>50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269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>INDEX(B:B,MATCH(146000,B:B,0),1)+(ROW()-MATCH(146000,B:B,0))</f>
        <v>146005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0</v>
      </c>
      <c r="I7" s="3">
        <v>50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269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>INDEX(B:B,MATCH(146000,B:B,0),1)+(ROW()-MATCH(146000,B:B,0))</f>
        <v>146006</v>
      </c>
      <c r="C8" s="3" t="s">
        <v>337</v>
      </c>
      <c r="D8" s="3" t="s">
        <v>7</v>
      </c>
      <c r="E8" s="3">
        <v>0</v>
      </c>
      <c r="F8" s="3">
        <v>0</v>
      </c>
      <c r="G8" s="3">
        <v>48</v>
      </c>
      <c r="H8" s="3">
        <v>0</v>
      </c>
      <c r="I8" s="3">
        <v>30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23</v>
      </c>
      <c r="AD8" s="5" t="s">
        <v>70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-50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338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>INDEX(B:B,MATCH(146000,B:B,0),1)+(ROW()-MATCH(146000,B:B,0))</f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48</v>
      </c>
      <c r="H9" s="3">
        <v>0</v>
      </c>
      <c r="I9" s="3">
        <v>30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23</v>
      </c>
      <c r="AD9" s="5" t="s">
        <v>70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-50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338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>INDEX(B:B,MATCH(146000,B:B,0),1)+(ROW()-MATCH(146000,B:B,0))</f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48</v>
      </c>
      <c r="H10" s="3">
        <v>0</v>
      </c>
      <c r="I10" s="3">
        <v>30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23</v>
      </c>
      <c r="AD10" s="5" t="s">
        <v>70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-50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338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>INDEX(B:B,MATCH(146000,B:B,0),1)+(ROW()-MATCH(146000,B:B,0))</f>
        <v>146009</v>
      </c>
      <c r="C11" s="3" t="s">
        <v>346</v>
      </c>
      <c r="D11" s="3" t="s">
        <v>7</v>
      </c>
      <c r="E11" s="3">
        <v>0</v>
      </c>
      <c r="F11" s="3">
        <v>0</v>
      </c>
      <c r="G11" s="3">
        <v>48</v>
      </c>
      <c r="H11" s="3">
        <v>0</v>
      </c>
      <c r="I11" s="3">
        <v>30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23</v>
      </c>
      <c r="AD11" s="5" t="s">
        <v>70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-50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338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>INDEX(B:B,MATCH(146000,B:B,0),1)+(ROW()-MATCH(146000,B:B,0))</f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48</v>
      </c>
      <c r="H12" s="3">
        <v>0</v>
      </c>
      <c r="I12" s="3">
        <v>30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23</v>
      </c>
      <c r="AD12" s="5" t="s">
        <v>70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-50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338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>INDEX(B:B,MATCH(146000,B:B,0),1)+(ROW()-MATCH(146000,B:B,0))</f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48</v>
      </c>
      <c r="H13" s="3">
        <v>0</v>
      </c>
      <c r="I13" s="3">
        <v>30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23</v>
      </c>
      <c r="AD13" s="5" t="s">
        <v>70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-50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338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>INDEX(B:B,MATCH(146000,B:B,0),1)+(ROW()-MATCH(146000,B:B,0))</f>
        <v>146012</v>
      </c>
      <c r="C14" s="3" t="s">
        <v>345</v>
      </c>
      <c r="D14" s="3" t="s">
        <v>7</v>
      </c>
      <c r="E14" s="3">
        <v>0</v>
      </c>
      <c r="F14" s="3">
        <v>0</v>
      </c>
      <c r="G14" s="3">
        <v>60</v>
      </c>
      <c r="H14" s="3">
        <v>0</v>
      </c>
      <c r="I14" s="3">
        <v>50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>INDEX(B:B,MATCH(146000,B:B,0),1)+(ROW()-MATCH(146000,B:B,0))</f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60</v>
      </c>
      <c r="H15" s="3">
        <v>0</v>
      </c>
      <c r="I15" s="3">
        <v>50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>INDEX(B:B,MATCH(146000,B:B,0),1)+(ROW()-MATCH(146000,B:B,0))</f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60</v>
      </c>
      <c r="H16" s="3">
        <v>0</v>
      </c>
      <c r="I16" s="3">
        <v>50</v>
      </c>
      <c r="J16" s="3">
        <v>90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>INDEX(B:B,MATCH(146000,B:B,0),1)+(ROW()-MATCH(146000,B:B,0))</f>
        <v>146015</v>
      </c>
      <c r="C17" s="3" t="s">
        <v>268</v>
      </c>
      <c r="D17" s="3" t="s">
        <v>7</v>
      </c>
      <c r="E17" s="3">
        <v>0</v>
      </c>
      <c r="F17" s="3">
        <v>0</v>
      </c>
      <c r="G17" s="3">
        <v>70</v>
      </c>
      <c r="H17" s="3">
        <v>0</v>
      </c>
      <c r="I17" s="3">
        <v>0</v>
      </c>
      <c r="J17" s="3">
        <v>80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269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>INDEX(B:B,MATCH(146000,B:B,0),1)+(ROW()-MATCH(146000,B:B,0))</f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70</v>
      </c>
      <c r="H18" s="3">
        <v>0</v>
      </c>
      <c r="I18" s="3">
        <v>0</v>
      </c>
      <c r="J18" s="3">
        <v>80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110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269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>INDEX(B:B,MATCH(146000,B:B,0),1)+(ROW()-MATCH(146000,B:B,0))</f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70</v>
      </c>
      <c r="H19" s="3">
        <v>0</v>
      </c>
      <c r="I19" s="3">
        <v>0</v>
      </c>
      <c r="J19" s="3">
        <v>120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269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>INDEX(B:B,MATCH(146000,B:B,0),1)+(ROW()-MATCH(146000,B:B,0))</f>
        <v>146018</v>
      </c>
      <c r="C20" s="3" t="s">
        <v>315</v>
      </c>
      <c r="D20" s="3" t="s">
        <v>7</v>
      </c>
      <c r="E20" s="3">
        <v>0</v>
      </c>
      <c r="F20" s="3">
        <v>0</v>
      </c>
      <c r="G20" s="3">
        <v>32</v>
      </c>
      <c r="H20" s="3">
        <v>0</v>
      </c>
      <c r="I20" s="3">
        <v>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316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>INDEX(B:B,MATCH(146000,B:B,0),1)+(ROW()-MATCH(146000,B:B,0))</f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32</v>
      </c>
      <c r="H21" s="3">
        <v>0</v>
      </c>
      <c r="I21" s="3">
        <v>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316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>INDEX(B:B,MATCH(146000,B:B,0),1)+(ROW()-MATCH(146000,B:B,0))</f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32</v>
      </c>
      <c r="H22" s="3">
        <v>0</v>
      </c>
      <c r="I22" s="3">
        <v>0</v>
      </c>
      <c r="J22" s="3">
        <v>100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316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ref="B23:B25" si="1">INDEX(B:B,MATCH(146000,B:B,0),1)+(ROW()-MATCH(146000,B:B,0))</f>
        <v>146021</v>
      </c>
      <c r="C23" s="3" t="s">
        <v>199</v>
      </c>
      <c r="D23" s="3" t="s">
        <v>7</v>
      </c>
      <c r="E23" s="3">
        <v>0</v>
      </c>
      <c r="F23" s="3">
        <v>0</v>
      </c>
      <c r="G23" s="3">
        <v>54</v>
      </c>
      <c r="H23" s="3">
        <v>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251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1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251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1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100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251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>INDEX(B:B,MATCH(146000,B:B,0),1)+(ROW()-MATCH(146000,B:B,0))</f>
        <v>146024</v>
      </c>
      <c r="C26" s="3" t="s">
        <v>348</v>
      </c>
      <c r="D26" s="3" t="s">
        <v>7</v>
      </c>
      <c r="E26" s="3">
        <v>0</v>
      </c>
      <c r="F26" s="3">
        <v>0</v>
      </c>
      <c r="G26" s="3">
        <v>130</v>
      </c>
      <c r="H26" s="3">
        <v>0</v>
      </c>
      <c r="I26" s="3">
        <v>50</v>
      </c>
      <c r="J26" s="3">
        <v>0</v>
      </c>
      <c r="K26" s="3">
        <v>85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90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37</v>
      </c>
      <c r="AD26" s="5" t="s">
        <v>70</v>
      </c>
      <c r="AE26" s="5" t="s">
        <v>349</v>
      </c>
      <c r="AF26" s="5" t="s">
        <v>39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10</v>
      </c>
      <c r="AN26">
        <v>30</v>
      </c>
      <c r="AO26" s="5">
        <v>20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350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>INDEX(B:B,MATCH(146000,B:B,0),1)+(ROW()-MATCH(146000,B:B,0))</f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130</v>
      </c>
      <c r="H27" s="3">
        <v>0</v>
      </c>
      <c r="I27" s="3">
        <v>50</v>
      </c>
      <c r="J27" s="3">
        <v>0</v>
      </c>
      <c r="K27" s="3">
        <v>85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110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37</v>
      </c>
      <c r="AD27" s="5" t="s">
        <v>70</v>
      </c>
      <c r="AE27" s="5" t="s">
        <v>349</v>
      </c>
      <c r="AF27" s="5" t="s">
        <v>39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10</v>
      </c>
      <c r="AN27">
        <v>30</v>
      </c>
      <c r="AO27" s="5">
        <v>20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350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>INDEX(B:B,MATCH(146000,B:B,0),1)+(ROW()-MATCH(146000,B:B,0))</f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130</v>
      </c>
      <c r="H28" s="3">
        <v>0</v>
      </c>
      <c r="I28" s="3">
        <v>50</v>
      </c>
      <c r="J28" s="3">
        <v>0</v>
      </c>
      <c r="K28" s="3">
        <v>125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37</v>
      </c>
      <c r="AD28" s="5" t="s">
        <v>70</v>
      </c>
      <c r="AE28" s="5" t="s">
        <v>349</v>
      </c>
      <c r="AF28" s="5" t="s">
        <v>39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10</v>
      </c>
      <c r="AN28">
        <v>30</v>
      </c>
      <c r="AO28" s="5">
        <v>20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350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>INDEX(B:B,MATCH(146000,B:B,0),1)+(ROW()-MATCH(146000,B:B,0))</f>
        <v>146027</v>
      </c>
      <c r="C29" s="3" t="s">
        <v>247</v>
      </c>
      <c r="D29" s="3" t="s">
        <v>7</v>
      </c>
      <c r="E29" s="3">
        <v>0</v>
      </c>
      <c r="F29" s="3">
        <v>0</v>
      </c>
      <c r="G29" s="3">
        <v>77</v>
      </c>
      <c r="H29" s="3">
        <v>0</v>
      </c>
      <c r="I29" s="3">
        <v>50</v>
      </c>
      <c r="J29" s="3">
        <v>0</v>
      </c>
      <c r="K29" s="3">
        <v>80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60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>INDEX(B:B,MATCH(146000,B:B,0),1)+(ROW()-MATCH(146000,B:B,0))</f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77</v>
      </c>
      <c r="H30" s="3">
        <v>0</v>
      </c>
      <c r="I30" s="3">
        <v>50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85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37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>INDEX(B:B,MATCH(146000,B:B,0),1)+(ROW()-MATCH(146000,B:B,0))</f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77</v>
      </c>
      <c r="H31" s="3">
        <v>0</v>
      </c>
      <c r="I31" s="3">
        <v>50</v>
      </c>
      <c r="J31" s="3">
        <v>0</v>
      </c>
      <c r="K31" s="3">
        <v>110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37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>INDEX(B:B,MATCH(146000,B:B,0),1)+(ROW()-MATCH(146000,B:B,0))</f>
        <v>146030</v>
      </c>
      <c r="C32" s="3" t="s">
        <v>185</v>
      </c>
      <c r="D32" s="3" t="s">
        <v>7</v>
      </c>
      <c r="E32" s="3">
        <v>100</v>
      </c>
      <c r="F32" s="3">
        <v>0</v>
      </c>
      <c r="G32" s="3">
        <v>60</v>
      </c>
      <c r="H32" s="3">
        <v>30</v>
      </c>
      <c r="I32" s="3">
        <v>30</v>
      </c>
      <c r="J32" s="3">
        <v>0</v>
      </c>
      <c r="K32" s="3">
        <v>130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>INDEX(B:B,MATCH(146000,B:B,0),1)+(ROW()-MATCH(146000,B:B,0))</f>
        <v>146031</v>
      </c>
      <c r="C33" s="3" t="s">
        <v>7</v>
      </c>
      <c r="D33" s="3" t="s">
        <v>7</v>
      </c>
      <c r="E33" s="3">
        <v>100</v>
      </c>
      <c r="F33" s="3">
        <v>0</v>
      </c>
      <c r="G33" s="3">
        <v>60</v>
      </c>
      <c r="H33" s="3">
        <v>30</v>
      </c>
      <c r="I33" s="3">
        <v>30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>INDEX(B:B,MATCH(146000,B:B,0),1)+(ROW()-MATCH(146000,B:B,0))</f>
        <v>146032</v>
      </c>
      <c r="C34" s="3" t="s">
        <v>7</v>
      </c>
      <c r="D34" s="3" t="s">
        <v>7</v>
      </c>
      <c r="E34" s="3">
        <v>100</v>
      </c>
      <c r="F34" s="3">
        <v>0</v>
      </c>
      <c r="G34" s="3">
        <v>60</v>
      </c>
      <c r="H34" s="3">
        <v>30</v>
      </c>
      <c r="I34" s="3">
        <v>30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>INDEX(B:B,MATCH(146000,B:B,0),1)+(ROW()-MATCH(146000,B:B,0))</f>
        <v>146033</v>
      </c>
      <c r="C35" s="3" t="s">
        <v>265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0</v>
      </c>
      <c r="J35" s="3">
        <v>0</v>
      </c>
      <c r="K35" s="3">
        <v>0</v>
      </c>
      <c r="L35" s="3">
        <v>120</v>
      </c>
      <c r="M35" s="3">
        <v>90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258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>INDEX(B:B,MATCH(146000,B:B,0),1)+(ROW()-MATCH(146000,B:B,0))</f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0</v>
      </c>
      <c r="J36" s="3">
        <v>0</v>
      </c>
      <c r="K36" s="3">
        <v>0</v>
      </c>
      <c r="L36" s="3">
        <v>120</v>
      </c>
      <c r="M36" s="3">
        <v>90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258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>INDEX(B:B,MATCH(146000,B:B,0),1)+(ROW()-MATCH(146000,B:B,0))</f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0</v>
      </c>
      <c r="I37" s="3">
        <v>0</v>
      </c>
      <c r="J37" s="3">
        <v>0</v>
      </c>
      <c r="K37" s="3">
        <v>0</v>
      </c>
      <c r="L37" s="3">
        <v>140</v>
      </c>
      <c r="M37" s="3">
        <v>110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>INDEX(B:B,MATCH(146000,B:B,0),1)+(ROW()-MATCH(146000,B:B,0))</f>
        <v>146036</v>
      </c>
      <c r="C38" s="3" t="s">
        <v>277</v>
      </c>
      <c r="D38" s="3" t="s">
        <v>7</v>
      </c>
      <c r="E38" s="3">
        <v>0</v>
      </c>
      <c r="F38" s="3">
        <v>0</v>
      </c>
      <c r="G38" s="3">
        <v>120</v>
      </c>
      <c r="H38" s="3">
        <v>0</v>
      </c>
      <c r="I38" s="3">
        <v>40</v>
      </c>
      <c r="J38" s="3">
        <v>0</v>
      </c>
      <c r="K38" s="3">
        <v>70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106</v>
      </c>
      <c r="AD38" s="5" t="s">
        <v>57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5</v>
      </c>
      <c r="AM38" s="5">
        <v>10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>INDEX(B:B,MATCH(146000,B:B,0),1)+(ROW()-MATCH(146000,B:B,0))</f>
        <v>146037</v>
      </c>
      <c r="C39" s="3" t="s">
        <v>7</v>
      </c>
      <c r="D39" s="3" t="s">
        <v>7</v>
      </c>
      <c r="E39" s="3">
        <v>0</v>
      </c>
      <c r="F39" s="3">
        <v>0</v>
      </c>
      <c r="G39" s="3">
        <v>120</v>
      </c>
      <c r="H39" s="3">
        <v>0</v>
      </c>
      <c r="I39" s="3">
        <v>40</v>
      </c>
      <c r="J39" s="3">
        <v>0</v>
      </c>
      <c r="K39" s="3">
        <v>70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106</v>
      </c>
      <c r="AD39" s="5" t="s">
        <v>57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10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>INDEX(B:B,MATCH(146000,B:B,0),1)+(ROW()-MATCH(146000,B:B,0))</f>
        <v>146038</v>
      </c>
      <c r="C40" s="3" t="s">
        <v>7</v>
      </c>
      <c r="D40" s="3" t="s">
        <v>7</v>
      </c>
      <c r="E40" s="3">
        <v>0</v>
      </c>
      <c r="F40" s="3">
        <v>0</v>
      </c>
      <c r="G40" s="3">
        <v>120</v>
      </c>
      <c r="H40" s="3">
        <v>0</v>
      </c>
      <c r="I40" s="3">
        <v>40</v>
      </c>
      <c r="J40" s="3">
        <v>0</v>
      </c>
      <c r="K40" s="3">
        <v>90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106</v>
      </c>
      <c r="AD40" s="5" t="s">
        <v>57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5</v>
      </c>
      <c r="AM40" s="5">
        <v>10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258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>INDEX(B:B,MATCH(146000,B:B,0),1)+(ROW()-MATCH(146000,B:B,0))</f>
        <v>146039</v>
      </c>
      <c r="C41" s="3" t="s">
        <v>266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0</v>
      </c>
      <c r="L41" s="3">
        <v>50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70</v>
      </c>
      <c r="AD41" s="5" t="s">
        <v>57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258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>INDEX(B:B,MATCH(146000,B:B,0),1)+(ROW()-MATCH(146000,B:B,0))</f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0</v>
      </c>
      <c r="J42" s="3">
        <v>0</v>
      </c>
      <c r="K42" s="3">
        <v>0</v>
      </c>
      <c r="L42" s="3">
        <v>50</v>
      </c>
      <c r="M42" s="3">
        <v>0</v>
      </c>
      <c r="N42" s="3">
        <v>0</v>
      </c>
      <c r="O42" s="3">
        <v>0</v>
      </c>
      <c r="P42" s="3">
        <v>0</v>
      </c>
      <c r="Q42" s="3">
        <v>120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70</v>
      </c>
      <c r="AD42" s="5" t="s">
        <v>57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258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>INDEX(B:B,MATCH(146000,B:B,0),1)+(ROW()-MATCH(146000,B:B,0))</f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0</v>
      </c>
      <c r="J43" s="3">
        <v>0</v>
      </c>
      <c r="K43" s="3">
        <v>0</v>
      </c>
      <c r="L43" s="3">
        <v>90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70</v>
      </c>
      <c r="AD43" s="5" t="s">
        <v>57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258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>INDEX(B:B,MATCH(146000,B:B,0),1)+(ROW()-MATCH(146000,B:B,0))</f>
        <v>146042</v>
      </c>
      <c r="C44" s="3" t="s">
        <v>267</v>
      </c>
      <c r="D44" s="3" t="s">
        <v>7</v>
      </c>
      <c r="E44" s="3">
        <v>0</v>
      </c>
      <c r="F44" s="3">
        <v>0</v>
      </c>
      <c r="G44" s="3">
        <v>100</v>
      </c>
      <c r="H44" s="3">
        <v>0</v>
      </c>
      <c r="I44" s="3">
        <v>0</v>
      </c>
      <c r="J44" s="3">
        <v>0</v>
      </c>
      <c r="K44" s="3">
        <v>0</v>
      </c>
      <c r="L44" s="3">
        <v>50</v>
      </c>
      <c r="M44" s="3">
        <v>0</v>
      </c>
      <c r="N44" s="3">
        <v>0</v>
      </c>
      <c r="O44" s="3">
        <v>0</v>
      </c>
      <c r="P44" s="3">
        <v>0</v>
      </c>
      <c r="Q44" s="3">
        <v>100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70</v>
      </c>
      <c r="AD44" s="5" t="s">
        <v>65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20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258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>INDEX(B:B,MATCH(146000,B:B,0),1)+(ROW()-MATCH(146000,B:B,0))</f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100</v>
      </c>
      <c r="H45" s="3">
        <v>0</v>
      </c>
      <c r="I45" s="3">
        <v>0</v>
      </c>
      <c r="J45" s="3">
        <v>0</v>
      </c>
      <c r="K45" s="3">
        <v>0</v>
      </c>
      <c r="L45" s="3">
        <v>50</v>
      </c>
      <c r="M45" s="3">
        <v>0</v>
      </c>
      <c r="N45" s="3">
        <v>0</v>
      </c>
      <c r="O45" s="3">
        <v>0</v>
      </c>
      <c r="P45" s="3">
        <v>0</v>
      </c>
      <c r="Q45" s="3">
        <v>120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70</v>
      </c>
      <c r="AD45" s="5" t="s">
        <v>65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20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258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>INDEX(B:B,MATCH(146000,B:B,0),1)+(ROW()-MATCH(146000,B:B,0))</f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100</v>
      </c>
      <c r="H46" s="3">
        <v>0</v>
      </c>
      <c r="I46" s="3">
        <v>0</v>
      </c>
      <c r="J46" s="3">
        <v>0</v>
      </c>
      <c r="K46" s="3">
        <v>0</v>
      </c>
      <c r="L46" s="3">
        <v>90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70</v>
      </c>
      <c r="AD46" s="5" t="s">
        <v>65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20</v>
      </c>
      <c r="AM46" s="5">
        <v>20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258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>INDEX(B:B,MATCH(146000,B:B,0),1)+(ROW()-MATCH(146000,B:B,0))</f>
        <v>146045</v>
      </c>
      <c r="C47" s="3" t="s">
        <v>268</v>
      </c>
      <c r="D47" s="3" t="s">
        <v>7</v>
      </c>
      <c r="E47" s="3">
        <v>0</v>
      </c>
      <c r="F47" s="3">
        <v>0</v>
      </c>
      <c r="G47" s="3">
        <v>70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>INDEX(B:B,MATCH(146000,B:B,0),1)+(ROW()-MATCH(146000,B:B,0))</f>
        <v>146046</v>
      </c>
      <c r="C48" s="3" t="s">
        <v>7</v>
      </c>
      <c r="D48" s="3" t="s">
        <v>7</v>
      </c>
      <c r="E48" s="3">
        <v>0</v>
      </c>
      <c r="F48" s="3">
        <v>0</v>
      </c>
      <c r="G48" s="3">
        <v>70</v>
      </c>
      <c r="H48" s="3">
        <v>0</v>
      </c>
      <c r="I48" s="3">
        <v>0</v>
      </c>
      <c r="J48" s="3">
        <v>80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79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>INDEX(B:B,MATCH(146000,B:B,0),1)+(ROW()-MATCH(146000,B:B,0))</f>
        <v>146047</v>
      </c>
      <c r="C49" s="3" t="s">
        <v>7</v>
      </c>
      <c r="D49" s="3" t="s">
        <v>7</v>
      </c>
      <c r="E49" s="3">
        <v>0</v>
      </c>
      <c r="F49" s="3">
        <v>0</v>
      </c>
      <c r="G49" s="3">
        <v>70</v>
      </c>
      <c r="H49" s="3">
        <v>0</v>
      </c>
      <c r="I49" s="3">
        <v>0</v>
      </c>
      <c r="J49" s="3">
        <v>110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>INDEX(B:B,MATCH(146000,B:B,0),1)+(ROW()-MATCH(146000,B:B,0))</f>
        <v>146048</v>
      </c>
      <c r="C50" s="3" t="s">
        <v>270</v>
      </c>
      <c r="D50" s="3" t="s">
        <v>7</v>
      </c>
      <c r="E50" s="3">
        <v>0</v>
      </c>
      <c r="F50" s="3">
        <v>0</v>
      </c>
      <c r="G50" s="3">
        <v>80</v>
      </c>
      <c r="H50" s="3">
        <v>200</v>
      </c>
      <c r="I50" s="3">
        <v>0</v>
      </c>
      <c r="J50" s="3">
        <v>0</v>
      </c>
      <c r="K50" s="3">
        <v>0</v>
      </c>
      <c r="L50" s="3">
        <v>100</v>
      </c>
      <c r="M50" s="3">
        <v>0</v>
      </c>
      <c r="N50" s="3">
        <v>0</v>
      </c>
      <c r="O50" s="3">
        <v>0</v>
      </c>
      <c r="P50" s="3">
        <v>0</v>
      </c>
      <c r="Q50" s="3">
        <v>70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70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148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>INDEX(B:B,MATCH(146000,B:B,0),1)+(ROW()-MATCH(146000,B:B,0))</f>
        <v>146049</v>
      </c>
      <c r="C51" s="3" t="s">
        <v>7</v>
      </c>
      <c r="D51" s="3" t="s">
        <v>7</v>
      </c>
      <c r="E51" s="3">
        <v>0</v>
      </c>
      <c r="F51" s="3">
        <v>0</v>
      </c>
      <c r="G51" s="3">
        <v>80</v>
      </c>
      <c r="H51" s="3">
        <v>200</v>
      </c>
      <c r="I51" s="3">
        <v>0</v>
      </c>
      <c r="J51" s="3">
        <v>0</v>
      </c>
      <c r="K51" s="3">
        <v>0</v>
      </c>
      <c r="L51" s="3">
        <v>100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70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148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>INDEX(B:B,MATCH(146000,B:B,0),1)+(ROW()-MATCH(146000,B:B,0))</f>
        <v>146050</v>
      </c>
      <c r="C52" s="3" t="s">
        <v>7</v>
      </c>
      <c r="D52" s="3" t="s">
        <v>7</v>
      </c>
      <c r="E52" s="3">
        <v>0</v>
      </c>
      <c r="F52" s="3">
        <v>0</v>
      </c>
      <c r="G52" s="3">
        <v>80</v>
      </c>
      <c r="H52" s="3">
        <v>200</v>
      </c>
      <c r="I52" s="3">
        <v>0</v>
      </c>
      <c r="J52" s="3">
        <v>0</v>
      </c>
      <c r="K52" s="3">
        <v>0</v>
      </c>
      <c r="L52" s="3">
        <v>130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70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148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>INDEX(B:B,MATCH(146000,B:B,0),1)+(ROW()-MATCH(146000,B:B,0))</f>
        <v>146051</v>
      </c>
      <c r="C53" s="3" t="s">
        <v>271</v>
      </c>
      <c r="D53" s="3" t="s">
        <v>7</v>
      </c>
      <c r="E53" s="3">
        <v>0</v>
      </c>
      <c r="F53" s="3">
        <v>0</v>
      </c>
      <c r="G53" s="3">
        <v>80</v>
      </c>
      <c r="H53" s="3">
        <v>200</v>
      </c>
      <c r="I53" s="3">
        <v>0</v>
      </c>
      <c r="J53" s="3">
        <v>0</v>
      </c>
      <c r="K53" s="3">
        <v>0</v>
      </c>
      <c r="L53" s="3">
        <v>100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70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148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>INDEX(B:B,MATCH(146000,B:B,0),1)+(ROW()-MATCH(146000,B:B,0))</f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200</v>
      </c>
      <c r="I54" s="3">
        <v>0</v>
      </c>
      <c r="J54" s="3">
        <v>0</v>
      </c>
      <c r="K54" s="3">
        <v>0</v>
      </c>
      <c r="L54" s="3">
        <v>100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70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148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>INDEX(B:B,MATCH(146000,B:B,0),1)+(ROW()-MATCH(146000,B:B,0))</f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200</v>
      </c>
      <c r="I55" s="3">
        <v>0</v>
      </c>
      <c r="J55" s="3">
        <v>0</v>
      </c>
      <c r="K55" s="3">
        <v>0</v>
      </c>
      <c r="L55" s="3">
        <v>130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70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148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146054</v>
      </c>
      <c r="B56" s="3">
        <f>INDEX(B:B,MATCH(146000,B:B,0),1)+(ROW()-MATCH(146000,B:B,0))</f>
        <v>146054</v>
      </c>
      <c r="C56" s="3" t="s">
        <v>272</v>
      </c>
      <c r="D56" s="3" t="s">
        <v>7</v>
      </c>
      <c r="E56" s="3">
        <v>0</v>
      </c>
      <c r="F56" s="3">
        <v>0</v>
      </c>
      <c r="G56" s="3">
        <v>80</v>
      </c>
      <c r="H56" s="3">
        <v>200</v>
      </c>
      <c r="I56" s="3">
        <v>0</v>
      </c>
      <c r="J56" s="3">
        <v>0</v>
      </c>
      <c r="K56" s="3">
        <v>0</v>
      </c>
      <c r="L56" s="3">
        <v>100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70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148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146055</v>
      </c>
      <c r="B57" s="3">
        <f>INDEX(B:B,MATCH(146000,B:B,0),1)+(ROW()-MATCH(146000,B:B,0))</f>
        <v>146055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200</v>
      </c>
      <c r="I57" s="3">
        <v>0</v>
      </c>
      <c r="J57" s="3">
        <v>0</v>
      </c>
      <c r="K57" s="3">
        <v>0</v>
      </c>
      <c r="L57" s="3">
        <v>100</v>
      </c>
      <c r="M57" s="3">
        <v>0</v>
      </c>
      <c r="N57" s="3">
        <v>0</v>
      </c>
      <c r="O57" s="3">
        <v>0</v>
      </c>
      <c r="P57" s="3">
        <v>0</v>
      </c>
      <c r="Q57" s="3">
        <v>100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70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148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146056</v>
      </c>
      <c r="B58" s="3">
        <f>INDEX(B:B,MATCH(146000,B:B,0),1)+(ROW()-MATCH(146000,B:B,0))</f>
        <v>146056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200</v>
      </c>
      <c r="I58" s="3">
        <v>0</v>
      </c>
      <c r="J58" s="3">
        <v>0</v>
      </c>
      <c r="K58" s="3">
        <v>0</v>
      </c>
      <c r="L58" s="3">
        <v>130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70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148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146057</v>
      </c>
      <c r="B59" s="3">
        <f>INDEX(B:B,MATCH(146000,B:B,0),1)+(ROW()-MATCH(146000,B:B,0))</f>
        <v>146057</v>
      </c>
      <c r="C59" s="3" t="s">
        <v>273</v>
      </c>
      <c r="D59" s="3" t="s">
        <v>7</v>
      </c>
      <c r="E59" s="3">
        <v>0</v>
      </c>
      <c r="F59" s="3">
        <v>0</v>
      </c>
      <c r="G59" s="3">
        <v>80</v>
      </c>
      <c r="H59" s="3">
        <v>200</v>
      </c>
      <c r="I59" s="3">
        <v>0</v>
      </c>
      <c r="J59" s="3">
        <v>0</v>
      </c>
      <c r="K59" s="3">
        <v>0</v>
      </c>
      <c r="L59" s="3">
        <v>100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70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20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148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146058</v>
      </c>
      <c r="B60" s="3">
        <f>INDEX(B:B,MATCH(146000,B:B,0),1)+(ROW()-MATCH(146000,B:B,0))</f>
        <v>146058</v>
      </c>
      <c r="C60" s="3" t="s">
        <v>7</v>
      </c>
      <c r="D60" s="3" t="s">
        <v>7</v>
      </c>
      <c r="E60" s="3">
        <v>0</v>
      </c>
      <c r="F60" s="3">
        <v>0</v>
      </c>
      <c r="G60" s="3">
        <v>80</v>
      </c>
      <c r="H60" s="3">
        <v>200</v>
      </c>
      <c r="I60" s="3">
        <v>0</v>
      </c>
      <c r="J60" s="3">
        <v>0</v>
      </c>
      <c r="K60" s="3">
        <v>0</v>
      </c>
      <c r="L60" s="3">
        <v>100</v>
      </c>
      <c r="M60" s="3">
        <v>0</v>
      </c>
      <c r="N60" s="3">
        <v>0</v>
      </c>
      <c r="O60" s="3">
        <v>0</v>
      </c>
      <c r="P60" s="3">
        <v>0</v>
      </c>
      <c r="Q60" s="3">
        <v>100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70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20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148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146059</v>
      </c>
      <c r="B61" s="3">
        <f>INDEX(B:B,MATCH(146000,B:B,0),1)+(ROW()-MATCH(146000,B:B,0))</f>
        <v>146059</v>
      </c>
      <c r="C61" s="3" t="s">
        <v>7</v>
      </c>
      <c r="D61" s="3" t="s">
        <v>7</v>
      </c>
      <c r="E61" s="3">
        <v>0</v>
      </c>
      <c r="F61" s="3">
        <v>0</v>
      </c>
      <c r="G61" s="3">
        <v>80</v>
      </c>
      <c r="H61" s="3">
        <v>200</v>
      </c>
      <c r="I61" s="3">
        <v>0</v>
      </c>
      <c r="J61" s="3">
        <v>0</v>
      </c>
      <c r="K61" s="3">
        <v>0</v>
      </c>
      <c r="L61" s="3">
        <v>130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70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148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146060</v>
      </c>
      <c r="B62" s="3">
        <f>INDEX(B:B,MATCH(146000,B:B,0),1)+(ROW()-MATCH(146000,B:B,0))</f>
        <v>146060</v>
      </c>
      <c r="C62" s="3" t="s">
        <v>274</v>
      </c>
      <c r="D62" s="3" t="s">
        <v>7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100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70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146061</v>
      </c>
      <c r="B63" s="3">
        <f>INDEX(B:B,MATCH(146000,B:B,0),1)+(ROW()-MATCH(146000,B:B,0))</f>
        <v>146061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100</v>
      </c>
      <c r="M63" s="3">
        <v>0</v>
      </c>
      <c r="N63" s="3">
        <v>0</v>
      </c>
      <c r="O63" s="3">
        <v>0</v>
      </c>
      <c r="P63" s="3">
        <v>0</v>
      </c>
      <c r="Q63" s="3">
        <v>100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70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146062</v>
      </c>
      <c r="B64" s="3">
        <f>INDEX(B:B,MATCH(146000,B:B,0),1)+(ROW()-MATCH(146000,B:B,0))</f>
        <v>146062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130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70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146063</v>
      </c>
      <c r="B65" s="3">
        <f>INDEX(B:B,MATCH(146000,B:B,0),1)+(ROW()-MATCH(146000,B:B,0))</f>
        <v>146063</v>
      </c>
      <c r="C65" s="3" t="s">
        <v>184</v>
      </c>
      <c r="D65" s="3" t="s">
        <v>7</v>
      </c>
      <c r="E65" s="3">
        <v>30</v>
      </c>
      <c r="F65" s="3">
        <v>0</v>
      </c>
      <c r="G65" s="3">
        <v>80</v>
      </c>
      <c r="H65" s="3">
        <v>200</v>
      </c>
      <c r="I65" s="3">
        <v>0</v>
      </c>
      <c r="J65" s="3">
        <v>0</v>
      </c>
      <c r="K65" s="3">
        <v>0</v>
      </c>
      <c r="L65" s="3">
        <v>100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70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148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146064</v>
      </c>
      <c r="B66" s="3">
        <f>INDEX(B:B,MATCH(146000,B:B,0),1)+(ROW()-MATCH(146000,B:B,0))</f>
        <v>146064</v>
      </c>
      <c r="C66" s="3" t="s">
        <v>7</v>
      </c>
      <c r="D66" s="3" t="s">
        <v>7</v>
      </c>
      <c r="E66" s="3">
        <v>30</v>
      </c>
      <c r="F66" s="3">
        <v>0</v>
      </c>
      <c r="G66" s="3">
        <v>80</v>
      </c>
      <c r="H66" s="3">
        <v>200</v>
      </c>
      <c r="I66" s="3">
        <v>0</v>
      </c>
      <c r="J66" s="3">
        <v>0</v>
      </c>
      <c r="K66" s="3">
        <v>0</v>
      </c>
      <c r="L66" s="3">
        <v>100</v>
      </c>
      <c r="M66" s="3">
        <v>0</v>
      </c>
      <c r="N66" s="3">
        <v>0</v>
      </c>
      <c r="O66" s="3">
        <v>0</v>
      </c>
      <c r="P66" s="3">
        <v>0</v>
      </c>
      <c r="Q66" s="3">
        <v>100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70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148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146065</v>
      </c>
      <c r="B67" s="3">
        <f>INDEX(B:B,MATCH(146000,B:B,0),1)+(ROW()-MATCH(146000,B:B,0))</f>
        <v>146065</v>
      </c>
      <c r="C67" s="3" t="s">
        <v>7</v>
      </c>
      <c r="D67" s="3" t="s">
        <v>7</v>
      </c>
      <c r="E67" s="3">
        <v>30</v>
      </c>
      <c r="F67" s="3">
        <v>0</v>
      </c>
      <c r="G67" s="3">
        <v>80</v>
      </c>
      <c r="H67" s="3">
        <v>200</v>
      </c>
      <c r="I67" s="3">
        <v>0</v>
      </c>
      <c r="J67" s="3">
        <v>0</v>
      </c>
      <c r="K67" s="3">
        <v>0</v>
      </c>
      <c r="L67" s="3">
        <v>130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70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148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146066</v>
      </c>
      <c r="B68" s="3">
        <f>INDEX(B:B,MATCH(146000,B:B,0),1)+(ROW()-MATCH(146000,B:B,0))</f>
        <v>146066</v>
      </c>
      <c r="C68" s="3" t="s">
        <v>343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40</v>
      </c>
      <c r="Q68" s="3">
        <v>55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65</v>
      </c>
      <c r="AE68" s="5" t="s">
        <v>202</v>
      </c>
      <c r="AF68" s="5" t="s">
        <v>339</v>
      </c>
      <c r="AG68" s="5" t="s">
        <v>340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15</v>
      </c>
      <c r="AN68" s="5">
        <v>40</v>
      </c>
      <c r="AO68" s="5">
        <v>50</v>
      </c>
      <c r="AP68" s="5">
        <v>55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146067</v>
      </c>
      <c r="B69" s="3">
        <f>INDEX(B:B,MATCH(146000,B:B,0),1)+(ROW()-MATCH(146000,B:B,0))</f>
        <v>146067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40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65</v>
      </c>
      <c r="AE69" s="5" t="s">
        <v>202</v>
      </c>
      <c r="AF69" s="5" t="s">
        <v>339</v>
      </c>
      <c r="AG69" s="5" t="s">
        <v>340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15</v>
      </c>
      <c r="AN69" s="5">
        <v>40</v>
      </c>
      <c r="AO69" s="5">
        <v>50</v>
      </c>
      <c r="AP69" s="5">
        <v>55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146068</v>
      </c>
      <c r="B70" s="3">
        <f>INDEX(B:B,MATCH(146000,B:B,0),1)+(ROW()-MATCH(146000,B:B,0))</f>
        <v>146068</v>
      </c>
      <c r="C70" s="3" t="s">
        <v>7</v>
      </c>
      <c r="D70" s="3" t="s">
        <v>7</v>
      </c>
      <c r="E70" s="3">
        <v>0</v>
      </c>
      <c r="F70" s="3">
        <v>0</v>
      </c>
      <c r="G70" s="3">
        <v>55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70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65</v>
      </c>
      <c r="AE70" s="5" t="s">
        <v>202</v>
      </c>
      <c r="AF70" s="5" t="s">
        <v>339</v>
      </c>
      <c r="AG70" s="5" t="s">
        <v>340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15</v>
      </c>
      <c r="AN70" s="5">
        <v>40</v>
      </c>
      <c r="AO70" s="5">
        <v>50</v>
      </c>
      <c r="AP70" s="5">
        <v>55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205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146069</v>
      </c>
      <c r="B71" s="3">
        <f>INDEX(B:B,MATCH(146000,B:B,0),1)+(ROW()-MATCH(146000,B:B,0))</f>
        <v>146069</v>
      </c>
      <c r="C71" s="3" t="s">
        <v>344</v>
      </c>
      <c r="D71" s="3" t="s">
        <v>7</v>
      </c>
      <c r="E71" s="3">
        <v>0</v>
      </c>
      <c r="F71" s="3">
        <v>0</v>
      </c>
      <c r="G71" s="3">
        <v>55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55</v>
      </c>
      <c r="Q71" s="3">
        <v>55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65</v>
      </c>
      <c r="AE71" s="5" t="s">
        <v>202</v>
      </c>
      <c r="AF71" s="5" t="s">
        <v>339</v>
      </c>
      <c r="AG71" s="5" t="s">
        <v>340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15</v>
      </c>
      <c r="AN71" s="5">
        <v>40</v>
      </c>
      <c r="AO71" s="5">
        <v>50</v>
      </c>
      <c r="AP71" s="5">
        <v>55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205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146070</v>
      </c>
      <c r="B72" s="3">
        <f>INDEX(B:B,MATCH(146000,B:B,0),1)+(ROW()-MATCH(146000,B:B,0))</f>
        <v>146070</v>
      </c>
      <c r="C72" s="3" t="s">
        <v>7</v>
      </c>
      <c r="D72" s="3" t="s">
        <v>7</v>
      </c>
      <c r="E72" s="3">
        <v>0</v>
      </c>
      <c r="F72" s="3">
        <v>0</v>
      </c>
      <c r="G72" s="3">
        <v>55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55</v>
      </c>
      <c r="Q72" s="3">
        <v>55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65</v>
      </c>
      <c r="AE72" s="5" t="s">
        <v>202</v>
      </c>
      <c r="AF72" s="5" t="s">
        <v>339</v>
      </c>
      <c r="AG72" s="5" t="s">
        <v>340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15</v>
      </c>
      <c r="AN72" s="5">
        <v>40</v>
      </c>
      <c r="AO72" s="5">
        <v>50</v>
      </c>
      <c r="AP72" s="5">
        <v>55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205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146071</v>
      </c>
      <c r="B73" s="3">
        <f>INDEX(B:B,MATCH(146000,B:B,0),1)+(ROW()-MATCH(146000,B:B,0))</f>
        <v>146071</v>
      </c>
      <c r="C73" s="3" t="s">
        <v>7</v>
      </c>
      <c r="D73" s="3" t="s">
        <v>7</v>
      </c>
      <c r="E73" s="3">
        <v>0</v>
      </c>
      <c r="F73" s="3">
        <v>0</v>
      </c>
      <c r="G73" s="3">
        <v>55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85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65</v>
      </c>
      <c r="AE73" s="5" t="s">
        <v>202</v>
      </c>
      <c r="AF73" s="5" t="s">
        <v>339</v>
      </c>
      <c r="AG73" s="5" t="s">
        <v>340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15</v>
      </c>
      <c r="AN73" s="5">
        <v>40</v>
      </c>
      <c r="AO73" s="5">
        <v>50</v>
      </c>
      <c r="AP73" s="5">
        <v>55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205</v>
      </c>
      <c r="AW73" s="5">
        <v>0</v>
      </c>
      <c r="AX73" s="5">
        <v>0</v>
      </c>
    </row>
    <row r="74" spans="1:50" ht="15" customHeight="1" x14ac:dyDescent="0.2">
      <c r="A74" s="3">
        <f t="shared" si="0"/>
        <v>146072</v>
      </c>
      <c r="B74" s="3">
        <f>INDEX(B:B,MATCH(146000,B:B,0),1)+(ROW()-MATCH(146000,B:B,0))</f>
        <v>146072</v>
      </c>
      <c r="C74" s="3" t="s">
        <v>276</v>
      </c>
      <c r="D74" s="3" t="s">
        <v>7</v>
      </c>
      <c r="E74" s="3">
        <v>0</v>
      </c>
      <c r="F74" s="3">
        <v>0</v>
      </c>
      <c r="G74" s="3">
        <v>55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110</v>
      </c>
      <c r="Q74" s="3">
        <v>55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46</v>
      </c>
      <c r="AD74" s="5" t="s">
        <v>65</v>
      </c>
      <c r="AE74" s="5" t="s">
        <v>73</v>
      </c>
      <c r="AF74" s="5" t="s">
        <v>202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-50</v>
      </c>
      <c r="AM74" s="5">
        <v>30</v>
      </c>
      <c r="AN74" s="5">
        <v>30</v>
      </c>
      <c r="AO74" s="5">
        <v>50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205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146073</v>
      </c>
      <c r="B75" s="3">
        <f>INDEX(B:B,MATCH(146000,B:B,0),1)+(ROW()-MATCH(146000,B:B,0))</f>
        <v>146073</v>
      </c>
      <c r="C75" s="3" t="s">
        <v>7</v>
      </c>
      <c r="D75" s="3" t="s">
        <v>7</v>
      </c>
      <c r="E75" s="3">
        <v>0</v>
      </c>
      <c r="F75" s="3">
        <v>0</v>
      </c>
      <c r="G75" s="3">
        <v>55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110</v>
      </c>
      <c r="Q75" s="3">
        <v>90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46</v>
      </c>
      <c r="AD75" s="5" t="s">
        <v>65</v>
      </c>
      <c r="AE75" s="5" t="s">
        <v>73</v>
      </c>
      <c r="AF75" s="5" t="s">
        <v>202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-50</v>
      </c>
      <c r="AM75" s="5">
        <v>30</v>
      </c>
      <c r="AN75" s="5">
        <v>30</v>
      </c>
      <c r="AO75" s="5">
        <v>50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205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146074</v>
      </c>
      <c r="B76" s="3">
        <f>INDEX(B:B,MATCH(146000,B:B,0),1)+(ROW()-MATCH(146000,B:B,0))</f>
        <v>146074</v>
      </c>
      <c r="C76" s="3" t="s">
        <v>7</v>
      </c>
      <c r="D76" s="3" t="s">
        <v>7</v>
      </c>
      <c r="E76" s="3">
        <v>0</v>
      </c>
      <c r="F76" s="3">
        <v>0</v>
      </c>
      <c r="G76" s="3">
        <v>55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130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46</v>
      </c>
      <c r="AD76" s="5" t="s">
        <v>65</v>
      </c>
      <c r="AE76" s="5" t="s">
        <v>73</v>
      </c>
      <c r="AF76" s="5" t="s">
        <v>202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-50</v>
      </c>
      <c r="AM76" s="5">
        <v>30</v>
      </c>
      <c r="AN76" s="5">
        <v>30</v>
      </c>
      <c r="AO76" s="5">
        <v>50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205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146075</v>
      </c>
      <c r="B77" s="3">
        <f>INDEX(B:B,MATCH(146000,B:B,0),1)+(ROW()-MATCH(146000,B:B,0))</f>
        <v>146075</v>
      </c>
      <c r="C77" s="3" t="s">
        <v>102</v>
      </c>
      <c r="D77" s="3" t="s">
        <v>7</v>
      </c>
      <c r="E77" s="3">
        <v>0</v>
      </c>
      <c r="F77" s="3">
        <v>0</v>
      </c>
      <c r="G77" s="3">
        <v>32</v>
      </c>
      <c r="H77" s="3">
        <v>30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100</v>
      </c>
      <c r="R77" s="3">
        <v>50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46</v>
      </c>
      <c r="AD77" s="5" t="s">
        <v>65</v>
      </c>
      <c r="AE77" s="5" t="s">
        <v>120</v>
      </c>
      <c r="AF77" s="5" t="s">
        <v>60</v>
      </c>
      <c r="AG77" s="5" t="s">
        <v>202</v>
      </c>
      <c r="AH77" s="5" t="s">
        <v>339</v>
      </c>
      <c r="AI77" s="5" t="s">
        <v>340</v>
      </c>
      <c r="AJ77" s="5" t="s">
        <v>7</v>
      </c>
      <c r="AK77" s="5" t="s">
        <v>7</v>
      </c>
      <c r="AL77" s="5">
        <v>-50</v>
      </c>
      <c r="AM77" s="5">
        <v>50</v>
      </c>
      <c r="AN77" s="5">
        <v>30</v>
      </c>
      <c r="AO77" s="5">
        <v>20</v>
      </c>
      <c r="AP77" s="5">
        <v>-100</v>
      </c>
      <c r="AQ77" s="5">
        <v>-100</v>
      </c>
      <c r="AR77" s="5">
        <v>-100</v>
      </c>
      <c r="AS77" s="5">
        <v>0</v>
      </c>
      <c r="AT77" s="5">
        <v>0</v>
      </c>
      <c r="AU77" s="5">
        <v>0</v>
      </c>
      <c r="AV77" s="4" t="s">
        <v>341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146076</v>
      </c>
      <c r="B78" s="3">
        <f>INDEX(B:B,MATCH(146000,B:B,0),1)+(ROW()-MATCH(146000,B:B,0))</f>
        <v>146076</v>
      </c>
      <c r="C78" s="3" t="s">
        <v>7</v>
      </c>
      <c r="D78" s="3" t="s">
        <v>7</v>
      </c>
      <c r="E78" s="3">
        <v>0</v>
      </c>
      <c r="F78" s="3">
        <v>0</v>
      </c>
      <c r="G78" s="3">
        <v>32</v>
      </c>
      <c r="H78" s="3">
        <v>30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130</v>
      </c>
      <c r="R78" s="3">
        <v>50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46</v>
      </c>
      <c r="AD78" s="5" t="s">
        <v>65</v>
      </c>
      <c r="AE78" s="5" t="s">
        <v>120</v>
      </c>
      <c r="AF78" s="5" t="s">
        <v>60</v>
      </c>
      <c r="AG78" s="5" t="s">
        <v>202</v>
      </c>
      <c r="AH78" s="5" t="s">
        <v>339</v>
      </c>
      <c r="AI78" s="5" t="s">
        <v>340</v>
      </c>
      <c r="AJ78" s="5" t="s">
        <v>7</v>
      </c>
      <c r="AK78" s="5" t="s">
        <v>7</v>
      </c>
      <c r="AL78" s="5">
        <v>-50</v>
      </c>
      <c r="AM78" s="5">
        <v>50</v>
      </c>
      <c r="AN78" s="5">
        <v>30</v>
      </c>
      <c r="AO78" s="5">
        <v>20</v>
      </c>
      <c r="AP78" s="5">
        <v>-100</v>
      </c>
      <c r="AQ78" s="5">
        <v>-100</v>
      </c>
      <c r="AR78" s="5">
        <v>-100</v>
      </c>
      <c r="AS78" s="5">
        <v>0</v>
      </c>
      <c r="AT78" s="5">
        <v>0</v>
      </c>
      <c r="AU78" s="5">
        <v>0</v>
      </c>
      <c r="AV78" s="4" t="s">
        <v>341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146077</v>
      </c>
      <c r="B79" s="3">
        <f>INDEX(B:B,MATCH(146000,B:B,0),1)+(ROW()-MATCH(146000,B:B,0))</f>
        <v>146077</v>
      </c>
      <c r="C79" s="3" t="s">
        <v>7</v>
      </c>
      <c r="D79" s="3" t="s">
        <v>7</v>
      </c>
      <c r="E79" s="3">
        <v>0</v>
      </c>
      <c r="F79" s="3">
        <v>0</v>
      </c>
      <c r="G79" s="3">
        <v>32</v>
      </c>
      <c r="H79" s="3">
        <v>30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70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46</v>
      </c>
      <c r="AD79" s="5" t="s">
        <v>65</v>
      </c>
      <c r="AE79" s="5" t="s">
        <v>120</v>
      </c>
      <c r="AF79" s="5" t="s">
        <v>60</v>
      </c>
      <c r="AG79" s="5" t="s">
        <v>202</v>
      </c>
      <c r="AH79" s="5" t="s">
        <v>339</v>
      </c>
      <c r="AI79" s="5" t="s">
        <v>340</v>
      </c>
      <c r="AJ79" s="5" t="s">
        <v>7</v>
      </c>
      <c r="AK79" s="5" t="s">
        <v>7</v>
      </c>
      <c r="AL79" s="5">
        <v>-50</v>
      </c>
      <c r="AM79" s="5">
        <v>50</v>
      </c>
      <c r="AN79" s="5">
        <v>30</v>
      </c>
      <c r="AO79" s="5">
        <v>20</v>
      </c>
      <c r="AP79" s="5">
        <v>-100</v>
      </c>
      <c r="AQ79" s="5">
        <v>-100</v>
      </c>
      <c r="AR79" s="5">
        <v>-100</v>
      </c>
      <c r="AS79" s="5">
        <v>0</v>
      </c>
      <c r="AT79" s="5">
        <v>0</v>
      </c>
      <c r="AU79" s="5">
        <v>0</v>
      </c>
      <c r="AV79" s="4" t="s">
        <v>341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146078</v>
      </c>
      <c r="B80" s="3">
        <f>INDEX(B:B,MATCH(146000,B:B,0),1)+(ROW()-MATCH(146000,B:B,0))</f>
        <v>146078</v>
      </c>
      <c r="C80" s="3" t="s">
        <v>275</v>
      </c>
      <c r="D80" s="3" t="s">
        <v>7</v>
      </c>
      <c r="E80" s="3">
        <v>0</v>
      </c>
      <c r="F80" s="3">
        <v>0</v>
      </c>
      <c r="G80" s="3">
        <v>55</v>
      </c>
      <c r="H80" s="3">
        <v>0</v>
      </c>
      <c r="I80" s="3">
        <v>30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90</v>
      </c>
      <c r="Q80" s="3">
        <v>55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46</v>
      </c>
      <c r="AD80" s="5" t="s">
        <v>65</v>
      </c>
      <c r="AE80" s="5" t="s">
        <v>202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-50</v>
      </c>
      <c r="AM80" s="5">
        <v>30</v>
      </c>
      <c r="AN80" s="5">
        <v>50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205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146079</v>
      </c>
      <c r="B81" s="3">
        <f>INDEX(B:B,MATCH(146000,B:B,0),1)+(ROW()-MATCH(146000,B:B,0))</f>
        <v>146079</v>
      </c>
      <c r="C81" s="3" t="s">
        <v>7</v>
      </c>
      <c r="D81" s="3" t="s">
        <v>7</v>
      </c>
      <c r="E81" s="3">
        <v>0</v>
      </c>
      <c r="F81" s="3">
        <v>0</v>
      </c>
      <c r="G81" s="3">
        <v>55</v>
      </c>
      <c r="H81" s="3">
        <v>0</v>
      </c>
      <c r="I81" s="3">
        <v>30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90</v>
      </c>
      <c r="Q81" s="3">
        <v>75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46</v>
      </c>
      <c r="AD81" s="5" t="s">
        <v>65</v>
      </c>
      <c r="AE81" s="5" t="s">
        <v>202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-50</v>
      </c>
      <c r="AM81" s="5">
        <v>30</v>
      </c>
      <c r="AN81" s="5">
        <v>50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205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146080</v>
      </c>
      <c r="B82" s="3">
        <f>INDEX(B:B,MATCH(146000,B:B,0),1)+(ROW()-MATCH(146000,B:B,0))</f>
        <v>146080</v>
      </c>
      <c r="C82" s="3" t="s">
        <v>7</v>
      </c>
      <c r="D82" s="3" t="s">
        <v>7</v>
      </c>
      <c r="E82" s="3">
        <v>0</v>
      </c>
      <c r="F82" s="3">
        <v>0</v>
      </c>
      <c r="G82" s="3">
        <v>55</v>
      </c>
      <c r="H82" s="3">
        <v>0</v>
      </c>
      <c r="I82" s="3">
        <v>30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120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46</v>
      </c>
      <c r="AD82" s="5" t="s">
        <v>65</v>
      </c>
      <c r="AE82" s="5" t="s">
        <v>202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-50</v>
      </c>
      <c r="AM82" s="5">
        <v>30</v>
      </c>
      <c r="AN82" s="5">
        <v>50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205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146081</v>
      </c>
      <c r="B83" s="3">
        <f>INDEX(B:B,MATCH(146000,B:B,0),1)+(ROW()-MATCH(146000,B:B,0))</f>
        <v>146081</v>
      </c>
      <c r="C83" s="3" t="s">
        <v>347</v>
      </c>
      <c r="D83" s="3" t="s">
        <v>7</v>
      </c>
      <c r="E83" s="3">
        <v>30</v>
      </c>
      <c r="F83" s="3">
        <v>0</v>
      </c>
      <c r="G83" s="3">
        <v>55</v>
      </c>
      <c r="H83" s="3">
        <v>0</v>
      </c>
      <c r="I83" s="3">
        <v>30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50</v>
      </c>
      <c r="Q83" s="3">
        <v>55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202</v>
      </c>
      <c r="AF83" s="5" t="s">
        <v>339</v>
      </c>
      <c r="AG83" s="5" t="s">
        <v>340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40</v>
      </c>
      <c r="AO83" s="5">
        <v>50</v>
      </c>
      <c r="AP83" s="5">
        <v>65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205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146082</v>
      </c>
      <c r="B84" s="3">
        <f>INDEX(B:B,MATCH(146000,B:B,0),1)+(ROW()-MATCH(146000,B:B,0))</f>
        <v>146082</v>
      </c>
      <c r="C84" s="3" t="s">
        <v>7</v>
      </c>
      <c r="D84" s="3" t="s">
        <v>7</v>
      </c>
      <c r="E84" s="3">
        <v>30</v>
      </c>
      <c r="F84" s="3">
        <v>0</v>
      </c>
      <c r="G84" s="3">
        <v>55</v>
      </c>
      <c r="H84" s="3">
        <v>0</v>
      </c>
      <c r="I84" s="3">
        <v>30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50</v>
      </c>
      <c r="Q84" s="3">
        <v>75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202</v>
      </c>
      <c r="AF84" s="5" t="s">
        <v>339</v>
      </c>
      <c r="AG84" s="5" t="s">
        <v>340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40</v>
      </c>
      <c r="AO84" s="5">
        <v>50</v>
      </c>
      <c r="AP84" s="5">
        <v>65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205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146083</v>
      </c>
      <c r="B85" s="3">
        <f>INDEX(B:B,MATCH(146000,B:B,0),1)+(ROW()-MATCH(146000,B:B,0))</f>
        <v>146083</v>
      </c>
      <c r="C85" s="3" t="s">
        <v>7</v>
      </c>
      <c r="D85" s="3" t="s">
        <v>7</v>
      </c>
      <c r="E85" s="3">
        <v>30</v>
      </c>
      <c r="F85" s="3">
        <v>0</v>
      </c>
      <c r="G85" s="3">
        <v>55</v>
      </c>
      <c r="H85" s="3">
        <v>0</v>
      </c>
      <c r="I85" s="3">
        <v>30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202</v>
      </c>
      <c r="AF85" s="5" t="s">
        <v>339</v>
      </c>
      <c r="AG85" s="5" t="s">
        <v>340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40</v>
      </c>
      <c r="AO85" s="5">
        <v>50</v>
      </c>
      <c r="AP85" s="5">
        <v>65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205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146084</v>
      </c>
      <c r="B86" s="3">
        <f>INDEX(B:B,MATCH(146000,B:B,0),1)+(ROW()-MATCH(146000,B:B,0))</f>
        <v>146084</v>
      </c>
      <c r="C86" s="3" t="s">
        <v>342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0</v>
      </c>
      <c r="J86" s="3">
        <v>0</v>
      </c>
      <c r="K86" s="3">
        <v>0</v>
      </c>
      <c r="L86" s="3">
        <v>50</v>
      </c>
      <c r="M86" s="3">
        <v>50</v>
      </c>
      <c r="N86" s="3">
        <v>0</v>
      </c>
      <c r="O86" s="3">
        <v>0</v>
      </c>
      <c r="P86" s="3">
        <v>0</v>
      </c>
      <c r="Q86" s="3">
        <v>80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25</v>
      </c>
      <c r="AM86" s="5">
        <v>20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258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146085</v>
      </c>
      <c r="B87" s="3">
        <f>INDEX(B:B,MATCH(146000,B:B,0),1)+(ROW()-MATCH(146000,B:B,0))</f>
        <v>146085</v>
      </c>
      <c r="C87" s="3" t="s">
        <v>7</v>
      </c>
      <c r="D87" s="3" t="s">
        <v>7</v>
      </c>
      <c r="E87" s="3">
        <v>0</v>
      </c>
      <c r="F87" s="3">
        <v>0</v>
      </c>
      <c r="G87" s="3">
        <v>60</v>
      </c>
      <c r="H87" s="3">
        <v>0</v>
      </c>
      <c r="I87" s="3">
        <v>0</v>
      </c>
      <c r="J87" s="3">
        <v>0</v>
      </c>
      <c r="K87" s="3">
        <v>0</v>
      </c>
      <c r="L87" s="3">
        <v>50</v>
      </c>
      <c r="M87" s="3">
        <v>50</v>
      </c>
      <c r="N87" s="3">
        <v>0</v>
      </c>
      <c r="O87" s="3">
        <v>0</v>
      </c>
      <c r="P87" s="3">
        <v>0</v>
      </c>
      <c r="Q87" s="3">
        <v>100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25</v>
      </c>
      <c r="AM87" s="5">
        <v>20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258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146086</v>
      </c>
      <c r="B88" s="3">
        <f>INDEX(B:B,MATCH(146000,B:B,0),1)+(ROW()-MATCH(146000,B:B,0))</f>
        <v>146086</v>
      </c>
      <c r="C88" s="3" t="s">
        <v>7</v>
      </c>
      <c r="D88" s="3" t="s">
        <v>7</v>
      </c>
      <c r="E88" s="3">
        <v>0</v>
      </c>
      <c r="F88" s="3">
        <v>0</v>
      </c>
      <c r="G88" s="3">
        <v>60</v>
      </c>
      <c r="H88" s="3">
        <v>0</v>
      </c>
      <c r="I88" s="3">
        <v>0</v>
      </c>
      <c r="J88" s="3">
        <v>0</v>
      </c>
      <c r="K88" s="3">
        <v>0</v>
      </c>
      <c r="L88" s="3">
        <v>80</v>
      </c>
      <c r="M88" s="3">
        <v>80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7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25</v>
      </c>
      <c r="AM88" s="5">
        <v>20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258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146087</v>
      </c>
      <c r="B89" s="3">
        <f>INDEX(B:B,MATCH(146000,B:B,0),1)+(ROW()-MATCH(146000,B:B,0))</f>
        <v>146087</v>
      </c>
      <c r="C89" s="3" t="s">
        <v>7</v>
      </c>
      <c r="D89" s="3" t="s">
        <v>169</v>
      </c>
      <c r="E89" s="3">
        <v>30</v>
      </c>
      <c r="F89" s="3">
        <v>0</v>
      </c>
      <c r="G89" s="3">
        <v>88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120</v>
      </c>
      <c r="R89" s="3">
        <v>65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7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89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146088</v>
      </c>
      <c r="B90" s="3">
        <f>INDEX(B:B,MATCH(146000,B:B,0),1)+(ROW()-MATCH(146000,B:B,0))</f>
        <v>146088</v>
      </c>
      <c r="C90" s="3" t="s">
        <v>7</v>
      </c>
      <c r="D90" s="3" t="s">
        <v>7</v>
      </c>
      <c r="E90" s="3">
        <v>30</v>
      </c>
      <c r="F90" s="3">
        <v>0</v>
      </c>
      <c r="G90" s="3">
        <v>88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60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7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89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146089</v>
      </c>
      <c r="B91" s="3">
        <f>INDEX(B:B,MATCH(146000,B:B,0),1)+(ROW()-MATCH(146000,B:B,0))</f>
        <v>146089</v>
      </c>
      <c r="C91" s="3" t="s">
        <v>7</v>
      </c>
      <c r="D91" s="3" t="s">
        <v>7</v>
      </c>
      <c r="E91" s="3">
        <v>30</v>
      </c>
      <c r="F91" s="3">
        <v>0</v>
      </c>
      <c r="G91" s="3">
        <v>88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180</v>
      </c>
      <c r="R91" s="3">
        <v>70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89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146090</v>
      </c>
      <c r="B92" s="3">
        <f>INDEX(B:B,MATCH(146000,B:B,0),1)+(ROW()-MATCH(146000,B:B,0))</f>
        <v>146090</v>
      </c>
      <c r="C92" s="3" t="s">
        <v>216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110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60</v>
      </c>
      <c r="AD92" s="5" t="s">
        <v>23</v>
      </c>
      <c r="AE92" s="5" t="s">
        <v>66</v>
      </c>
      <c r="AF92" s="5" t="s">
        <v>27</v>
      </c>
      <c r="AG92" s="5" t="s">
        <v>39</v>
      </c>
      <c r="AH92" s="5" t="s">
        <v>131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7</v>
      </c>
      <c r="AN92" s="5">
        <v>20</v>
      </c>
      <c r="AO92" s="5">
        <v>20</v>
      </c>
      <c r="AP92" s="5">
        <v>30</v>
      </c>
      <c r="AQ92" s="5">
        <v>30</v>
      </c>
      <c r="AR92" s="5">
        <v>0</v>
      </c>
      <c r="AS92" s="5">
        <v>0</v>
      </c>
      <c r="AT92" s="5">
        <v>0</v>
      </c>
      <c r="AU92" s="5">
        <v>0</v>
      </c>
      <c r="AV92" s="4" t="s">
        <v>86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146091</v>
      </c>
      <c r="B93" s="3">
        <f>INDEX(B:B,MATCH(146000,B:B,0),1)+(ROW()-MATCH(146000,B:B,0))</f>
        <v>146091</v>
      </c>
      <c r="C93" s="3" t="s">
        <v>7</v>
      </c>
      <c r="D93" s="3" t="s">
        <v>7</v>
      </c>
      <c r="E93" s="3">
        <v>0</v>
      </c>
      <c r="F93" s="3">
        <v>0</v>
      </c>
      <c r="G93" s="3">
        <v>80</v>
      </c>
      <c r="H93" s="3">
        <v>0</v>
      </c>
      <c r="I93" s="3">
        <v>0</v>
      </c>
      <c r="J93" s="3">
        <v>90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61</v>
      </c>
      <c r="AD93" s="5" t="s">
        <v>62</v>
      </c>
      <c r="AE93" s="5" t="s">
        <v>57</v>
      </c>
      <c r="AF93" s="5" t="s">
        <v>23</v>
      </c>
      <c r="AG93" s="5" t="s">
        <v>39</v>
      </c>
      <c r="AH93" s="5" t="s">
        <v>66</v>
      </c>
      <c r="AI93" s="5" t="s">
        <v>27</v>
      </c>
      <c r="AJ93" s="5" t="s">
        <v>131</v>
      </c>
      <c r="AK93" s="5" t="s">
        <v>7</v>
      </c>
      <c r="AL93" s="5">
        <v>20</v>
      </c>
      <c r="AM93" s="5">
        <v>20</v>
      </c>
      <c r="AN93" s="5">
        <v>10</v>
      </c>
      <c r="AO93" s="5">
        <v>10</v>
      </c>
      <c r="AP93" s="5">
        <v>30</v>
      </c>
      <c r="AQ93" s="5">
        <v>20</v>
      </c>
      <c r="AR93" s="5">
        <v>20</v>
      </c>
      <c r="AS93" s="5">
        <v>30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146092</v>
      </c>
      <c r="B94" s="3">
        <f>INDEX(B:B,MATCH(146000,B:B,0),1)+(ROW()-MATCH(146000,B:B,0))</f>
        <v>146092</v>
      </c>
      <c r="C94" s="3" t="s">
        <v>7</v>
      </c>
      <c r="D94" s="3" t="s">
        <v>7</v>
      </c>
      <c r="E94" s="3">
        <v>0</v>
      </c>
      <c r="F94" s="3">
        <v>0</v>
      </c>
      <c r="G94" s="3">
        <v>80</v>
      </c>
      <c r="H94" s="3">
        <v>0</v>
      </c>
      <c r="I94" s="3">
        <v>0</v>
      </c>
      <c r="J94" s="3">
        <v>130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67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70</v>
      </c>
      <c r="AN94" s="5">
        <v>20</v>
      </c>
      <c r="AO94" s="5">
        <v>20</v>
      </c>
      <c r="AP94" s="5">
        <v>20</v>
      </c>
      <c r="AQ94" s="5">
        <v>30</v>
      </c>
      <c r="AR94" s="5">
        <v>30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ROW()-2+147000</f>
        <v>147000</v>
      </c>
      <c r="B2" s="11">
        <v>147000</v>
      </c>
      <c r="C2" s="11" t="s">
        <v>351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279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218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218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218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280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218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218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218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9" customFormat="1" ht="15.75" customHeight="1" x14ac:dyDescent="0.2">
      <c r="A2" s="16">
        <f>ROW()-2+160000</f>
        <v>160000</v>
      </c>
      <c r="B2" s="16">
        <v>160000</v>
      </c>
      <c r="C2" s="16" t="s">
        <v>311</v>
      </c>
      <c r="D2" s="16" t="s">
        <v>7</v>
      </c>
      <c r="E2" s="16">
        <v>30</v>
      </c>
      <c r="F2" s="16">
        <v>0</v>
      </c>
      <c r="G2" s="16">
        <v>80</v>
      </c>
      <c r="H2" s="16">
        <v>200</v>
      </c>
      <c r="I2" s="16">
        <v>0</v>
      </c>
      <c r="J2" s="16">
        <v>0</v>
      </c>
      <c r="K2" s="16">
        <v>0</v>
      </c>
      <c r="L2" s="16">
        <v>100</v>
      </c>
      <c r="M2" s="16">
        <v>0</v>
      </c>
      <c r="N2" s="16">
        <v>0</v>
      </c>
      <c r="O2" s="16">
        <v>0</v>
      </c>
      <c r="P2" s="16">
        <v>0</v>
      </c>
      <c r="Q2" s="16">
        <v>70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70</v>
      </c>
      <c r="AD2" s="17" t="s">
        <v>7</v>
      </c>
      <c r="AE2" s="17" t="s">
        <v>7</v>
      </c>
      <c r="AF2" s="17" t="s">
        <v>7</v>
      </c>
      <c r="AG2" s="17" t="s">
        <v>7</v>
      </c>
      <c r="AH2" s="17" t="s">
        <v>7</v>
      </c>
      <c r="AI2" s="17" t="s">
        <v>7</v>
      </c>
      <c r="AJ2" s="17" t="s">
        <v>7</v>
      </c>
      <c r="AK2" s="17" t="s">
        <v>7</v>
      </c>
      <c r="AL2" s="17">
        <v>20</v>
      </c>
      <c r="AM2" s="17">
        <v>0</v>
      </c>
      <c r="AN2" s="17">
        <v>0</v>
      </c>
      <c r="AO2" s="17">
        <v>0</v>
      </c>
      <c r="AP2" s="17">
        <v>0</v>
      </c>
      <c r="AQ2" s="17">
        <v>0</v>
      </c>
      <c r="AR2" s="17">
        <v>0</v>
      </c>
      <c r="AS2" s="17">
        <v>0</v>
      </c>
      <c r="AT2" s="17">
        <v>0</v>
      </c>
      <c r="AU2" s="17">
        <v>0</v>
      </c>
      <c r="AV2" s="18" t="s">
        <v>154</v>
      </c>
      <c r="AW2" s="17">
        <v>0</v>
      </c>
      <c r="AX2" s="17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216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281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283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282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284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285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286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288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243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257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258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258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287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236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235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235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235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289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241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290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291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222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223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2025-03-04T15:20:56Z</dcterms:modified>
</cp:coreProperties>
</file>