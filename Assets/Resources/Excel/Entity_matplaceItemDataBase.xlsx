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85b1299b9076c2/ドキュメント/Unity/Okashi_Atlier2/Assets/Resources/Excel/"/>
    </mc:Choice>
  </mc:AlternateContent>
  <xr:revisionPtr revIDLastSave="37" documentId="13_ncr:1_{F321FB8F-F115-48E0-BC83-C009996654ED}" xr6:coauthVersionLast="47" xr6:coauthVersionMax="47" xr10:uidLastSave="{33DF2EDC-B971-4D2F-8BD6-E0C291E3B3E5}"/>
  <bookViews>
    <workbookView xWindow="3165" yWindow="1755" windowWidth="23295" windowHeight="13305" activeTab="2" xr2:uid="{1DCE2773-8A3B-4011-B3F4-E2EABC03DB8B}"/>
  </bookViews>
  <sheets>
    <sheet name="01_map_Grt" sheetId="1" r:id="rId1"/>
    <sheet name="01_map_Grt_Hikari" sheetId="2" r:id="rId2"/>
    <sheet name="02_map_Or" sheetId="3" r:id="rId3"/>
    <sheet name="02_map_Or_Hikari" sheetId="4" r:id="rId4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8" i="4" l="1"/>
  <c r="A37" i="4"/>
  <c r="A36" i="4"/>
  <c r="A31" i="4"/>
  <c r="A31" i="3"/>
  <c r="A32" i="4"/>
  <c r="A34" i="4"/>
  <c r="A30" i="4"/>
  <c r="A23" i="4"/>
  <c r="A23" i="3"/>
  <c r="A35" i="4"/>
  <c r="A30" i="3"/>
  <c r="A32" i="3"/>
  <c r="A33" i="3"/>
  <c r="A17" i="4"/>
  <c r="A17" i="3"/>
  <c r="A20" i="4"/>
  <c r="A20" i="3"/>
  <c r="A27" i="4"/>
  <c r="A27" i="3"/>
  <c r="A29" i="4"/>
  <c r="A33" i="4"/>
  <c r="A28" i="4"/>
  <c r="A35" i="3"/>
  <c r="A24" i="4"/>
  <c r="A24" i="3"/>
  <c r="A25" i="4"/>
  <c r="A22" i="4"/>
  <c r="A21" i="4"/>
  <c r="A19" i="4"/>
  <c r="A18" i="4"/>
  <c r="A21" i="3"/>
  <c r="A22" i="3"/>
  <c r="A19" i="3"/>
  <c r="A18" i="3"/>
  <c r="A25" i="3"/>
  <c r="A38" i="3"/>
  <c r="A37" i="3"/>
  <c r="A36" i="3"/>
  <c r="A34" i="3"/>
  <c r="A10" i="4"/>
  <c r="A10" i="3"/>
  <c r="A15" i="4"/>
  <c r="A14" i="4"/>
  <c r="A13" i="4"/>
  <c r="A15" i="3"/>
  <c r="A14" i="3"/>
  <c r="A13" i="3"/>
  <c r="A26" i="4"/>
  <c r="A9" i="4"/>
  <c r="A8" i="4"/>
  <c r="A7" i="4"/>
  <c r="A6" i="4"/>
  <c r="A5" i="4"/>
  <c r="A4" i="4"/>
  <c r="A3" i="4"/>
  <c r="A2" i="4"/>
  <c r="A7" i="3"/>
  <c r="A8" i="3"/>
  <c r="A9" i="3"/>
  <c r="A26" i="3"/>
  <c r="A5" i="3"/>
  <c r="A4" i="3"/>
  <c r="A3" i="3"/>
  <c r="A18" i="2"/>
  <c r="A12" i="4"/>
  <c r="A40" i="4"/>
  <c r="A40" i="3"/>
  <c r="A18" i="1"/>
  <c r="A17" i="2"/>
  <c r="A39" i="4"/>
  <c r="A11" i="4"/>
  <c r="A16" i="4"/>
  <c r="A12" i="3"/>
  <c r="A39" i="3"/>
  <c r="A29" i="3"/>
  <c r="A28" i="3"/>
  <c r="A11" i="3"/>
  <c r="A16" i="3"/>
  <c r="A6" i="3"/>
  <c r="A2" i="3"/>
  <c r="A17" i="1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3" i="1"/>
  <c r="A10" i="1"/>
  <c r="A11" i="1"/>
  <c r="A6" i="1"/>
  <c r="A9" i="1"/>
  <c r="A14" i="1"/>
  <c r="A13" i="1"/>
  <c r="A5" i="1"/>
  <c r="A2" i="1"/>
  <c r="A15" i="1"/>
  <c r="A12" i="1"/>
  <c r="A7" i="1"/>
  <c r="A16" i="1"/>
  <c r="A8" i="1"/>
  <c r="A4" i="1"/>
</calcChain>
</file>

<file path=xl/sharedStrings.xml><?xml version="1.0" encoding="utf-8"?>
<sst xmlns="http://schemas.openxmlformats.org/spreadsheetml/2006/main" count="2296" uniqueCount="303">
  <si>
    <t>ItemID</t>
    <phoneticPr fontId="3"/>
  </si>
  <si>
    <t>place_Name</t>
    <phoneticPr fontId="3"/>
  </si>
  <si>
    <t>place_cost</t>
    <phoneticPr fontId="3"/>
  </si>
  <si>
    <t>place_flag</t>
    <phoneticPr fontId="2"/>
  </si>
  <si>
    <t>drop_item1</t>
    <phoneticPr fontId="2"/>
  </si>
  <si>
    <t>drop_item2</t>
    <phoneticPr fontId="2"/>
  </si>
  <si>
    <t>drop_item3</t>
    <phoneticPr fontId="2"/>
  </si>
  <si>
    <t>drop_item4</t>
    <phoneticPr fontId="2"/>
  </si>
  <si>
    <t>drop_item5</t>
    <phoneticPr fontId="2"/>
  </si>
  <si>
    <t>drop_rare1</t>
    <phoneticPr fontId="2"/>
  </si>
  <si>
    <t>drop_rare2</t>
    <phoneticPr fontId="2"/>
  </si>
  <si>
    <t>drop_prob1</t>
    <phoneticPr fontId="2"/>
  </si>
  <si>
    <t>drop_prob2</t>
    <phoneticPr fontId="2"/>
  </si>
  <si>
    <t>drop_prob3</t>
    <phoneticPr fontId="2"/>
  </si>
  <si>
    <t>drop_prob4</t>
    <phoneticPr fontId="2"/>
  </si>
  <si>
    <t>drop_prob5</t>
    <phoneticPr fontId="2"/>
  </si>
  <si>
    <t>drop_rare_prob1</t>
    <phoneticPr fontId="2"/>
  </si>
  <si>
    <t>drop_rare_prob2</t>
    <phoneticPr fontId="2"/>
  </si>
  <si>
    <t>place_Name_Hyouji</t>
    <phoneticPr fontId="2"/>
  </si>
  <si>
    <t>Forest</t>
    <phoneticPr fontId="2"/>
  </si>
  <si>
    <t>Farm</t>
    <phoneticPr fontId="2"/>
  </si>
  <si>
    <t>Star_Mountain</t>
    <phoneticPr fontId="2"/>
  </si>
  <si>
    <t>星降りの丘</t>
    <rPh sb="0" eb="1">
      <t>ホシ</t>
    </rPh>
    <rPh sb="1" eb="2">
      <t>フ</t>
    </rPh>
    <rPh sb="4" eb="5">
      <t>オカ</t>
    </rPh>
    <phoneticPr fontId="2"/>
  </si>
  <si>
    <t>komugiko</t>
    <phoneticPr fontId="2"/>
  </si>
  <si>
    <t>butter</t>
    <phoneticPr fontId="2"/>
  </si>
  <si>
    <t>nuts</t>
    <phoneticPr fontId="2"/>
  </si>
  <si>
    <t>なし</t>
    <phoneticPr fontId="2"/>
  </si>
  <si>
    <t>Non</t>
    <phoneticPr fontId="2"/>
  </si>
  <si>
    <t>orange</t>
    <phoneticPr fontId="2"/>
  </si>
  <si>
    <t>grape</t>
    <phoneticPr fontId="2"/>
  </si>
  <si>
    <t>近くの森</t>
    <rPh sb="0" eb="1">
      <t>チカ</t>
    </rPh>
    <rPh sb="3" eb="4">
      <t>モリ</t>
    </rPh>
    <phoneticPr fontId="2"/>
  </si>
  <si>
    <t>drop_rare3</t>
    <phoneticPr fontId="2"/>
  </si>
  <si>
    <t>drop_rare_prob3</t>
    <phoneticPr fontId="2"/>
  </si>
  <si>
    <t>emerald_suger</t>
    <phoneticPr fontId="2"/>
  </si>
  <si>
    <t>村の井戸</t>
    <rPh sb="0" eb="1">
      <t>ムラ</t>
    </rPh>
    <rPh sb="2" eb="4">
      <t>イド</t>
    </rPh>
    <phoneticPr fontId="2"/>
  </si>
  <si>
    <t>Ido</t>
    <phoneticPr fontId="2"/>
  </si>
  <si>
    <t>water</t>
    <phoneticPr fontId="2"/>
  </si>
  <si>
    <t>Hiroba</t>
    <phoneticPr fontId="2"/>
  </si>
  <si>
    <t>file_name</t>
    <phoneticPr fontId="2"/>
  </si>
  <si>
    <t>forest_mini_icon</t>
    <phoneticPr fontId="2"/>
  </si>
  <si>
    <t>town_mini_icon</t>
    <phoneticPr fontId="2"/>
  </si>
  <si>
    <t>Lavender_field</t>
    <phoneticPr fontId="2"/>
  </si>
  <si>
    <t>Emerald_Forest</t>
    <phoneticPr fontId="2"/>
  </si>
  <si>
    <t>comment</t>
    <phoneticPr fontId="2"/>
  </si>
  <si>
    <t>イメージ：ベルギー　ハレルボス　一面にブルーベルの花が咲き乱れ、光に包まれるような場所</t>
    <rPh sb="16" eb="18">
      <t>イチメン</t>
    </rPh>
    <rPh sb="25" eb="26">
      <t>ハナ</t>
    </rPh>
    <rPh sb="27" eb="28">
      <t>サ</t>
    </rPh>
    <rPh sb="29" eb="30">
      <t>ミダ</t>
    </rPh>
    <rPh sb="32" eb="33">
      <t>ヒカリ</t>
    </rPh>
    <rPh sb="34" eb="35">
      <t>ツツ</t>
    </rPh>
    <rPh sb="41" eb="43">
      <t>バショ</t>
    </rPh>
    <phoneticPr fontId="2"/>
  </si>
  <si>
    <t>イメージ：NZランド　ホビット村　牧歌的で、丸い建物がところどころにある広大な牧草地</t>
    <rPh sb="15" eb="16">
      <t>ムラ</t>
    </rPh>
    <rPh sb="17" eb="20">
      <t>ボッカテキ</t>
    </rPh>
    <rPh sb="22" eb="23">
      <t>マル</t>
    </rPh>
    <rPh sb="24" eb="26">
      <t>タテモノ</t>
    </rPh>
    <rPh sb="36" eb="38">
      <t>コウダイ</t>
    </rPh>
    <rPh sb="39" eb="42">
      <t>ボクソウチ</t>
    </rPh>
    <phoneticPr fontId="2"/>
  </si>
  <si>
    <t>忘れられるる島</t>
    <rPh sb="0" eb="1">
      <t>ワス</t>
    </rPh>
    <rPh sb="6" eb="7">
      <t>シマ</t>
    </rPh>
    <phoneticPr fontId="2"/>
  </si>
  <si>
    <t>イメージ：インドネシア　タナロット寺院　浜辺に近いところにポツンと浮かぶ、海上の島。たくさんの色とりどりの花が咲き乱れる。</t>
    <rPh sb="17" eb="19">
      <t>ジイン</t>
    </rPh>
    <rPh sb="20" eb="22">
      <t>ハマベ</t>
    </rPh>
    <rPh sb="23" eb="24">
      <t>チカ</t>
    </rPh>
    <rPh sb="33" eb="34">
      <t>ウ</t>
    </rPh>
    <rPh sb="37" eb="39">
      <t>カイジョウ</t>
    </rPh>
    <rPh sb="40" eb="41">
      <t>シマ</t>
    </rPh>
    <rPh sb="47" eb="48">
      <t>イロ</t>
    </rPh>
    <rPh sb="53" eb="54">
      <t>ハナ</t>
    </rPh>
    <rPh sb="55" eb="56">
      <t>サ</t>
    </rPh>
    <rPh sb="57" eb="58">
      <t>ミダ</t>
    </rPh>
    <phoneticPr fontId="2"/>
  </si>
  <si>
    <t>イメージ：NZランド　テカポ湖の丘　夜に一面の星空が広がる。紫の花がちらほら。</t>
    <rPh sb="14" eb="15">
      <t>コ</t>
    </rPh>
    <rPh sb="16" eb="17">
      <t>オカ</t>
    </rPh>
    <rPh sb="18" eb="19">
      <t>ヨル</t>
    </rPh>
    <rPh sb="20" eb="22">
      <t>イチメン</t>
    </rPh>
    <rPh sb="23" eb="25">
      <t>ホシゾラ</t>
    </rPh>
    <rPh sb="26" eb="27">
      <t>ヒロ</t>
    </rPh>
    <rPh sb="30" eb="31">
      <t>ムラサキ</t>
    </rPh>
    <rPh sb="32" eb="33">
      <t>ハナ</t>
    </rPh>
    <phoneticPr fontId="2"/>
  </si>
  <si>
    <t>イメージ：富良野ラベンダー畑　一面に紫一色の広大な畑。</t>
    <rPh sb="5" eb="8">
      <t>フラノ</t>
    </rPh>
    <rPh sb="13" eb="14">
      <t>ハタケ</t>
    </rPh>
    <rPh sb="15" eb="17">
      <t>イチメン</t>
    </rPh>
    <rPh sb="18" eb="19">
      <t>ムラサキ</t>
    </rPh>
    <rPh sb="19" eb="21">
      <t>イッショク</t>
    </rPh>
    <rPh sb="22" eb="24">
      <t>コウダイ</t>
    </rPh>
    <rPh sb="25" eb="26">
      <t>ハタケ</t>
    </rPh>
    <phoneticPr fontId="2"/>
  </si>
  <si>
    <t>イメージ：中国　ホタルの森　薄暗く、青緑色に霧が深くかかった、幻想的な森。ホタルがとびかう。</t>
    <rPh sb="5" eb="7">
      <t>チュウゴク</t>
    </rPh>
    <rPh sb="12" eb="13">
      <t>モリ</t>
    </rPh>
    <rPh sb="14" eb="16">
      <t>ウスグラ</t>
    </rPh>
    <rPh sb="18" eb="19">
      <t>アオ</t>
    </rPh>
    <rPh sb="19" eb="21">
      <t>ミドリイロ</t>
    </rPh>
    <rPh sb="22" eb="23">
      <t>キリ</t>
    </rPh>
    <rPh sb="24" eb="25">
      <t>フカ</t>
    </rPh>
    <rPh sb="31" eb="34">
      <t>ゲンソウテキ</t>
    </rPh>
    <rPh sb="35" eb="36">
      <t>モリ</t>
    </rPh>
    <phoneticPr fontId="2"/>
  </si>
  <si>
    <t>Forget_Island</t>
    <phoneticPr fontId="2"/>
  </si>
  <si>
    <t>イメージ：ドイツ　ゲンゲンバッハ　かわいいカラフルな家やショップが立ち並ぶ。</t>
    <rPh sb="26" eb="27">
      <t>イエ</t>
    </rPh>
    <rPh sb="33" eb="34">
      <t>タ</t>
    </rPh>
    <rPh sb="35" eb="36">
      <t>ナラ</t>
    </rPh>
    <phoneticPr fontId="2"/>
  </si>
  <si>
    <t>イメージ：アイルランド　アデア　広場のはずれにある井戸。木・藁ぶき屋根の石造家屋が立ち並ぶ。建物は少な目。</t>
    <rPh sb="16" eb="18">
      <t>ヒロバ</t>
    </rPh>
    <rPh sb="25" eb="27">
      <t>イド</t>
    </rPh>
    <rPh sb="28" eb="29">
      <t>キ</t>
    </rPh>
    <rPh sb="30" eb="31">
      <t>ワラ</t>
    </rPh>
    <rPh sb="33" eb="35">
      <t>ヤネ</t>
    </rPh>
    <rPh sb="36" eb="38">
      <t>セキゾウ</t>
    </rPh>
    <rPh sb="38" eb="40">
      <t>カオク</t>
    </rPh>
    <rPh sb="41" eb="42">
      <t>タ</t>
    </rPh>
    <rPh sb="43" eb="44">
      <t>ナラ</t>
    </rPh>
    <rPh sb="46" eb="48">
      <t>タテモノ</t>
    </rPh>
    <rPh sb="49" eb="50">
      <t>スク</t>
    </rPh>
    <rPh sb="51" eb="52">
      <t>メ</t>
    </rPh>
    <phoneticPr fontId="2"/>
  </si>
  <si>
    <t>place_day</t>
    <phoneticPr fontId="2"/>
  </si>
  <si>
    <t>farm_mini_icon</t>
    <phoneticPr fontId="2"/>
  </si>
  <si>
    <t>village_mini_icon</t>
    <phoneticPr fontId="2"/>
  </si>
  <si>
    <t>Shop</t>
    <phoneticPr fontId="2"/>
  </si>
  <si>
    <t>イメージ：ショップ。かわいい感じ。</t>
    <rPh sb="14" eb="15">
      <t>カン</t>
    </rPh>
    <phoneticPr fontId="2"/>
  </si>
  <si>
    <t>モタリケの牧場</t>
    <rPh sb="5" eb="7">
      <t>ボクジョウ</t>
    </rPh>
    <phoneticPr fontId="2"/>
  </si>
  <si>
    <t>drop_item6</t>
    <phoneticPr fontId="2"/>
  </si>
  <si>
    <t>drop_item7</t>
    <phoneticPr fontId="2"/>
  </si>
  <si>
    <t>drop_item8</t>
    <phoneticPr fontId="2"/>
  </si>
  <si>
    <t>drop_item9</t>
    <phoneticPr fontId="2"/>
  </si>
  <si>
    <t>drop_item10</t>
    <phoneticPr fontId="2"/>
  </si>
  <si>
    <t>drop_prob6</t>
    <phoneticPr fontId="2"/>
  </si>
  <si>
    <t>drop_prob7</t>
    <phoneticPr fontId="2"/>
  </si>
  <si>
    <t>drop_prob8</t>
    <phoneticPr fontId="2"/>
  </si>
  <si>
    <t>drop_prob9</t>
    <phoneticPr fontId="2"/>
  </si>
  <si>
    <t>drop_prob10</t>
    <phoneticPr fontId="2"/>
  </si>
  <si>
    <t>strange_grass</t>
    <phoneticPr fontId="2"/>
  </si>
  <si>
    <t>StrawberryGarden</t>
    <phoneticPr fontId="2"/>
  </si>
  <si>
    <t>strawberry</t>
    <phoneticPr fontId="2"/>
  </si>
  <si>
    <t>peach</t>
    <phoneticPr fontId="2"/>
  </si>
  <si>
    <t>cherry</t>
    <phoneticPr fontId="2"/>
  </si>
  <si>
    <t>HimawariHill</t>
    <phoneticPr fontId="2"/>
  </si>
  <si>
    <t>himawari_seed</t>
    <phoneticPr fontId="2"/>
  </si>
  <si>
    <t>BirdSanctuali</t>
    <phoneticPr fontId="2"/>
  </si>
  <si>
    <t>バードサンクチュアリ</t>
    <phoneticPr fontId="2"/>
  </si>
  <si>
    <t>egg</t>
    <phoneticPr fontId="2"/>
  </si>
  <si>
    <t>pink_suger</t>
    <phoneticPr fontId="2"/>
  </si>
  <si>
    <t>blueberry</t>
    <phoneticPr fontId="2"/>
  </si>
  <si>
    <t>lavender_flower</t>
    <phoneticPr fontId="2"/>
  </si>
  <si>
    <t>lemon</t>
    <phoneticPr fontId="2"/>
  </si>
  <si>
    <t>1_forest_a_600_300</t>
    <phoneticPr fontId="2"/>
  </si>
  <si>
    <t>center_bg</t>
    <phoneticPr fontId="2"/>
  </si>
  <si>
    <t>back_bg</t>
    <phoneticPr fontId="2"/>
  </si>
  <si>
    <t>3_strawberrygarden_600_300</t>
    <phoneticPr fontId="2"/>
  </si>
  <si>
    <t>4_himawarihill_600_300</t>
    <phoneticPr fontId="2"/>
  </si>
  <si>
    <t>2_ido_a_600_300</t>
    <phoneticPr fontId="2"/>
  </si>
  <si>
    <t>Non</t>
    <phoneticPr fontId="2"/>
  </si>
  <si>
    <t>5_lavender_field_600_300</t>
    <phoneticPr fontId="2"/>
  </si>
  <si>
    <t>村の広場</t>
    <rPh sb="0" eb="1">
      <t>ムラ</t>
    </rPh>
    <rPh sb="2" eb="4">
      <t>ヒロバ</t>
    </rPh>
    <phoneticPr fontId="2"/>
  </si>
  <si>
    <t>Emerald_Shop</t>
    <phoneticPr fontId="2"/>
  </si>
  <si>
    <t>エメラルドショップ　頑張って集めたエメラルどんぐりは、ここでごほうびに変わる。</t>
    <rPh sb="10" eb="12">
      <t>ガンバ</t>
    </rPh>
    <rPh sb="14" eb="15">
      <t>アツ</t>
    </rPh>
    <rPh sb="35" eb="36">
      <t>カ</t>
    </rPh>
    <phoneticPr fontId="2"/>
  </si>
  <si>
    <t>oldhouse_mini_icon</t>
    <phoneticPr fontId="2"/>
  </si>
  <si>
    <t>legendtree_mini_icon</t>
    <phoneticPr fontId="2"/>
  </si>
  <si>
    <t>mountain_mini_icon</t>
    <phoneticPr fontId="2"/>
  </si>
  <si>
    <t>place_type</t>
    <phoneticPr fontId="2"/>
  </si>
  <si>
    <t>earlgrey_leaf</t>
    <phoneticPr fontId="2"/>
  </si>
  <si>
    <t>egg_premiaum</t>
    <phoneticPr fontId="2"/>
  </si>
  <si>
    <t>イメージ：天地創造のバードサンクチュアリ　大きな湖と聖剣伝説に出てきそうなりっぱな大樹　鳥の他、たくさんの小動物たち</t>
    <rPh sb="5" eb="9">
      <t>テンチソウゾウ</t>
    </rPh>
    <rPh sb="21" eb="22">
      <t>オオ</t>
    </rPh>
    <rPh sb="24" eb="25">
      <t>ミズウミ</t>
    </rPh>
    <rPh sb="26" eb="30">
      <t>セイケンデンセツ</t>
    </rPh>
    <rPh sb="31" eb="32">
      <t>デ</t>
    </rPh>
    <rPh sb="41" eb="43">
      <t>タイジュ</t>
    </rPh>
    <rPh sb="44" eb="45">
      <t>トリ</t>
    </rPh>
    <rPh sb="46" eb="47">
      <t>ホカ</t>
    </rPh>
    <rPh sb="53" eb="56">
      <t>ショウドウブツ</t>
    </rPh>
    <phoneticPr fontId="2"/>
  </si>
  <si>
    <t>イメージ：富良野ラベンダー畑　一面に紫一色の広大な畑と、大きな湖</t>
    <rPh sb="5" eb="8">
      <t>フラノ</t>
    </rPh>
    <rPh sb="13" eb="14">
      <t>ハタケ</t>
    </rPh>
    <rPh sb="15" eb="17">
      <t>イチメン</t>
    </rPh>
    <rPh sb="18" eb="19">
      <t>ムラサキ</t>
    </rPh>
    <rPh sb="19" eb="21">
      <t>イッショク</t>
    </rPh>
    <rPh sb="22" eb="24">
      <t>コウダイ</t>
    </rPh>
    <rPh sb="25" eb="26">
      <t>ハタケ</t>
    </rPh>
    <rPh sb="28" eb="29">
      <t>オオ</t>
    </rPh>
    <rPh sb="31" eb="32">
      <t>ミズウミ</t>
    </rPh>
    <phoneticPr fontId="2"/>
  </si>
  <si>
    <t>mint</t>
    <phoneticPr fontId="2"/>
  </si>
  <si>
    <t>ストロベリーガーデン</t>
    <phoneticPr fontId="2"/>
  </si>
  <si>
    <t>ひまわりの丘</t>
    <rPh sb="5" eb="6">
      <t>オカ</t>
    </rPh>
    <phoneticPr fontId="2"/>
  </si>
  <si>
    <t>BerryFarm</t>
    <phoneticPr fontId="2"/>
  </si>
  <si>
    <t>ベリーファーム</t>
    <phoneticPr fontId="2"/>
  </si>
  <si>
    <t>raspberry</t>
    <phoneticPr fontId="2"/>
  </si>
  <si>
    <t>cranberry</t>
    <phoneticPr fontId="2"/>
  </si>
  <si>
    <t>apple</t>
    <phoneticPr fontId="2"/>
  </si>
  <si>
    <t>blackberry</t>
    <phoneticPr fontId="2"/>
  </si>
  <si>
    <t>blackcurrant</t>
    <phoneticPr fontId="2"/>
  </si>
  <si>
    <t>elder_flower</t>
    <phoneticPr fontId="2"/>
  </si>
  <si>
    <t>CatGrave</t>
    <phoneticPr fontId="2"/>
  </si>
  <si>
    <t>まもり猫のお墓</t>
    <rPh sb="3" eb="4">
      <t>ネコ</t>
    </rPh>
    <rPh sb="6" eb="7">
      <t>ハカ</t>
    </rPh>
    <phoneticPr fontId="2"/>
  </si>
  <si>
    <t>イメージ：少し暗いが、日が差し込む森</t>
    <rPh sb="5" eb="6">
      <t>スコ</t>
    </rPh>
    <rPh sb="7" eb="8">
      <t>クラ</t>
    </rPh>
    <rPh sb="11" eb="12">
      <t>ヒ</t>
    </rPh>
    <rPh sb="13" eb="14">
      <t>サ</t>
    </rPh>
    <rPh sb="15" eb="16">
      <t>コ</t>
    </rPh>
    <rPh sb="17" eb="18">
      <t>モリ</t>
    </rPh>
    <phoneticPr fontId="2"/>
  </si>
  <si>
    <t>イメージ：</t>
    <phoneticPr fontId="2"/>
  </si>
  <si>
    <t>Bar</t>
    <phoneticPr fontId="2"/>
  </si>
  <si>
    <t>oldhouse_orange_mini_icon</t>
    <phoneticPr fontId="2"/>
  </si>
  <si>
    <t>berryfarm_mini_icon</t>
    <phoneticPr fontId="2"/>
  </si>
  <si>
    <t>waterfall_mini_icon</t>
    <phoneticPr fontId="2"/>
  </si>
  <si>
    <t>town2_gray_mini_icon</t>
    <phoneticPr fontId="2"/>
  </si>
  <si>
    <t>lake_purple_mini_icon</t>
    <phoneticPr fontId="2"/>
  </si>
  <si>
    <t>himawari_mini_icon</t>
    <phoneticPr fontId="2"/>
  </si>
  <si>
    <t>strawberrygarden_icon_mini</t>
    <phoneticPr fontId="2"/>
  </si>
  <si>
    <t>catgrave_mini_icon</t>
    <phoneticPr fontId="2"/>
  </si>
  <si>
    <t>hydrangea</t>
    <phoneticPr fontId="2"/>
  </si>
  <si>
    <t>violette</t>
    <phoneticPr fontId="2"/>
  </si>
  <si>
    <t>green_apple</t>
    <phoneticPr fontId="2"/>
  </si>
  <si>
    <t>酒場「ラ・テ～ル」</t>
    <rPh sb="0" eb="2">
      <t>サカバ</t>
    </rPh>
    <phoneticPr fontId="2"/>
  </si>
  <si>
    <t>place_hp</t>
    <phoneticPr fontId="3"/>
  </si>
  <si>
    <t>honey</t>
    <phoneticPr fontId="2"/>
  </si>
  <si>
    <t>star_powder</t>
    <phoneticPr fontId="2"/>
  </si>
  <si>
    <t>ショップ「プリンのお菓子店」</t>
    <phoneticPr fontId="2"/>
  </si>
  <si>
    <t>アメジストの庭</t>
    <rPh sb="6" eb="7">
      <t>ニワ</t>
    </rPh>
    <phoneticPr fontId="2"/>
  </si>
  <si>
    <t>jasmin</t>
    <phoneticPr fontId="2"/>
  </si>
  <si>
    <t>banana</t>
    <phoneticPr fontId="2"/>
  </si>
  <si>
    <t>pear</t>
    <phoneticPr fontId="2"/>
  </si>
  <si>
    <t>murasaki_mushroom</t>
    <phoneticPr fontId="2"/>
  </si>
  <si>
    <t>エメラルショップ</t>
    <phoneticPr fontId="2"/>
  </si>
  <si>
    <t>kirakira_stone2</t>
    <phoneticPr fontId="2"/>
  </si>
  <si>
    <t>ヒカリの採取用DB</t>
    <rPh sb="4" eb="7">
      <t>サイシュヨウ</t>
    </rPh>
    <phoneticPr fontId="2"/>
  </si>
  <si>
    <t>doro_flower</t>
    <phoneticPr fontId="2"/>
  </si>
  <si>
    <t>rich_milk</t>
    <phoneticPr fontId="2"/>
  </si>
  <si>
    <t>ガレット村ノワゼット家</t>
    <rPh sb="4" eb="5">
      <t>ムラ</t>
    </rPh>
    <rPh sb="10" eb="11">
      <t>イエ</t>
    </rPh>
    <phoneticPr fontId="2"/>
  </si>
  <si>
    <t>Grt_StartCompound</t>
    <phoneticPr fontId="2"/>
  </si>
  <si>
    <t>オランジーナのヒカリの家</t>
    <rPh sb="11" eb="12">
      <t>イエ</t>
    </rPh>
    <phoneticPr fontId="2"/>
  </si>
  <si>
    <t>read_end</t>
    <phoneticPr fontId="2"/>
  </si>
  <si>
    <t>中央噴水広場</t>
    <rPh sb="0" eb="2">
      <t>チュウオウ</t>
    </rPh>
    <rPh sb="2" eb="4">
      <t>フンスイ</t>
    </rPh>
    <rPh sb="4" eb="6">
      <t>ヒロバ</t>
    </rPh>
    <phoneticPr fontId="2"/>
  </si>
  <si>
    <t>Or_Hiroba1</t>
    <phoneticPr fontId="2"/>
  </si>
  <si>
    <t>イメージ：ドバイ　パームファウンテン　世界最大の噴水のひとつ</t>
    <rPh sb="19" eb="23">
      <t>セカイサイダイ</t>
    </rPh>
    <rPh sb="24" eb="26">
      <t>フンスイ</t>
    </rPh>
    <phoneticPr fontId="2"/>
  </si>
  <si>
    <t>古めかしい井戸</t>
    <rPh sb="0" eb="1">
      <t>フル</t>
    </rPh>
    <rPh sb="5" eb="7">
      <t>イド</t>
    </rPh>
    <phoneticPr fontId="2"/>
  </si>
  <si>
    <t>春風の森</t>
    <rPh sb="0" eb="2">
      <t>ハルカゼ</t>
    </rPh>
    <rPh sb="3" eb="4">
      <t>モリ</t>
    </rPh>
    <phoneticPr fontId="2"/>
  </si>
  <si>
    <t>Orangina_Compound</t>
    <phoneticPr fontId="2"/>
  </si>
  <si>
    <t>Or_Shop_A1</t>
    <phoneticPr fontId="2"/>
  </si>
  <si>
    <t>Or_Bar_A1</t>
    <phoneticPr fontId="2"/>
  </si>
  <si>
    <t>春エリアコンテスト会場</t>
    <rPh sb="0" eb="1">
      <t>ハル</t>
    </rPh>
    <rPh sb="9" eb="11">
      <t>カイジョウ</t>
    </rPh>
    <phoneticPr fontId="2"/>
  </si>
  <si>
    <t>Grt_Station</t>
    <phoneticPr fontId="2"/>
  </si>
  <si>
    <t>ガレット駅</t>
    <rPh sb="4" eb="5">
      <t>エキ</t>
    </rPh>
    <phoneticPr fontId="2"/>
  </si>
  <si>
    <t>Or_Station</t>
    <phoneticPr fontId="2"/>
  </si>
  <si>
    <t>オランジーナ駅</t>
    <rPh sb="6" eb="7">
      <t>エキ</t>
    </rPh>
    <phoneticPr fontId="2"/>
  </si>
  <si>
    <t>place_default_flag</t>
    <phoneticPr fontId="2"/>
  </si>
  <si>
    <t>Or_Shop_B1</t>
    <phoneticPr fontId="2"/>
  </si>
  <si>
    <t>Or_Shop_C1</t>
    <phoneticPr fontId="2"/>
  </si>
  <si>
    <t>Or_Shop_D1</t>
    <phoneticPr fontId="2"/>
  </si>
  <si>
    <t>玄関から出る</t>
    <rPh sb="0" eb="2">
      <t>ゲンカン</t>
    </rPh>
    <rPh sb="4" eb="5">
      <t>デ</t>
    </rPh>
    <phoneticPr fontId="2"/>
  </si>
  <si>
    <t>Or_Comp_Entrance</t>
    <phoneticPr fontId="2"/>
  </si>
  <si>
    <t>Or_Bar_B1</t>
    <phoneticPr fontId="2"/>
  </si>
  <si>
    <t>Or_Bar_C1</t>
    <phoneticPr fontId="2"/>
  </si>
  <si>
    <t>Or_Bar_D1</t>
    <phoneticPr fontId="2"/>
  </si>
  <si>
    <t>BARマカジキ</t>
    <phoneticPr fontId="2"/>
  </si>
  <si>
    <t>ふぐなべ亭</t>
    <rPh sb="4" eb="5">
      <t>テイ</t>
    </rPh>
    <phoneticPr fontId="2"/>
  </si>
  <si>
    <t>Or_Contest_A1</t>
    <phoneticPr fontId="2"/>
  </si>
  <si>
    <t>よいどれ亭</t>
    <rPh sb="4" eb="5">
      <t>テイ</t>
    </rPh>
    <phoneticPr fontId="2"/>
  </si>
  <si>
    <t>Or_Contest_B1</t>
    <phoneticPr fontId="2"/>
  </si>
  <si>
    <t>Or_Contest_C1</t>
    <phoneticPr fontId="2"/>
  </si>
  <si>
    <t>Or_Contest_D1</t>
    <phoneticPr fontId="2"/>
  </si>
  <si>
    <t>夏エリアコンテスト会場</t>
    <rPh sb="0" eb="1">
      <t>ナツ</t>
    </rPh>
    <rPh sb="9" eb="11">
      <t>カイジョウ</t>
    </rPh>
    <phoneticPr fontId="2"/>
  </si>
  <si>
    <t>秋エリアコンテスト会場</t>
    <rPh sb="0" eb="1">
      <t>アキ</t>
    </rPh>
    <rPh sb="9" eb="11">
      <t>カイジョウ</t>
    </rPh>
    <phoneticPr fontId="2"/>
  </si>
  <si>
    <t>冬エリアコンテスト会場</t>
    <rPh sb="0" eb="1">
      <t>フユ</t>
    </rPh>
    <rPh sb="9" eb="11">
      <t>カイジョウ</t>
    </rPh>
    <phoneticPr fontId="2"/>
  </si>
  <si>
    <t>Sakura_Forest</t>
    <phoneticPr fontId="2"/>
  </si>
  <si>
    <t>MapBG_Ido</t>
    <phoneticPr fontId="2"/>
  </si>
  <si>
    <t>MapBG_BirdSanctuali</t>
    <phoneticPr fontId="2"/>
  </si>
  <si>
    <t>MapBG_Forest</t>
    <phoneticPr fontId="2"/>
  </si>
  <si>
    <t>MapBG_CatGrave</t>
    <phoneticPr fontId="2"/>
  </si>
  <si>
    <t>MapBG_110618_</t>
    <phoneticPr fontId="2"/>
  </si>
  <si>
    <t>MapBG_Lavender_BG2</t>
    <phoneticPr fontId="2"/>
  </si>
  <si>
    <t>MapBG_Strawberry</t>
    <phoneticPr fontId="2"/>
  </si>
  <si>
    <t>MapBG_HimawariHill</t>
    <phoneticPr fontId="2"/>
  </si>
  <si>
    <t>MapBG_Forest_Sakura</t>
    <phoneticPr fontId="2"/>
  </si>
  <si>
    <t>sakura_chip</t>
    <phoneticPr fontId="2"/>
  </si>
  <si>
    <t>place_category</t>
    <phoneticPr fontId="2"/>
  </si>
  <si>
    <t>Or_Farm</t>
    <phoneticPr fontId="2"/>
  </si>
  <si>
    <t>Or_Old_Ido</t>
    <phoneticPr fontId="2"/>
  </si>
  <si>
    <t>ブルートパーズのお花畑</t>
    <rPh sb="9" eb="11">
      <t>ハナバタケ</t>
    </rPh>
    <phoneticPr fontId="2"/>
  </si>
  <si>
    <t>Bluetopaz_Garden</t>
    <phoneticPr fontId="2"/>
  </si>
  <si>
    <t>アクアマリンの湖</t>
    <rPh sb="7" eb="8">
      <t>ミズウミ</t>
    </rPh>
    <phoneticPr fontId="2"/>
  </si>
  <si>
    <t>琥珀の湖</t>
    <rPh sb="0" eb="2">
      <t>コハク</t>
    </rPh>
    <rPh sb="3" eb="4">
      <t>ミズウミ</t>
    </rPh>
    <phoneticPr fontId="2"/>
  </si>
  <si>
    <t>ダイヤモンド山</t>
    <rPh sb="6" eb="7">
      <t>ヤマ</t>
    </rPh>
    <phoneticPr fontId="2"/>
  </si>
  <si>
    <t>ムーンストーンの丘</t>
    <rPh sb="8" eb="9">
      <t>オカ</t>
    </rPh>
    <phoneticPr fontId="2"/>
  </si>
  <si>
    <t>エメラルドの大森林</t>
    <rPh sb="6" eb="9">
      <t>ダイシンリン</t>
    </rPh>
    <phoneticPr fontId="2"/>
  </si>
  <si>
    <t>Amber_Lake</t>
    <phoneticPr fontId="2"/>
  </si>
  <si>
    <t>MoonStone_Hill</t>
    <phoneticPr fontId="2"/>
  </si>
  <si>
    <t>Diamond_Mountain</t>
    <phoneticPr fontId="2"/>
  </si>
  <si>
    <t>Ruby_Plane</t>
    <phoneticPr fontId="2"/>
  </si>
  <si>
    <t>製菓材料店エクレール</t>
    <rPh sb="0" eb="2">
      <t>セイカ</t>
    </rPh>
    <rPh sb="2" eb="4">
      <t>ザイリョウ</t>
    </rPh>
    <rPh sb="4" eb="5">
      <t>テン</t>
    </rPh>
    <phoneticPr fontId="2"/>
  </si>
  <si>
    <t>MapBG_Nemofira_plain</t>
    <phoneticPr fontId="2"/>
  </si>
  <si>
    <t>sapphire_suger</t>
    <phoneticPr fontId="2"/>
  </si>
  <si>
    <t>Aquamarine_Lake</t>
    <phoneticPr fontId="2"/>
  </si>
  <si>
    <t>contest_mini_icon</t>
    <phoneticPr fontId="2"/>
  </si>
  <si>
    <t>moon_apple</t>
    <phoneticPr fontId="2"/>
  </si>
  <si>
    <t>nuts_pistachio</t>
    <phoneticPr fontId="2"/>
  </si>
  <si>
    <t>jems_nuts</t>
    <phoneticPr fontId="2"/>
  </si>
  <si>
    <t>maron</t>
    <phoneticPr fontId="2"/>
  </si>
  <si>
    <t>apricot</t>
    <phoneticPr fontId="2"/>
  </si>
  <si>
    <t>scarletberry</t>
    <phoneticPr fontId="2"/>
  </si>
  <si>
    <t>orange_of_sun</t>
    <phoneticPr fontId="2"/>
  </si>
  <si>
    <t>rainbowberry</t>
    <phoneticPr fontId="2"/>
  </si>
  <si>
    <t>blacklotus</t>
    <phoneticPr fontId="2"/>
  </si>
  <si>
    <t>cacao_beans</t>
    <phoneticPr fontId="2"/>
  </si>
  <si>
    <t>vanilla_fruits</t>
    <phoneticPr fontId="2"/>
  </si>
  <si>
    <t>pineapple</t>
    <phoneticPr fontId="2"/>
  </si>
  <si>
    <t>water_high</t>
    <phoneticPr fontId="2"/>
  </si>
  <si>
    <t>MapBG_EmeraldForest</t>
    <phoneticPr fontId="2"/>
  </si>
  <si>
    <t>MapBG_AquamarineLake</t>
    <phoneticPr fontId="2"/>
  </si>
  <si>
    <t>orange_pinkblood</t>
    <phoneticPr fontId="2"/>
  </si>
  <si>
    <t>apple_kogyoku</t>
    <phoneticPr fontId="2"/>
  </si>
  <si>
    <t>strawberry_sweatking</t>
    <phoneticPr fontId="2"/>
  </si>
  <si>
    <t>silver_grass</t>
    <phoneticPr fontId="2"/>
  </si>
  <si>
    <t>water_special</t>
    <phoneticPr fontId="2"/>
  </si>
  <si>
    <t>grape_kihu</t>
    <phoneticPr fontId="2"/>
  </si>
  <si>
    <t>MapBG_AmberLake</t>
    <phoneticPr fontId="2"/>
  </si>
  <si>
    <t>MapBG_RubyPlane</t>
    <phoneticPr fontId="2"/>
  </si>
  <si>
    <t>MapBG_MoonStoneHills</t>
    <phoneticPr fontId="2"/>
  </si>
  <si>
    <t>MapBG_DiamondMountain</t>
    <phoneticPr fontId="2"/>
  </si>
  <si>
    <t>ミラボー先生の家</t>
    <rPh sb="4" eb="6">
      <t>センセイ</t>
    </rPh>
    <rPh sb="7" eb="8">
      <t>イエ</t>
    </rPh>
    <phoneticPr fontId="2"/>
  </si>
  <si>
    <t>Or_MagicHouseA1</t>
    <phoneticPr fontId="2"/>
  </si>
  <si>
    <t>Or_HirobaEnter_A1</t>
    <phoneticPr fontId="2"/>
  </si>
  <si>
    <t>夏エリア入口</t>
    <rPh sb="0" eb="1">
      <t>ナツ</t>
    </rPh>
    <rPh sb="4" eb="6">
      <t>イリグチ</t>
    </rPh>
    <phoneticPr fontId="2"/>
  </si>
  <si>
    <t>秋エリア入口</t>
    <rPh sb="0" eb="1">
      <t>アキ</t>
    </rPh>
    <rPh sb="4" eb="6">
      <t>イリグチ</t>
    </rPh>
    <phoneticPr fontId="2"/>
  </si>
  <si>
    <t>冬エリア入口</t>
    <rPh sb="0" eb="1">
      <t>フユ</t>
    </rPh>
    <rPh sb="4" eb="6">
      <t>イリグチ</t>
    </rPh>
    <phoneticPr fontId="2"/>
  </si>
  <si>
    <t>Or_HirobaEnter_B1</t>
    <phoneticPr fontId="2"/>
  </si>
  <si>
    <t>Or_HirobaEnter_C1</t>
    <phoneticPr fontId="2"/>
  </si>
  <si>
    <t>Or_HirobaEnter_D1</t>
    <phoneticPr fontId="2"/>
  </si>
  <si>
    <t>オランジーナ城入口</t>
    <rPh sb="6" eb="7">
      <t>シロ</t>
    </rPh>
    <rPh sb="7" eb="9">
      <t>イリグチ</t>
    </rPh>
    <phoneticPr fontId="2"/>
  </si>
  <si>
    <t>Or_HirobaEnter_Catsle</t>
    <phoneticPr fontId="2"/>
  </si>
  <si>
    <t>mermaid_harb</t>
    <phoneticPr fontId="2"/>
  </si>
  <si>
    <t>aquamarineLake_mini_icon</t>
    <phoneticPr fontId="2"/>
  </si>
  <si>
    <t>moonstonehill_mini_icon</t>
    <phoneticPr fontId="2"/>
  </si>
  <si>
    <t>magichouse_01_mini_icon</t>
    <phoneticPr fontId="2"/>
  </si>
  <si>
    <t>summer_enter_mini_icon</t>
    <phoneticPr fontId="2"/>
  </si>
  <si>
    <t>winter_enter_mini_icon</t>
    <phoneticPr fontId="2"/>
  </si>
  <si>
    <t>farm_02_mini_icon</t>
    <phoneticPr fontId="2"/>
  </si>
  <si>
    <t>satsumaimo</t>
    <phoneticPr fontId="2"/>
  </si>
  <si>
    <t>DreamEater_Swamp</t>
    <phoneticPr fontId="2"/>
  </si>
  <si>
    <t>イメージ：人の夢や希望をくらう沼。長くつかると心を失くしてしまう。</t>
    <rPh sb="5" eb="6">
      <t>ヒト</t>
    </rPh>
    <rPh sb="7" eb="8">
      <t>ユメ</t>
    </rPh>
    <rPh sb="9" eb="11">
      <t>キボウ</t>
    </rPh>
    <rPh sb="15" eb="16">
      <t>ヌマ</t>
    </rPh>
    <rPh sb="17" eb="18">
      <t>ナガ</t>
    </rPh>
    <rPh sb="23" eb="24">
      <t>ココロ</t>
    </rPh>
    <rPh sb="25" eb="26">
      <t>ナ</t>
    </rPh>
    <phoneticPr fontId="2"/>
  </si>
  <si>
    <t>夢くい沼</t>
    <rPh sb="0" eb="1">
      <t>ユメ</t>
    </rPh>
    <rPh sb="3" eb="4">
      <t>ヌマ</t>
    </rPh>
    <phoneticPr fontId="2"/>
  </si>
  <si>
    <t>MapBG_DreamEater_Swamp</t>
    <phoneticPr fontId="2"/>
  </si>
  <si>
    <t>springforest_mini_icon</t>
    <phoneticPr fontId="2"/>
  </si>
  <si>
    <t>yumekuinuma_mini_icon</t>
    <phoneticPr fontId="2"/>
  </si>
  <si>
    <t>emeraldforest_mini_icon</t>
    <phoneticPr fontId="2"/>
  </si>
  <si>
    <t>amberlake_mini_icon</t>
    <phoneticPr fontId="2"/>
  </si>
  <si>
    <t>bluetopaz_mini_icon</t>
    <phoneticPr fontId="2"/>
  </si>
  <si>
    <t>rubyplane_mini_icon</t>
    <phoneticPr fontId="2"/>
  </si>
  <si>
    <t>diamond_mountain_mini_icon</t>
    <phoneticPr fontId="2"/>
  </si>
  <si>
    <t>muscat</t>
    <phoneticPr fontId="2"/>
  </si>
  <si>
    <t>ルビー平原</t>
    <rPh sb="3" eb="5">
      <t>ヘイゲン</t>
    </rPh>
    <phoneticPr fontId="2"/>
  </si>
  <si>
    <t>town_mini_icon2</t>
    <phoneticPr fontId="2"/>
  </si>
  <si>
    <t>contest_mini_icon2</t>
    <phoneticPr fontId="2"/>
  </si>
  <si>
    <t>contest_mini_icon3</t>
    <phoneticPr fontId="2"/>
  </si>
  <si>
    <t>contest_mini_icon4</t>
    <phoneticPr fontId="2"/>
  </si>
  <si>
    <t>oyashiki_mini_icon</t>
    <phoneticPr fontId="2"/>
  </si>
  <si>
    <t>oldhouse_pink_mini_icon</t>
    <phoneticPr fontId="2"/>
  </si>
  <si>
    <t>oldhouse_red_mini_icon</t>
    <phoneticPr fontId="2"/>
  </si>
  <si>
    <t>oldhouse_purple_mini_icon</t>
    <phoneticPr fontId="2"/>
  </si>
  <si>
    <t>夏のお店マリトッツォ</t>
    <rPh sb="0" eb="1">
      <t>ナツ</t>
    </rPh>
    <rPh sb="3" eb="4">
      <t>ミセ</t>
    </rPh>
    <phoneticPr fontId="2"/>
  </si>
  <si>
    <t>秋のお店モンブラ～ン</t>
    <rPh sb="0" eb="1">
      <t>アキ</t>
    </rPh>
    <rPh sb="3" eb="4">
      <t>ミセ</t>
    </rPh>
    <phoneticPr fontId="2"/>
  </si>
  <si>
    <t>冬のお店ラッテ</t>
    <rPh sb="0" eb="1">
      <t>フユ</t>
    </rPh>
    <rPh sb="3" eb="4">
      <t>ミセ</t>
    </rPh>
    <phoneticPr fontId="2"/>
  </si>
  <si>
    <t>kirakira_stone1</t>
    <phoneticPr fontId="2"/>
  </si>
  <si>
    <t>Or_EmeraldShop_A1</t>
    <phoneticPr fontId="2"/>
  </si>
  <si>
    <t>BARアズール</t>
    <phoneticPr fontId="2"/>
  </si>
  <si>
    <t>ポンポンファ～ム</t>
    <phoneticPr fontId="2"/>
  </si>
  <si>
    <t>Or_Hiroba_Summer_SweetsHouse</t>
    <phoneticPr fontId="2"/>
  </si>
  <si>
    <t>イケメンのお店</t>
    <rPh sb="6" eb="7">
      <t>ミセ</t>
    </rPh>
    <phoneticPr fontId="2"/>
  </si>
  <si>
    <t>autumn_enter_mini_icon</t>
    <phoneticPr fontId="2"/>
  </si>
  <si>
    <t>spring_enter_mini_icon</t>
    <phoneticPr fontId="2"/>
  </si>
  <si>
    <t>oldhouse_blue_mini_icon</t>
    <phoneticPr fontId="2"/>
  </si>
  <si>
    <t>Or_Hiroba_Summer_SodaIsland</t>
    <phoneticPr fontId="2"/>
  </si>
  <si>
    <t>ソーダアイランド</t>
    <phoneticPr fontId="2"/>
  </si>
  <si>
    <t>Or_Hiroba1_Roten</t>
    <phoneticPr fontId="2"/>
  </si>
  <si>
    <t>春の露店通り</t>
    <rPh sb="0" eb="1">
      <t>ハル</t>
    </rPh>
    <rPh sb="2" eb="4">
      <t>ロテン</t>
    </rPh>
    <rPh sb="4" eb="5">
      <t>ドオ</t>
    </rPh>
    <phoneticPr fontId="2"/>
  </si>
  <si>
    <t>お花畑</t>
    <rPh sb="1" eb="3">
      <t>ハナバタケ</t>
    </rPh>
    <phoneticPr fontId="2"/>
  </si>
  <si>
    <t>roten_mini_icon</t>
    <phoneticPr fontId="2"/>
  </si>
  <si>
    <t>Or_Hiroba1_HotSpring</t>
    <phoneticPr fontId="2"/>
  </si>
  <si>
    <t>温泉「ヘルシーメルシー」</t>
    <rPh sb="0" eb="2">
      <t>オンセン</t>
    </rPh>
    <phoneticPr fontId="2"/>
  </si>
  <si>
    <t>place_catLV</t>
    <phoneticPr fontId="2"/>
  </si>
  <si>
    <t>sodaisland_mini_icon</t>
    <phoneticPr fontId="2"/>
  </si>
  <si>
    <t>winter_town_mini_icon</t>
    <phoneticPr fontId="2"/>
  </si>
  <si>
    <t>秘密の花園</t>
    <rPh sb="0" eb="2">
      <t>ヒミツ</t>
    </rPh>
    <rPh sb="3" eb="5">
      <t>ハナゾノ</t>
    </rPh>
    <phoneticPr fontId="2"/>
  </si>
  <si>
    <t>Secret_Garden</t>
    <phoneticPr fontId="2"/>
  </si>
  <si>
    <t>MapBG_SecretGarden</t>
    <phoneticPr fontId="2"/>
  </si>
  <si>
    <t>secretgarden_mini_icon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</si>
</sst>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0"/>
      <color rgb="FF000000"/>
      <name val="Arial"/>
      <family val="2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D94E9-DB74-4E9B-8C36-2C34A645DC43}">
  <dimension ref="A1:AP18"/>
  <sheetViews>
    <sheetView workbookViewId="0">
      <selection activeCell="M1" sqref="M1"/>
    </sheetView>
  </sheetViews>
  <sheetFormatPr defaultRowHeight="18.75" x14ac:dyDescent="0.4"/>
  <cols>
    <col min="2" max="2" width="10.125" customWidth="1"/>
    <col min="3" max="3" width="18" customWidth="1"/>
    <col min="4" max="4" width="18.125" customWidth="1"/>
    <col min="5" max="5" width="19.75" customWidth="1"/>
    <col min="6" max="6" width="7.5" customWidth="1"/>
    <col min="7" max="8" width="8.125" customWidth="1"/>
    <col min="9" max="12" width="6.75" customWidth="1"/>
    <col min="13" max="13" width="7" customWidth="1"/>
    <col min="14" max="14" width="7.125" customWidth="1"/>
    <col min="15" max="15" width="9.875" customWidth="1"/>
    <col min="23" max="23" width="10.25" customWidth="1"/>
    <col min="25" max="25" width="14.5" customWidth="1"/>
    <col min="26" max="26" width="14.125" customWidth="1"/>
    <col min="37" max="38" width="14" customWidth="1"/>
    <col min="39" max="39" width="13.625" customWidth="1"/>
  </cols>
  <sheetData>
    <row r="1" spans="1:42" x14ac:dyDescent="0.2">
      <c r="A1" s="1" t="s">
        <v>0</v>
      </c>
      <c r="B1" s="1" t="s">
        <v>38</v>
      </c>
      <c r="C1" s="1" t="s">
        <v>1</v>
      </c>
      <c r="D1" s="1" t="s">
        <v>18</v>
      </c>
      <c r="E1" s="1" t="s">
        <v>43</v>
      </c>
      <c r="F1" s="1" t="s">
        <v>54</v>
      </c>
      <c r="G1" s="1" t="s">
        <v>2</v>
      </c>
      <c r="H1" s="1" t="s">
        <v>131</v>
      </c>
      <c r="I1" s="1" t="s">
        <v>3</v>
      </c>
      <c r="J1" s="1" t="s">
        <v>162</v>
      </c>
      <c r="K1" s="1" t="s">
        <v>98</v>
      </c>
      <c r="L1" s="1" t="s">
        <v>192</v>
      </c>
      <c r="M1" s="1" t="s">
        <v>296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9</v>
      </c>
      <c r="Y1" s="1" t="s">
        <v>10</v>
      </c>
      <c r="Z1" s="1" t="s">
        <v>31</v>
      </c>
      <c r="AA1" s="1" t="s">
        <v>11</v>
      </c>
      <c r="AB1" s="1" t="s">
        <v>12</v>
      </c>
      <c r="AC1" s="1" t="s">
        <v>13</v>
      </c>
      <c r="AD1" s="1" t="s">
        <v>14</v>
      </c>
      <c r="AE1" s="1" t="s">
        <v>15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16</v>
      </c>
      <c r="AL1" s="1" t="s">
        <v>17</v>
      </c>
      <c r="AM1" s="1" t="s">
        <v>32</v>
      </c>
      <c r="AN1" s="1" t="s">
        <v>85</v>
      </c>
      <c r="AO1" s="1" t="s">
        <v>86</v>
      </c>
      <c r="AP1" s="1" t="s">
        <v>148</v>
      </c>
    </row>
    <row r="2" spans="1:42" x14ac:dyDescent="0.4">
      <c r="A2">
        <f t="shared" ref="A2:A18" si="0">ROW()-2</f>
        <v>0</v>
      </c>
      <c r="B2" t="s">
        <v>119</v>
      </c>
      <c r="C2" t="s">
        <v>57</v>
      </c>
      <c r="D2" t="s">
        <v>134</v>
      </c>
      <c r="E2" t="s">
        <v>58</v>
      </c>
      <c r="F2">
        <v>10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  <c r="N2" t="s">
        <v>26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  <c r="Z2" t="s">
        <v>27</v>
      </c>
      <c r="AA2">
        <v>10</v>
      </c>
      <c r="AB2">
        <v>30</v>
      </c>
      <c r="AC2">
        <v>30</v>
      </c>
      <c r="AD2">
        <v>30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95</v>
      </c>
      <c r="AL2">
        <v>5</v>
      </c>
      <c r="AM2">
        <v>0</v>
      </c>
      <c r="AN2" t="s">
        <v>90</v>
      </c>
      <c r="AO2" t="s">
        <v>90</v>
      </c>
      <c r="AP2">
        <v>0</v>
      </c>
    </row>
    <row r="3" spans="1:42" x14ac:dyDescent="0.4">
      <c r="A3">
        <f t="shared" si="0"/>
        <v>1</v>
      </c>
      <c r="B3" t="s">
        <v>40</v>
      </c>
      <c r="C3" t="s">
        <v>118</v>
      </c>
      <c r="D3" t="s">
        <v>130</v>
      </c>
      <c r="E3" t="s">
        <v>58</v>
      </c>
      <c r="F3">
        <v>10</v>
      </c>
      <c r="G3">
        <v>0</v>
      </c>
      <c r="H3">
        <v>0</v>
      </c>
      <c r="I3">
        <v>1</v>
      </c>
      <c r="J3">
        <v>9999</v>
      </c>
      <c r="K3">
        <v>0</v>
      </c>
      <c r="L3">
        <v>0</v>
      </c>
      <c r="M3">
        <v>0</v>
      </c>
      <c r="N3" t="s">
        <v>26</v>
      </c>
      <c r="O3" t="s">
        <v>27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  <c r="X3" t="s">
        <v>27</v>
      </c>
      <c r="Y3" t="s">
        <v>27</v>
      </c>
      <c r="Z3" t="s">
        <v>27</v>
      </c>
      <c r="AA3">
        <v>10</v>
      </c>
      <c r="AB3">
        <v>30</v>
      </c>
      <c r="AC3">
        <v>30</v>
      </c>
      <c r="AD3">
        <v>30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95</v>
      </c>
      <c r="AL3">
        <v>5</v>
      </c>
      <c r="AM3">
        <v>0</v>
      </c>
      <c r="AN3" t="s">
        <v>27</v>
      </c>
      <c r="AO3" t="s">
        <v>27</v>
      </c>
      <c r="AP3">
        <v>0</v>
      </c>
    </row>
    <row r="4" spans="1:42" x14ac:dyDescent="0.4">
      <c r="A4">
        <f t="shared" si="0"/>
        <v>2</v>
      </c>
      <c r="B4" t="s">
        <v>122</v>
      </c>
      <c r="C4" t="s">
        <v>37</v>
      </c>
      <c r="D4" t="s">
        <v>92</v>
      </c>
      <c r="E4" t="s">
        <v>52</v>
      </c>
      <c r="F4">
        <v>30</v>
      </c>
      <c r="G4">
        <v>0</v>
      </c>
      <c r="H4">
        <v>0</v>
      </c>
      <c r="I4">
        <v>1</v>
      </c>
      <c r="J4">
        <v>9999</v>
      </c>
      <c r="K4">
        <v>0</v>
      </c>
      <c r="L4">
        <v>0</v>
      </c>
      <c r="M4">
        <v>0</v>
      </c>
      <c r="N4" t="s">
        <v>26</v>
      </c>
      <c r="O4" t="s">
        <v>27</v>
      </c>
      <c r="P4" t="s">
        <v>27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  <c r="X4" t="s">
        <v>27</v>
      </c>
      <c r="Y4" t="s">
        <v>27</v>
      </c>
      <c r="Z4" t="s">
        <v>27</v>
      </c>
      <c r="AA4">
        <v>10</v>
      </c>
      <c r="AB4">
        <v>30</v>
      </c>
      <c r="AC4">
        <v>30</v>
      </c>
      <c r="AD4">
        <v>30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95</v>
      </c>
      <c r="AL4">
        <v>5</v>
      </c>
      <c r="AM4">
        <v>0</v>
      </c>
      <c r="AN4" t="s">
        <v>90</v>
      </c>
      <c r="AO4" t="s">
        <v>90</v>
      </c>
      <c r="AP4">
        <v>0</v>
      </c>
    </row>
    <row r="5" spans="1:42" x14ac:dyDescent="0.4">
      <c r="A5">
        <f t="shared" si="0"/>
        <v>3</v>
      </c>
      <c r="B5" t="s">
        <v>55</v>
      </c>
      <c r="C5" t="s">
        <v>20</v>
      </c>
      <c r="D5" t="s">
        <v>59</v>
      </c>
      <c r="E5" t="s">
        <v>45</v>
      </c>
      <c r="F5">
        <v>20</v>
      </c>
      <c r="G5">
        <v>0</v>
      </c>
      <c r="H5">
        <v>0</v>
      </c>
      <c r="I5">
        <v>1</v>
      </c>
      <c r="J5">
        <v>9999</v>
      </c>
      <c r="K5">
        <v>0</v>
      </c>
      <c r="L5">
        <v>0</v>
      </c>
      <c r="M5">
        <v>0</v>
      </c>
      <c r="N5" t="s">
        <v>26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  <c r="Y5" t="s">
        <v>27</v>
      </c>
      <c r="Z5" t="s">
        <v>27</v>
      </c>
      <c r="AA5">
        <v>60</v>
      </c>
      <c r="AB5">
        <v>25</v>
      </c>
      <c r="AC5">
        <v>12</v>
      </c>
      <c r="AD5">
        <v>3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95</v>
      </c>
      <c r="AL5">
        <v>5</v>
      </c>
      <c r="AM5">
        <v>0</v>
      </c>
      <c r="AN5" t="s">
        <v>90</v>
      </c>
      <c r="AO5" t="s">
        <v>90</v>
      </c>
      <c r="AP5">
        <v>0</v>
      </c>
    </row>
    <row r="6" spans="1:42" x14ac:dyDescent="0.4">
      <c r="A6">
        <f t="shared" si="0"/>
        <v>4</v>
      </c>
      <c r="B6" t="s">
        <v>95</v>
      </c>
      <c r="C6" t="s">
        <v>93</v>
      </c>
      <c r="D6" t="s">
        <v>140</v>
      </c>
      <c r="E6" t="s">
        <v>94</v>
      </c>
      <c r="F6">
        <v>30</v>
      </c>
      <c r="G6">
        <v>0</v>
      </c>
      <c r="H6">
        <v>0</v>
      </c>
      <c r="I6">
        <v>1</v>
      </c>
      <c r="J6">
        <v>9999</v>
      </c>
      <c r="K6">
        <v>0</v>
      </c>
      <c r="L6">
        <v>0</v>
      </c>
      <c r="M6">
        <v>0</v>
      </c>
      <c r="N6" t="s">
        <v>26</v>
      </c>
      <c r="O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  <c r="Z6" t="s">
        <v>27</v>
      </c>
      <c r="AA6">
        <v>10</v>
      </c>
      <c r="AB6">
        <v>30</v>
      </c>
      <c r="AC6">
        <v>30</v>
      </c>
      <c r="AD6">
        <v>30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95</v>
      </c>
      <c r="AL6">
        <v>5</v>
      </c>
      <c r="AM6">
        <v>0</v>
      </c>
      <c r="AN6" t="s">
        <v>27</v>
      </c>
      <c r="AO6" t="s">
        <v>27</v>
      </c>
      <c r="AP6">
        <v>0</v>
      </c>
    </row>
    <row r="7" spans="1:42" x14ac:dyDescent="0.4">
      <c r="A7">
        <f t="shared" si="0"/>
        <v>5</v>
      </c>
      <c r="B7" t="s">
        <v>56</v>
      </c>
      <c r="C7" t="s">
        <v>35</v>
      </c>
      <c r="D7" t="s">
        <v>34</v>
      </c>
      <c r="E7" t="s">
        <v>53</v>
      </c>
      <c r="F7">
        <v>5</v>
      </c>
      <c r="G7">
        <v>0</v>
      </c>
      <c r="H7">
        <v>1</v>
      </c>
      <c r="I7">
        <v>1</v>
      </c>
      <c r="J7">
        <v>1</v>
      </c>
      <c r="K7">
        <v>1</v>
      </c>
      <c r="L7">
        <v>0</v>
      </c>
      <c r="M7">
        <v>0</v>
      </c>
      <c r="N7" t="s">
        <v>26</v>
      </c>
      <c r="O7" t="s">
        <v>36</v>
      </c>
      <c r="P7" t="s">
        <v>27</v>
      </c>
      <c r="Q7" t="s">
        <v>27</v>
      </c>
      <c r="R7" t="s">
        <v>27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  <c r="Y7" t="s">
        <v>141</v>
      </c>
      <c r="Z7" t="s">
        <v>27</v>
      </c>
      <c r="AA7">
        <v>0</v>
      </c>
      <c r="AB7">
        <v>100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98</v>
      </c>
      <c r="AL7">
        <v>2</v>
      </c>
      <c r="AM7">
        <v>0</v>
      </c>
      <c r="AN7" t="s">
        <v>89</v>
      </c>
      <c r="AO7" t="s">
        <v>182</v>
      </c>
      <c r="AP7">
        <v>0</v>
      </c>
    </row>
    <row r="8" spans="1:42" x14ac:dyDescent="0.4">
      <c r="A8">
        <f t="shared" si="0"/>
        <v>6</v>
      </c>
      <c r="B8" t="s">
        <v>39</v>
      </c>
      <c r="C8" t="s">
        <v>19</v>
      </c>
      <c r="D8" t="s">
        <v>30</v>
      </c>
      <c r="E8" t="s">
        <v>116</v>
      </c>
      <c r="F8">
        <v>15</v>
      </c>
      <c r="G8">
        <v>0</v>
      </c>
      <c r="H8">
        <v>1</v>
      </c>
      <c r="I8">
        <v>1</v>
      </c>
      <c r="J8">
        <v>1</v>
      </c>
      <c r="K8">
        <v>1</v>
      </c>
      <c r="L8">
        <v>0</v>
      </c>
      <c r="M8">
        <v>0</v>
      </c>
      <c r="N8" t="s">
        <v>26</v>
      </c>
      <c r="O8" t="s">
        <v>28</v>
      </c>
      <c r="P8" t="s">
        <v>29</v>
      </c>
      <c r="Q8" t="s">
        <v>25</v>
      </c>
      <c r="R8" t="s">
        <v>70</v>
      </c>
      <c r="S8" t="s">
        <v>103</v>
      </c>
      <c r="T8" t="s">
        <v>139</v>
      </c>
      <c r="U8" t="s">
        <v>27</v>
      </c>
      <c r="V8" t="s">
        <v>27</v>
      </c>
      <c r="W8" t="s">
        <v>27</v>
      </c>
      <c r="X8" t="s">
        <v>27</v>
      </c>
      <c r="Y8" t="s">
        <v>33</v>
      </c>
      <c r="Z8" t="s">
        <v>83</v>
      </c>
      <c r="AA8">
        <v>20</v>
      </c>
      <c r="AB8">
        <v>20</v>
      </c>
      <c r="AC8">
        <v>17</v>
      </c>
      <c r="AD8">
        <v>13</v>
      </c>
      <c r="AE8">
        <v>8</v>
      </c>
      <c r="AF8">
        <v>15</v>
      </c>
      <c r="AG8">
        <v>7</v>
      </c>
      <c r="AH8">
        <v>0</v>
      </c>
      <c r="AI8">
        <v>0</v>
      </c>
      <c r="AJ8">
        <v>0</v>
      </c>
      <c r="AK8">
        <v>83</v>
      </c>
      <c r="AL8">
        <v>10</v>
      </c>
      <c r="AM8">
        <v>7</v>
      </c>
      <c r="AN8" t="s">
        <v>84</v>
      </c>
      <c r="AO8" t="s">
        <v>184</v>
      </c>
      <c r="AP8">
        <v>0</v>
      </c>
    </row>
    <row r="9" spans="1:42" x14ac:dyDescent="0.4">
      <c r="A9">
        <f t="shared" si="0"/>
        <v>7</v>
      </c>
      <c r="B9" t="s">
        <v>121</v>
      </c>
      <c r="C9" t="s">
        <v>77</v>
      </c>
      <c r="D9" t="s">
        <v>78</v>
      </c>
      <c r="E9" t="s">
        <v>101</v>
      </c>
      <c r="F9">
        <v>15</v>
      </c>
      <c r="G9">
        <v>0</v>
      </c>
      <c r="H9">
        <v>3</v>
      </c>
      <c r="I9">
        <v>0</v>
      </c>
      <c r="J9">
        <v>9999</v>
      </c>
      <c r="K9">
        <v>1</v>
      </c>
      <c r="L9">
        <v>0</v>
      </c>
      <c r="M9">
        <v>0</v>
      </c>
      <c r="N9" t="s">
        <v>26</v>
      </c>
      <c r="O9" t="s">
        <v>79</v>
      </c>
      <c r="P9" t="s">
        <v>73</v>
      </c>
      <c r="Q9" t="s">
        <v>25</v>
      </c>
      <c r="R9" t="s">
        <v>70</v>
      </c>
      <c r="S9" t="s">
        <v>99</v>
      </c>
      <c r="T9" t="s">
        <v>100</v>
      </c>
      <c r="U9" t="s">
        <v>27</v>
      </c>
      <c r="V9" t="s">
        <v>27</v>
      </c>
      <c r="W9" t="s">
        <v>27</v>
      </c>
      <c r="X9" t="s">
        <v>27</v>
      </c>
      <c r="Y9" t="s">
        <v>80</v>
      </c>
      <c r="Z9" t="s">
        <v>27</v>
      </c>
      <c r="AA9">
        <v>19</v>
      </c>
      <c r="AB9">
        <v>20</v>
      </c>
      <c r="AC9">
        <v>18</v>
      </c>
      <c r="AD9">
        <v>8</v>
      </c>
      <c r="AE9">
        <v>10</v>
      </c>
      <c r="AF9">
        <v>10</v>
      </c>
      <c r="AG9">
        <v>15</v>
      </c>
      <c r="AH9">
        <v>0</v>
      </c>
      <c r="AI9">
        <v>0</v>
      </c>
      <c r="AJ9">
        <v>0</v>
      </c>
      <c r="AK9">
        <v>90</v>
      </c>
      <c r="AL9">
        <v>10</v>
      </c>
      <c r="AM9">
        <v>0</v>
      </c>
      <c r="AN9" t="s">
        <v>84</v>
      </c>
      <c r="AO9" t="s">
        <v>183</v>
      </c>
      <c r="AP9">
        <v>0</v>
      </c>
    </row>
    <row r="10" spans="1:42" x14ac:dyDescent="0.4">
      <c r="A10">
        <f t="shared" si="0"/>
        <v>8</v>
      </c>
      <c r="B10" t="s">
        <v>126</v>
      </c>
      <c r="C10" t="s">
        <v>114</v>
      </c>
      <c r="D10" t="s">
        <v>115</v>
      </c>
      <c r="E10" t="s">
        <v>44</v>
      </c>
      <c r="F10">
        <v>60</v>
      </c>
      <c r="G10">
        <v>0</v>
      </c>
      <c r="H10">
        <v>5</v>
      </c>
      <c r="I10">
        <v>0</v>
      </c>
      <c r="J10">
        <v>9999</v>
      </c>
      <c r="K10">
        <v>1</v>
      </c>
      <c r="L10">
        <v>0</v>
      </c>
      <c r="M10">
        <v>0</v>
      </c>
      <c r="N10" t="s">
        <v>26</v>
      </c>
      <c r="O10" t="s">
        <v>28</v>
      </c>
      <c r="P10" t="s">
        <v>110</v>
      </c>
      <c r="Q10" t="s">
        <v>128</v>
      </c>
      <c r="R10" t="s">
        <v>70</v>
      </c>
      <c r="S10" t="s">
        <v>103</v>
      </c>
      <c r="T10" t="s">
        <v>27</v>
      </c>
      <c r="U10" t="s">
        <v>27</v>
      </c>
      <c r="V10" t="s">
        <v>27</v>
      </c>
      <c r="W10" t="s">
        <v>27</v>
      </c>
      <c r="X10" t="s">
        <v>27</v>
      </c>
      <c r="Y10" t="s">
        <v>133</v>
      </c>
      <c r="Z10" t="s">
        <v>27</v>
      </c>
      <c r="AA10">
        <v>20</v>
      </c>
      <c r="AB10">
        <v>12</v>
      </c>
      <c r="AC10">
        <v>10</v>
      </c>
      <c r="AD10">
        <v>5</v>
      </c>
      <c r="AE10">
        <v>40</v>
      </c>
      <c r="AF10">
        <v>13</v>
      </c>
      <c r="AG10">
        <v>0</v>
      </c>
      <c r="AH10">
        <v>0</v>
      </c>
      <c r="AI10">
        <v>0</v>
      </c>
      <c r="AJ10">
        <v>0</v>
      </c>
      <c r="AK10">
        <v>90</v>
      </c>
      <c r="AL10">
        <v>10</v>
      </c>
      <c r="AM10">
        <v>0</v>
      </c>
      <c r="AN10" t="s">
        <v>84</v>
      </c>
      <c r="AO10" t="s">
        <v>185</v>
      </c>
      <c r="AP10">
        <v>0</v>
      </c>
    </row>
    <row r="11" spans="1:42" x14ac:dyDescent="0.4">
      <c r="A11">
        <f t="shared" si="0"/>
        <v>9</v>
      </c>
      <c r="B11" t="s">
        <v>120</v>
      </c>
      <c r="C11" t="s">
        <v>106</v>
      </c>
      <c r="D11" t="s">
        <v>107</v>
      </c>
      <c r="E11" t="s">
        <v>117</v>
      </c>
      <c r="F11">
        <v>30</v>
      </c>
      <c r="G11">
        <v>50</v>
      </c>
      <c r="H11">
        <v>1</v>
      </c>
      <c r="I11">
        <v>1</v>
      </c>
      <c r="J11">
        <v>9999</v>
      </c>
      <c r="K11">
        <v>1</v>
      </c>
      <c r="L11">
        <v>0</v>
      </c>
      <c r="M11">
        <v>0</v>
      </c>
      <c r="N11" t="s">
        <v>26</v>
      </c>
      <c r="O11" t="s">
        <v>81</v>
      </c>
      <c r="P11" t="s">
        <v>108</v>
      </c>
      <c r="Q11" t="s">
        <v>109</v>
      </c>
      <c r="R11" t="s">
        <v>74</v>
      </c>
      <c r="S11" t="s">
        <v>112</v>
      </c>
      <c r="T11" t="s">
        <v>27</v>
      </c>
      <c r="U11" t="s">
        <v>27</v>
      </c>
      <c r="V11" t="s">
        <v>27</v>
      </c>
      <c r="W11" t="s">
        <v>27</v>
      </c>
      <c r="X11" t="s">
        <v>27</v>
      </c>
      <c r="Y11" t="s">
        <v>72</v>
      </c>
      <c r="Z11" t="s">
        <v>111</v>
      </c>
      <c r="AA11">
        <v>40</v>
      </c>
      <c r="AB11">
        <v>20</v>
      </c>
      <c r="AC11">
        <v>10</v>
      </c>
      <c r="AD11">
        <v>10</v>
      </c>
      <c r="AE11">
        <v>10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87</v>
      </c>
      <c r="AL11">
        <v>10</v>
      </c>
      <c r="AM11">
        <v>3</v>
      </c>
      <c r="AN11" t="s">
        <v>84</v>
      </c>
      <c r="AO11" t="s">
        <v>186</v>
      </c>
      <c r="AP11">
        <v>0</v>
      </c>
    </row>
    <row r="12" spans="1:42" x14ac:dyDescent="0.4">
      <c r="A12">
        <f t="shared" si="0"/>
        <v>10</v>
      </c>
      <c r="B12" t="s">
        <v>123</v>
      </c>
      <c r="C12" t="s">
        <v>41</v>
      </c>
      <c r="D12" t="s">
        <v>135</v>
      </c>
      <c r="E12" t="s">
        <v>102</v>
      </c>
      <c r="F12">
        <v>30</v>
      </c>
      <c r="G12">
        <v>100</v>
      </c>
      <c r="H12">
        <v>2</v>
      </c>
      <c r="I12">
        <v>1</v>
      </c>
      <c r="J12">
        <v>9999</v>
      </c>
      <c r="K12">
        <v>1</v>
      </c>
      <c r="L12">
        <v>0</v>
      </c>
      <c r="M12">
        <v>0</v>
      </c>
      <c r="N12" t="s">
        <v>26</v>
      </c>
      <c r="O12" t="s">
        <v>82</v>
      </c>
      <c r="P12" t="s">
        <v>73</v>
      </c>
      <c r="Q12" t="s">
        <v>36</v>
      </c>
      <c r="R12" t="s">
        <v>113</v>
      </c>
      <c r="S12" t="s">
        <v>128</v>
      </c>
      <c r="T12" t="s">
        <v>27</v>
      </c>
      <c r="U12" t="s">
        <v>27</v>
      </c>
      <c r="V12" t="s">
        <v>27</v>
      </c>
      <c r="W12" t="s">
        <v>27</v>
      </c>
      <c r="X12" t="s">
        <v>27</v>
      </c>
      <c r="Y12" t="s">
        <v>127</v>
      </c>
      <c r="Z12" t="s">
        <v>136</v>
      </c>
      <c r="AA12">
        <v>48</v>
      </c>
      <c r="AB12">
        <v>15</v>
      </c>
      <c r="AC12">
        <v>2</v>
      </c>
      <c r="AD12">
        <v>12</v>
      </c>
      <c r="AE12">
        <v>13</v>
      </c>
      <c r="AF12">
        <v>10</v>
      </c>
      <c r="AG12">
        <v>0</v>
      </c>
      <c r="AH12">
        <v>0</v>
      </c>
      <c r="AI12">
        <v>0</v>
      </c>
      <c r="AJ12">
        <v>0</v>
      </c>
      <c r="AK12">
        <v>83</v>
      </c>
      <c r="AL12">
        <v>10</v>
      </c>
      <c r="AM12">
        <v>7</v>
      </c>
      <c r="AN12" t="s">
        <v>91</v>
      </c>
      <c r="AO12" t="s">
        <v>187</v>
      </c>
      <c r="AP12">
        <v>0</v>
      </c>
    </row>
    <row r="13" spans="1:42" x14ac:dyDescent="0.4">
      <c r="A13">
        <f t="shared" si="0"/>
        <v>11</v>
      </c>
      <c r="B13" t="s">
        <v>125</v>
      </c>
      <c r="C13" t="s">
        <v>71</v>
      </c>
      <c r="D13" t="s">
        <v>104</v>
      </c>
      <c r="E13" t="s">
        <v>49</v>
      </c>
      <c r="F13">
        <v>30</v>
      </c>
      <c r="G13">
        <v>200</v>
      </c>
      <c r="H13">
        <v>2</v>
      </c>
      <c r="I13">
        <v>0</v>
      </c>
      <c r="J13">
        <v>9999</v>
      </c>
      <c r="K13">
        <v>1</v>
      </c>
      <c r="L13">
        <v>0</v>
      </c>
      <c r="M13">
        <v>0</v>
      </c>
      <c r="N13" t="s">
        <v>26</v>
      </c>
      <c r="O13" t="s">
        <v>72</v>
      </c>
      <c r="P13" t="s">
        <v>81</v>
      </c>
      <c r="Q13" t="s">
        <v>73</v>
      </c>
      <c r="R13" t="s">
        <v>110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  <c r="X13" t="s">
        <v>27</v>
      </c>
      <c r="Y13" t="s">
        <v>74</v>
      </c>
      <c r="Z13" t="s">
        <v>138</v>
      </c>
      <c r="AA13">
        <v>40</v>
      </c>
      <c r="AB13">
        <v>35</v>
      </c>
      <c r="AC13">
        <v>10</v>
      </c>
      <c r="AD13">
        <v>5</v>
      </c>
      <c r="AE13">
        <v>10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83</v>
      </c>
      <c r="AL13">
        <v>10</v>
      </c>
      <c r="AM13">
        <v>7</v>
      </c>
      <c r="AN13" t="s">
        <v>87</v>
      </c>
      <c r="AO13" t="s">
        <v>188</v>
      </c>
      <c r="AP13">
        <v>0</v>
      </c>
    </row>
    <row r="14" spans="1:42" x14ac:dyDescent="0.4">
      <c r="A14">
        <f t="shared" si="0"/>
        <v>12</v>
      </c>
      <c r="B14" t="s">
        <v>124</v>
      </c>
      <c r="C14" t="s">
        <v>75</v>
      </c>
      <c r="D14" t="s">
        <v>105</v>
      </c>
      <c r="E14" t="s">
        <v>49</v>
      </c>
      <c r="F14">
        <v>30</v>
      </c>
      <c r="G14">
        <v>150</v>
      </c>
      <c r="H14">
        <v>2</v>
      </c>
      <c r="I14">
        <v>0</v>
      </c>
      <c r="J14">
        <v>9999</v>
      </c>
      <c r="K14">
        <v>1</v>
      </c>
      <c r="L14">
        <v>0</v>
      </c>
      <c r="M14">
        <v>0</v>
      </c>
      <c r="N14" t="s">
        <v>26</v>
      </c>
      <c r="O14" t="s">
        <v>76</v>
      </c>
      <c r="P14" t="s">
        <v>132</v>
      </c>
      <c r="Q14" t="s">
        <v>129</v>
      </c>
      <c r="R14" t="s">
        <v>137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  <c r="X14" t="s">
        <v>27</v>
      </c>
      <c r="Y14" t="s">
        <v>27</v>
      </c>
      <c r="Z14" t="s">
        <v>27</v>
      </c>
      <c r="AA14">
        <v>40</v>
      </c>
      <c r="AB14">
        <v>30</v>
      </c>
      <c r="AC14">
        <v>15</v>
      </c>
      <c r="AD14">
        <v>5</v>
      </c>
      <c r="AE14">
        <v>10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97</v>
      </c>
      <c r="AL14">
        <v>3</v>
      </c>
      <c r="AM14">
        <v>0</v>
      </c>
      <c r="AN14" t="s">
        <v>88</v>
      </c>
      <c r="AO14" t="s">
        <v>189</v>
      </c>
      <c r="AP14">
        <v>0</v>
      </c>
    </row>
    <row r="15" spans="1:42" x14ac:dyDescent="0.4">
      <c r="A15">
        <f t="shared" si="0"/>
        <v>13</v>
      </c>
      <c r="B15" t="s">
        <v>96</v>
      </c>
      <c r="C15" t="s">
        <v>51</v>
      </c>
      <c r="D15" t="s">
        <v>46</v>
      </c>
      <c r="E15" t="s">
        <v>47</v>
      </c>
      <c r="F15">
        <v>90</v>
      </c>
      <c r="G15">
        <v>300</v>
      </c>
      <c r="H15">
        <v>5</v>
      </c>
      <c r="I15">
        <v>0</v>
      </c>
      <c r="J15">
        <v>0</v>
      </c>
      <c r="K15">
        <v>1</v>
      </c>
      <c r="L15">
        <v>0</v>
      </c>
      <c r="M15">
        <v>0</v>
      </c>
      <c r="N15" t="s">
        <v>26</v>
      </c>
      <c r="O15" t="s">
        <v>23</v>
      </c>
      <c r="P15" t="s">
        <v>24</v>
      </c>
      <c r="Q15" t="s">
        <v>25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  <c r="X15" t="s">
        <v>27</v>
      </c>
      <c r="Y15" t="s">
        <v>27</v>
      </c>
      <c r="Z15" t="s">
        <v>27</v>
      </c>
      <c r="AA15">
        <v>60</v>
      </c>
      <c r="AB15">
        <v>25</v>
      </c>
      <c r="AC15">
        <v>12</v>
      </c>
      <c r="AD15">
        <v>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95</v>
      </c>
      <c r="AL15">
        <v>5</v>
      </c>
      <c r="AM15">
        <v>0</v>
      </c>
      <c r="AN15" t="s">
        <v>84</v>
      </c>
      <c r="AO15" t="s">
        <v>186</v>
      </c>
      <c r="AP15">
        <v>0</v>
      </c>
    </row>
    <row r="16" spans="1:42" x14ac:dyDescent="0.4">
      <c r="A16">
        <f t="shared" si="0"/>
        <v>14</v>
      </c>
      <c r="B16" t="s">
        <v>97</v>
      </c>
      <c r="C16" t="s">
        <v>21</v>
      </c>
      <c r="D16" t="s">
        <v>22</v>
      </c>
      <c r="E16" t="s">
        <v>48</v>
      </c>
      <c r="F16">
        <v>90</v>
      </c>
      <c r="G16">
        <v>300</v>
      </c>
      <c r="H16">
        <v>5</v>
      </c>
      <c r="I16">
        <v>0</v>
      </c>
      <c r="J16">
        <v>0</v>
      </c>
      <c r="K16">
        <v>1</v>
      </c>
      <c r="L16">
        <v>0</v>
      </c>
      <c r="M16">
        <v>0</v>
      </c>
      <c r="N16" t="s">
        <v>26</v>
      </c>
      <c r="O16" t="s">
        <v>23</v>
      </c>
      <c r="P16" t="s">
        <v>24</v>
      </c>
      <c r="Q16" t="s">
        <v>25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  <c r="X16" t="s">
        <v>27</v>
      </c>
      <c r="Y16" t="s">
        <v>27</v>
      </c>
      <c r="Z16" t="s">
        <v>27</v>
      </c>
      <c r="AA16">
        <v>60</v>
      </c>
      <c r="AB16">
        <v>25</v>
      </c>
      <c r="AC16">
        <v>12</v>
      </c>
      <c r="AD16">
        <v>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95</v>
      </c>
      <c r="AL16">
        <v>5</v>
      </c>
      <c r="AM16">
        <v>0</v>
      </c>
      <c r="AN16" t="s">
        <v>84</v>
      </c>
      <c r="AO16" t="s">
        <v>186</v>
      </c>
      <c r="AP16">
        <v>0</v>
      </c>
    </row>
    <row r="17" spans="1:42" x14ac:dyDescent="0.4">
      <c r="A17">
        <f t="shared" si="0"/>
        <v>15</v>
      </c>
      <c r="B17" t="s">
        <v>40</v>
      </c>
      <c r="C17" t="s">
        <v>154</v>
      </c>
      <c r="D17" t="s">
        <v>147</v>
      </c>
      <c r="E17" t="s">
        <v>48</v>
      </c>
      <c r="F17">
        <v>90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26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  <c r="X17" t="s">
        <v>27</v>
      </c>
      <c r="Y17" t="s">
        <v>27</v>
      </c>
      <c r="Z17" t="s">
        <v>27</v>
      </c>
      <c r="AA17">
        <v>60</v>
      </c>
      <c r="AB17">
        <v>25</v>
      </c>
      <c r="AC17">
        <v>12</v>
      </c>
      <c r="AD17">
        <v>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95</v>
      </c>
      <c r="AL17">
        <v>5</v>
      </c>
      <c r="AM17">
        <v>0</v>
      </c>
      <c r="AN17" t="s">
        <v>84</v>
      </c>
      <c r="AO17" t="s">
        <v>186</v>
      </c>
      <c r="AP17">
        <v>0</v>
      </c>
    </row>
    <row r="18" spans="1:42" x14ac:dyDescent="0.4">
      <c r="A18">
        <f t="shared" si="0"/>
        <v>16</v>
      </c>
      <c r="B18" t="s">
        <v>40</v>
      </c>
      <c r="C18" t="s">
        <v>158</v>
      </c>
      <c r="D18" t="s">
        <v>159</v>
      </c>
      <c r="E18" t="s">
        <v>48</v>
      </c>
      <c r="F18">
        <v>90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0</v>
      </c>
      <c r="N18" t="s">
        <v>26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  <c r="X18" t="s">
        <v>27</v>
      </c>
      <c r="Y18" t="s">
        <v>27</v>
      </c>
      <c r="Z18" t="s">
        <v>27</v>
      </c>
      <c r="AA18">
        <v>60</v>
      </c>
      <c r="AB18">
        <v>25</v>
      </c>
      <c r="AC18">
        <v>12</v>
      </c>
      <c r="AD18">
        <v>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95</v>
      </c>
      <c r="AL18">
        <v>5</v>
      </c>
      <c r="AM18">
        <v>0</v>
      </c>
      <c r="AN18" t="s">
        <v>84</v>
      </c>
      <c r="AO18" t="s">
        <v>186</v>
      </c>
      <c r="AP18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4BECB-8045-468B-952A-D5CA5B535CCB}">
  <dimension ref="A1:AP18"/>
  <sheetViews>
    <sheetView workbookViewId="0">
      <selection activeCell="M1" sqref="M1"/>
    </sheetView>
  </sheetViews>
  <sheetFormatPr defaultRowHeight="18.75" x14ac:dyDescent="0.4"/>
  <cols>
    <col min="2" max="2" width="10.125" customWidth="1"/>
    <col min="3" max="3" width="18" customWidth="1"/>
    <col min="4" max="4" width="18.125" customWidth="1"/>
    <col min="5" max="5" width="19.75" customWidth="1"/>
    <col min="6" max="6" width="7.5" customWidth="1"/>
    <col min="7" max="8" width="8.125" customWidth="1"/>
    <col min="9" max="13" width="6.75" customWidth="1"/>
    <col min="14" max="14" width="7.125" customWidth="1"/>
    <col min="15" max="15" width="9.875" customWidth="1"/>
    <col min="23" max="23" width="10.25" customWidth="1"/>
    <col min="25" max="25" width="14.5" customWidth="1"/>
    <col min="26" max="26" width="14.125" customWidth="1"/>
    <col min="37" max="38" width="14" customWidth="1"/>
    <col min="39" max="39" width="13.625" customWidth="1"/>
    <col min="41" max="41" width="13" customWidth="1"/>
  </cols>
  <sheetData>
    <row r="1" spans="1:42" x14ac:dyDescent="0.2">
      <c r="A1" s="1" t="s">
        <v>0</v>
      </c>
      <c r="B1" s="1" t="s">
        <v>38</v>
      </c>
      <c r="C1" s="1" t="s">
        <v>1</v>
      </c>
      <c r="D1" s="1" t="s">
        <v>18</v>
      </c>
      <c r="E1" s="1" t="s">
        <v>43</v>
      </c>
      <c r="F1" s="1" t="s">
        <v>54</v>
      </c>
      <c r="G1" s="1" t="s">
        <v>2</v>
      </c>
      <c r="H1" s="1" t="s">
        <v>131</v>
      </c>
      <c r="I1" s="1" t="s">
        <v>3</v>
      </c>
      <c r="J1" s="1" t="s">
        <v>162</v>
      </c>
      <c r="K1" s="1" t="s">
        <v>98</v>
      </c>
      <c r="L1" s="1" t="s">
        <v>192</v>
      </c>
      <c r="M1" s="1" t="s">
        <v>296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9</v>
      </c>
      <c r="Y1" s="1" t="s">
        <v>10</v>
      </c>
      <c r="Z1" s="1" t="s">
        <v>31</v>
      </c>
      <c r="AA1" s="1" t="s">
        <v>11</v>
      </c>
      <c r="AB1" s="1" t="s">
        <v>12</v>
      </c>
      <c r="AC1" s="1" t="s">
        <v>13</v>
      </c>
      <c r="AD1" s="1" t="s">
        <v>14</v>
      </c>
      <c r="AE1" s="1" t="s">
        <v>15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16</v>
      </c>
      <c r="AL1" s="1" t="s">
        <v>17</v>
      </c>
      <c r="AM1" s="1" t="s">
        <v>32</v>
      </c>
      <c r="AN1" s="1" t="s">
        <v>85</v>
      </c>
      <c r="AO1" s="1" t="s">
        <v>86</v>
      </c>
      <c r="AP1" s="1" t="s">
        <v>148</v>
      </c>
    </row>
    <row r="2" spans="1:42" x14ac:dyDescent="0.4">
      <c r="A2">
        <f>ROW()-2</f>
        <v>0</v>
      </c>
      <c r="B2" t="s">
        <v>119</v>
      </c>
      <c r="C2" t="s">
        <v>57</v>
      </c>
      <c r="D2" t="s">
        <v>134</v>
      </c>
      <c r="E2" t="s">
        <v>142</v>
      </c>
      <c r="F2">
        <v>2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  <c r="N2" t="s">
        <v>26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  <c r="Z2" t="s">
        <v>27</v>
      </c>
      <c r="AA2">
        <v>10</v>
      </c>
      <c r="AB2">
        <v>30</v>
      </c>
      <c r="AC2">
        <v>30</v>
      </c>
      <c r="AD2">
        <v>30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95</v>
      </c>
      <c r="AL2">
        <v>5</v>
      </c>
      <c r="AM2">
        <v>0</v>
      </c>
      <c r="AN2" t="s">
        <v>27</v>
      </c>
      <c r="AO2" t="s">
        <v>27</v>
      </c>
      <c r="AP2">
        <v>0</v>
      </c>
    </row>
    <row r="3" spans="1:42" x14ac:dyDescent="0.4">
      <c r="A3">
        <f t="shared" ref="A3:A18" si="0">ROW()-2</f>
        <v>1</v>
      </c>
      <c r="B3" t="s">
        <v>40</v>
      </c>
      <c r="C3" t="s">
        <v>118</v>
      </c>
      <c r="D3" t="s">
        <v>130</v>
      </c>
      <c r="E3" t="s">
        <v>142</v>
      </c>
      <c r="F3">
        <v>2</v>
      </c>
      <c r="G3">
        <v>0</v>
      </c>
      <c r="H3">
        <v>0</v>
      </c>
      <c r="I3">
        <v>1</v>
      </c>
      <c r="J3">
        <v>9999</v>
      </c>
      <c r="K3">
        <v>0</v>
      </c>
      <c r="L3">
        <v>0</v>
      </c>
      <c r="M3">
        <v>0</v>
      </c>
      <c r="N3" t="s">
        <v>26</v>
      </c>
      <c r="O3" t="s">
        <v>27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  <c r="X3" t="s">
        <v>27</v>
      </c>
      <c r="Y3" t="s">
        <v>27</v>
      </c>
      <c r="Z3" t="s">
        <v>27</v>
      </c>
      <c r="AA3">
        <v>10</v>
      </c>
      <c r="AB3">
        <v>30</v>
      </c>
      <c r="AC3">
        <v>30</v>
      </c>
      <c r="AD3">
        <v>30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95</v>
      </c>
      <c r="AL3">
        <v>5</v>
      </c>
      <c r="AM3">
        <v>0</v>
      </c>
      <c r="AN3" t="s">
        <v>27</v>
      </c>
      <c r="AO3" t="s">
        <v>27</v>
      </c>
      <c r="AP3">
        <v>0</v>
      </c>
    </row>
    <row r="4" spans="1:42" x14ac:dyDescent="0.4">
      <c r="A4">
        <f t="shared" si="0"/>
        <v>2</v>
      </c>
      <c r="B4" t="s">
        <v>122</v>
      </c>
      <c r="C4" t="s">
        <v>37</v>
      </c>
      <c r="D4" t="s">
        <v>92</v>
      </c>
      <c r="E4" t="s">
        <v>142</v>
      </c>
      <c r="F4">
        <v>6</v>
      </c>
      <c r="G4">
        <v>0</v>
      </c>
      <c r="H4">
        <v>0</v>
      </c>
      <c r="I4">
        <v>1</v>
      </c>
      <c r="J4">
        <v>9999</v>
      </c>
      <c r="K4">
        <v>0</v>
      </c>
      <c r="L4">
        <v>0</v>
      </c>
      <c r="M4">
        <v>0</v>
      </c>
      <c r="N4" t="s">
        <v>26</v>
      </c>
      <c r="O4" t="s">
        <v>27</v>
      </c>
      <c r="P4" t="s">
        <v>27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  <c r="X4" t="s">
        <v>27</v>
      </c>
      <c r="Y4" t="s">
        <v>27</v>
      </c>
      <c r="Z4" t="s">
        <v>27</v>
      </c>
      <c r="AA4">
        <v>10</v>
      </c>
      <c r="AB4">
        <v>30</v>
      </c>
      <c r="AC4">
        <v>30</v>
      </c>
      <c r="AD4">
        <v>30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95</v>
      </c>
      <c r="AL4">
        <v>5</v>
      </c>
      <c r="AM4">
        <v>0</v>
      </c>
      <c r="AN4" t="s">
        <v>27</v>
      </c>
      <c r="AO4" t="s">
        <v>27</v>
      </c>
      <c r="AP4">
        <v>0</v>
      </c>
    </row>
    <row r="5" spans="1:42" x14ac:dyDescent="0.4">
      <c r="A5">
        <f t="shared" si="0"/>
        <v>3</v>
      </c>
      <c r="B5" t="s">
        <v>55</v>
      </c>
      <c r="C5" t="s">
        <v>20</v>
      </c>
      <c r="D5" t="s">
        <v>59</v>
      </c>
      <c r="E5" t="s">
        <v>142</v>
      </c>
      <c r="F5">
        <v>4</v>
      </c>
      <c r="G5">
        <v>0</v>
      </c>
      <c r="H5">
        <v>0</v>
      </c>
      <c r="I5">
        <v>1</v>
      </c>
      <c r="J5">
        <v>9999</v>
      </c>
      <c r="K5">
        <v>0</v>
      </c>
      <c r="L5">
        <v>0</v>
      </c>
      <c r="M5">
        <v>0</v>
      </c>
      <c r="N5" t="s">
        <v>26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  <c r="Y5" t="s">
        <v>27</v>
      </c>
      <c r="Z5" t="s">
        <v>27</v>
      </c>
      <c r="AA5">
        <v>60</v>
      </c>
      <c r="AB5">
        <v>25</v>
      </c>
      <c r="AC5">
        <v>12</v>
      </c>
      <c r="AD5">
        <v>3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95</v>
      </c>
      <c r="AL5">
        <v>5</v>
      </c>
      <c r="AM5">
        <v>0</v>
      </c>
      <c r="AN5" t="s">
        <v>27</v>
      </c>
      <c r="AO5" t="s">
        <v>27</v>
      </c>
      <c r="AP5">
        <v>0</v>
      </c>
    </row>
    <row r="6" spans="1:42" x14ac:dyDescent="0.4">
      <c r="A6">
        <f t="shared" si="0"/>
        <v>4</v>
      </c>
      <c r="B6" t="s">
        <v>95</v>
      </c>
      <c r="C6" t="s">
        <v>93</v>
      </c>
      <c r="D6" t="s">
        <v>140</v>
      </c>
      <c r="E6" t="s">
        <v>142</v>
      </c>
      <c r="F6">
        <v>6</v>
      </c>
      <c r="G6">
        <v>0</v>
      </c>
      <c r="H6">
        <v>0</v>
      </c>
      <c r="I6">
        <v>1</v>
      </c>
      <c r="J6">
        <v>9999</v>
      </c>
      <c r="K6">
        <v>0</v>
      </c>
      <c r="L6">
        <v>0</v>
      </c>
      <c r="M6">
        <v>0</v>
      </c>
      <c r="N6" t="s">
        <v>26</v>
      </c>
      <c r="O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  <c r="Z6" t="s">
        <v>27</v>
      </c>
      <c r="AA6">
        <v>10</v>
      </c>
      <c r="AB6">
        <v>30</v>
      </c>
      <c r="AC6">
        <v>30</v>
      </c>
      <c r="AD6">
        <v>30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95</v>
      </c>
      <c r="AL6">
        <v>5</v>
      </c>
      <c r="AM6">
        <v>0</v>
      </c>
      <c r="AN6" t="s">
        <v>27</v>
      </c>
      <c r="AO6" t="s">
        <v>27</v>
      </c>
      <c r="AP6">
        <v>0</v>
      </c>
    </row>
    <row r="7" spans="1:42" x14ac:dyDescent="0.4">
      <c r="A7">
        <f t="shared" si="0"/>
        <v>5</v>
      </c>
      <c r="B7" t="s">
        <v>56</v>
      </c>
      <c r="C7" t="s">
        <v>35</v>
      </c>
      <c r="D7" t="s">
        <v>34</v>
      </c>
      <c r="E7" t="s">
        <v>142</v>
      </c>
      <c r="F7">
        <v>1</v>
      </c>
      <c r="G7">
        <v>0</v>
      </c>
      <c r="H7">
        <v>1</v>
      </c>
      <c r="I7">
        <v>1</v>
      </c>
      <c r="J7">
        <v>1</v>
      </c>
      <c r="K7">
        <v>1</v>
      </c>
      <c r="L7">
        <v>0</v>
      </c>
      <c r="M7">
        <v>0</v>
      </c>
      <c r="N7" t="s">
        <v>26</v>
      </c>
      <c r="O7" t="s">
        <v>36</v>
      </c>
      <c r="P7" t="s">
        <v>27</v>
      </c>
      <c r="Q7" t="s">
        <v>27</v>
      </c>
      <c r="R7" t="s">
        <v>27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  <c r="Y7" t="s">
        <v>141</v>
      </c>
      <c r="Z7" t="s">
        <v>27</v>
      </c>
      <c r="AA7">
        <v>0</v>
      </c>
      <c r="AB7">
        <v>100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98</v>
      </c>
      <c r="AL7">
        <v>2</v>
      </c>
      <c r="AM7">
        <v>0</v>
      </c>
      <c r="AN7" t="s">
        <v>89</v>
      </c>
      <c r="AO7" t="s">
        <v>182</v>
      </c>
      <c r="AP7">
        <v>0</v>
      </c>
    </row>
    <row r="8" spans="1:42" x14ac:dyDescent="0.4">
      <c r="A8">
        <f t="shared" si="0"/>
        <v>6</v>
      </c>
      <c r="B8" t="s">
        <v>39</v>
      </c>
      <c r="C8" t="s">
        <v>19</v>
      </c>
      <c r="D8" t="s">
        <v>30</v>
      </c>
      <c r="E8" t="s">
        <v>142</v>
      </c>
      <c r="F8">
        <v>3</v>
      </c>
      <c r="G8">
        <v>0</v>
      </c>
      <c r="H8">
        <v>1</v>
      </c>
      <c r="I8">
        <v>1</v>
      </c>
      <c r="J8">
        <v>1</v>
      </c>
      <c r="K8">
        <v>1</v>
      </c>
      <c r="L8">
        <v>0</v>
      </c>
      <c r="M8">
        <v>0</v>
      </c>
      <c r="N8" t="s">
        <v>26</v>
      </c>
      <c r="O8" t="s">
        <v>28</v>
      </c>
      <c r="P8" t="s">
        <v>29</v>
      </c>
      <c r="Q8" t="s">
        <v>25</v>
      </c>
      <c r="R8" t="s">
        <v>70</v>
      </c>
      <c r="S8" t="s">
        <v>103</v>
      </c>
      <c r="T8" t="s">
        <v>139</v>
      </c>
      <c r="U8" t="s">
        <v>33</v>
      </c>
      <c r="V8" t="s">
        <v>83</v>
      </c>
      <c r="W8" t="s">
        <v>27</v>
      </c>
      <c r="X8" t="s">
        <v>27</v>
      </c>
      <c r="Y8" t="s">
        <v>33</v>
      </c>
      <c r="Z8" t="s">
        <v>83</v>
      </c>
      <c r="AA8">
        <v>20</v>
      </c>
      <c r="AB8">
        <v>15</v>
      </c>
      <c r="AC8">
        <v>12</v>
      </c>
      <c r="AD8">
        <v>13</v>
      </c>
      <c r="AE8">
        <v>8</v>
      </c>
      <c r="AF8">
        <v>10</v>
      </c>
      <c r="AG8">
        <v>7</v>
      </c>
      <c r="AH8">
        <v>10</v>
      </c>
      <c r="AI8">
        <v>5</v>
      </c>
      <c r="AJ8">
        <v>0</v>
      </c>
      <c r="AK8">
        <v>83</v>
      </c>
      <c r="AL8">
        <v>10</v>
      </c>
      <c r="AM8">
        <v>7</v>
      </c>
      <c r="AN8" t="s">
        <v>84</v>
      </c>
      <c r="AO8" t="s">
        <v>184</v>
      </c>
      <c r="AP8">
        <v>0</v>
      </c>
    </row>
    <row r="9" spans="1:42" x14ac:dyDescent="0.4">
      <c r="A9">
        <f t="shared" si="0"/>
        <v>7</v>
      </c>
      <c r="B9" t="s">
        <v>121</v>
      </c>
      <c r="C9" t="s">
        <v>77</v>
      </c>
      <c r="D9" t="s">
        <v>78</v>
      </c>
      <c r="E9" t="s">
        <v>142</v>
      </c>
      <c r="F9">
        <v>3</v>
      </c>
      <c r="G9">
        <v>0</v>
      </c>
      <c r="H9">
        <v>3</v>
      </c>
      <c r="I9">
        <v>0</v>
      </c>
      <c r="J9">
        <v>9999</v>
      </c>
      <c r="K9">
        <v>1</v>
      </c>
      <c r="L9">
        <v>0</v>
      </c>
      <c r="M9">
        <v>0</v>
      </c>
      <c r="N9" t="s">
        <v>26</v>
      </c>
      <c r="O9" t="s">
        <v>79</v>
      </c>
      <c r="P9" t="s">
        <v>73</v>
      </c>
      <c r="Q9" t="s">
        <v>25</v>
      </c>
      <c r="R9" t="s">
        <v>70</v>
      </c>
      <c r="S9" t="s">
        <v>99</v>
      </c>
      <c r="T9" t="s">
        <v>100</v>
      </c>
      <c r="U9" t="s">
        <v>144</v>
      </c>
      <c r="V9" t="s">
        <v>27</v>
      </c>
      <c r="W9" t="s">
        <v>27</v>
      </c>
      <c r="X9" t="s">
        <v>27</v>
      </c>
      <c r="Y9" t="s">
        <v>80</v>
      </c>
      <c r="Z9" t="s">
        <v>27</v>
      </c>
      <c r="AA9">
        <v>19</v>
      </c>
      <c r="AB9">
        <v>12</v>
      </c>
      <c r="AC9">
        <v>0</v>
      </c>
      <c r="AD9">
        <v>4</v>
      </c>
      <c r="AE9">
        <v>10</v>
      </c>
      <c r="AF9">
        <v>30</v>
      </c>
      <c r="AG9">
        <v>13</v>
      </c>
      <c r="AH9">
        <v>12</v>
      </c>
      <c r="AI9">
        <v>0</v>
      </c>
      <c r="AJ9">
        <v>0</v>
      </c>
      <c r="AK9">
        <v>90</v>
      </c>
      <c r="AL9">
        <v>10</v>
      </c>
      <c r="AM9">
        <v>0</v>
      </c>
      <c r="AN9" t="s">
        <v>84</v>
      </c>
      <c r="AO9" t="s">
        <v>183</v>
      </c>
      <c r="AP9">
        <v>0</v>
      </c>
    </row>
    <row r="10" spans="1:42" x14ac:dyDescent="0.4">
      <c r="A10">
        <f t="shared" si="0"/>
        <v>8</v>
      </c>
      <c r="B10" t="s">
        <v>126</v>
      </c>
      <c r="C10" t="s">
        <v>114</v>
      </c>
      <c r="D10" t="s">
        <v>115</v>
      </c>
      <c r="E10" t="s">
        <v>142</v>
      </c>
      <c r="F10">
        <v>12</v>
      </c>
      <c r="G10">
        <v>0</v>
      </c>
      <c r="H10">
        <v>5</v>
      </c>
      <c r="I10">
        <v>0</v>
      </c>
      <c r="J10">
        <v>9999</v>
      </c>
      <c r="K10">
        <v>1</v>
      </c>
      <c r="L10">
        <v>0</v>
      </c>
      <c r="M10">
        <v>0</v>
      </c>
      <c r="N10" t="s">
        <v>26</v>
      </c>
      <c r="O10" t="s">
        <v>28</v>
      </c>
      <c r="P10" t="s">
        <v>110</v>
      </c>
      <c r="Q10" t="s">
        <v>128</v>
      </c>
      <c r="R10" t="s">
        <v>70</v>
      </c>
      <c r="S10" t="s">
        <v>103</v>
      </c>
      <c r="T10" t="s">
        <v>144</v>
      </c>
      <c r="U10" t="s">
        <v>27</v>
      </c>
      <c r="V10" t="s">
        <v>27</v>
      </c>
      <c r="W10" t="s">
        <v>27</v>
      </c>
      <c r="X10" t="s">
        <v>27</v>
      </c>
      <c r="Y10" t="s">
        <v>133</v>
      </c>
      <c r="Z10" t="s">
        <v>27</v>
      </c>
      <c r="AA10">
        <v>20</v>
      </c>
      <c r="AB10">
        <v>12</v>
      </c>
      <c r="AC10">
        <v>10</v>
      </c>
      <c r="AD10">
        <v>5</v>
      </c>
      <c r="AE10">
        <v>30</v>
      </c>
      <c r="AF10">
        <v>13</v>
      </c>
      <c r="AG10">
        <v>10</v>
      </c>
      <c r="AH10">
        <v>0</v>
      </c>
      <c r="AI10">
        <v>0</v>
      </c>
      <c r="AJ10">
        <v>0</v>
      </c>
      <c r="AK10">
        <v>90</v>
      </c>
      <c r="AL10">
        <v>10</v>
      </c>
      <c r="AM10">
        <v>0</v>
      </c>
      <c r="AN10" t="s">
        <v>84</v>
      </c>
      <c r="AO10" t="s">
        <v>185</v>
      </c>
      <c r="AP10">
        <v>0</v>
      </c>
    </row>
    <row r="11" spans="1:42" x14ac:dyDescent="0.4">
      <c r="A11">
        <f t="shared" si="0"/>
        <v>9</v>
      </c>
      <c r="B11" t="s">
        <v>120</v>
      </c>
      <c r="C11" t="s">
        <v>106</v>
      </c>
      <c r="D11" t="s">
        <v>107</v>
      </c>
      <c r="E11" t="s">
        <v>142</v>
      </c>
      <c r="F11">
        <v>6</v>
      </c>
      <c r="G11">
        <v>50</v>
      </c>
      <c r="H11">
        <v>1</v>
      </c>
      <c r="I11">
        <v>1</v>
      </c>
      <c r="J11">
        <v>9999</v>
      </c>
      <c r="K11">
        <v>1</v>
      </c>
      <c r="L11">
        <v>0</v>
      </c>
      <c r="M11">
        <v>0</v>
      </c>
      <c r="N11" t="s">
        <v>26</v>
      </c>
      <c r="O11" t="s">
        <v>81</v>
      </c>
      <c r="P11" t="s">
        <v>108</v>
      </c>
      <c r="Q11" t="s">
        <v>109</v>
      </c>
      <c r="R11" t="s">
        <v>74</v>
      </c>
      <c r="S11" t="s">
        <v>112</v>
      </c>
      <c r="T11" t="s">
        <v>111</v>
      </c>
      <c r="U11" t="s">
        <v>27</v>
      </c>
      <c r="V11" t="s">
        <v>27</v>
      </c>
      <c r="W11" t="s">
        <v>27</v>
      </c>
      <c r="X11" t="s">
        <v>27</v>
      </c>
      <c r="Y11" t="s">
        <v>72</v>
      </c>
      <c r="Z11" t="s">
        <v>111</v>
      </c>
      <c r="AA11">
        <v>40</v>
      </c>
      <c r="AB11">
        <v>20</v>
      </c>
      <c r="AC11">
        <v>10</v>
      </c>
      <c r="AD11">
        <v>10</v>
      </c>
      <c r="AE11">
        <v>10</v>
      </c>
      <c r="AF11">
        <v>7</v>
      </c>
      <c r="AG11">
        <v>3</v>
      </c>
      <c r="AH11">
        <v>0</v>
      </c>
      <c r="AI11">
        <v>0</v>
      </c>
      <c r="AJ11">
        <v>0</v>
      </c>
      <c r="AK11">
        <v>87</v>
      </c>
      <c r="AL11">
        <v>10</v>
      </c>
      <c r="AM11">
        <v>3</v>
      </c>
      <c r="AN11" t="s">
        <v>84</v>
      </c>
      <c r="AO11" t="s">
        <v>186</v>
      </c>
      <c r="AP11">
        <v>0</v>
      </c>
    </row>
    <row r="12" spans="1:42" x14ac:dyDescent="0.4">
      <c r="A12">
        <f t="shared" si="0"/>
        <v>10</v>
      </c>
      <c r="B12" t="s">
        <v>123</v>
      </c>
      <c r="C12" t="s">
        <v>41</v>
      </c>
      <c r="D12" t="s">
        <v>135</v>
      </c>
      <c r="E12" t="s">
        <v>142</v>
      </c>
      <c r="F12">
        <v>6</v>
      </c>
      <c r="G12">
        <v>100</v>
      </c>
      <c r="H12">
        <v>2</v>
      </c>
      <c r="I12">
        <v>1</v>
      </c>
      <c r="J12">
        <v>9999</v>
      </c>
      <c r="K12">
        <v>1</v>
      </c>
      <c r="L12">
        <v>0</v>
      </c>
      <c r="M12">
        <v>0</v>
      </c>
      <c r="N12" t="s">
        <v>26</v>
      </c>
      <c r="O12" t="s">
        <v>82</v>
      </c>
      <c r="P12" t="s">
        <v>73</v>
      </c>
      <c r="Q12" t="s">
        <v>36</v>
      </c>
      <c r="R12" t="s">
        <v>113</v>
      </c>
      <c r="S12" t="s">
        <v>128</v>
      </c>
      <c r="T12" t="s">
        <v>127</v>
      </c>
      <c r="U12" t="s">
        <v>136</v>
      </c>
      <c r="V12" t="s">
        <v>143</v>
      </c>
      <c r="W12" t="s">
        <v>27</v>
      </c>
      <c r="X12" t="s">
        <v>27</v>
      </c>
      <c r="Y12" t="s">
        <v>127</v>
      </c>
      <c r="Z12" t="s">
        <v>136</v>
      </c>
      <c r="AA12">
        <v>25</v>
      </c>
      <c r="AB12">
        <v>33</v>
      </c>
      <c r="AC12">
        <v>2</v>
      </c>
      <c r="AD12">
        <v>12</v>
      </c>
      <c r="AE12">
        <v>13</v>
      </c>
      <c r="AF12">
        <v>8</v>
      </c>
      <c r="AG12">
        <v>5</v>
      </c>
      <c r="AH12">
        <v>5</v>
      </c>
      <c r="AI12">
        <v>1</v>
      </c>
      <c r="AJ12">
        <v>0</v>
      </c>
      <c r="AK12">
        <v>83</v>
      </c>
      <c r="AL12">
        <v>10</v>
      </c>
      <c r="AM12">
        <v>7</v>
      </c>
      <c r="AN12" t="s">
        <v>91</v>
      </c>
      <c r="AO12" t="s">
        <v>187</v>
      </c>
      <c r="AP12">
        <v>0</v>
      </c>
    </row>
    <row r="13" spans="1:42" x14ac:dyDescent="0.4">
      <c r="A13">
        <f t="shared" si="0"/>
        <v>11</v>
      </c>
      <c r="B13" t="s">
        <v>125</v>
      </c>
      <c r="C13" t="s">
        <v>71</v>
      </c>
      <c r="D13" t="s">
        <v>104</v>
      </c>
      <c r="E13" t="s">
        <v>142</v>
      </c>
      <c r="F13">
        <v>6</v>
      </c>
      <c r="G13">
        <v>200</v>
      </c>
      <c r="H13">
        <v>2</v>
      </c>
      <c r="I13">
        <v>0</v>
      </c>
      <c r="J13">
        <v>9999</v>
      </c>
      <c r="K13">
        <v>1</v>
      </c>
      <c r="L13">
        <v>0</v>
      </c>
      <c r="M13">
        <v>0</v>
      </c>
      <c r="N13" t="s">
        <v>26</v>
      </c>
      <c r="O13" t="s">
        <v>72</v>
      </c>
      <c r="P13" t="s">
        <v>81</v>
      </c>
      <c r="Q13" t="s">
        <v>73</v>
      </c>
      <c r="R13" t="s">
        <v>110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  <c r="X13" t="s">
        <v>27</v>
      </c>
      <c r="Y13" t="s">
        <v>74</v>
      </c>
      <c r="Z13" t="s">
        <v>138</v>
      </c>
      <c r="AA13">
        <v>40</v>
      </c>
      <c r="AB13">
        <v>35</v>
      </c>
      <c r="AC13">
        <v>10</v>
      </c>
      <c r="AD13">
        <v>5</v>
      </c>
      <c r="AE13">
        <v>10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83</v>
      </c>
      <c r="AL13">
        <v>10</v>
      </c>
      <c r="AM13">
        <v>7</v>
      </c>
      <c r="AN13" t="s">
        <v>87</v>
      </c>
      <c r="AO13" t="s">
        <v>188</v>
      </c>
      <c r="AP13">
        <v>0</v>
      </c>
    </row>
    <row r="14" spans="1:42" x14ac:dyDescent="0.4">
      <c r="A14">
        <f t="shared" si="0"/>
        <v>12</v>
      </c>
      <c r="B14" t="s">
        <v>124</v>
      </c>
      <c r="C14" t="s">
        <v>75</v>
      </c>
      <c r="D14" t="s">
        <v>105</v>
      </c>
      <c r="E14" t="s">
        <v>142</v>
      </c>
      <c r="F14">
        <v>6</v>
      </c>
      <c r="G14">
        <v>150</v>
      </c>
      <c r="H14">
        <v>2</v>
      </c>
      <c r="I14">
        <v>0</v>
      </c>
      <c r="J14">
        <v>9999</v>
      </c>
      <c r="K14">
        <v>1</v>
      </c>
      <c r="L14">
        <v>0</v>
      </c>
      <c r="M14">
        <v>0</v>
      </c>
      <c r="N14" t="s">
        <v>26</v>
      </c>
      <c r="O14" t="s">
        <v>76</v>
      </c>
      <c r="P14" t="s">
        <v>132</v>
      </c>
      <c r="Q14" t="s">
        <v>129</v>
      </c>
      <c r="R14" t="s">
        <v>137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  <c r="X14" t="s">
        <v>27</v>
      </c>
      <c r="Y14" t="s">
        <v>27</v>
      </c>
      <c r="Z14" t="s">
        <v>27</v>
      </c>
      <c r="AA14">
        <v>40</v>
      </c>
      <c r="AB14">
        <v>30</v>
      </c>
      <c r="AC14">
        <v>15</v>
      </c>
      <c r="AD14">
        <v>5</v>
      </c>
      <c r="AE14">
        <v>10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97</v>
      </c>
      <c r="AL14">
        <v>3</v>
      </c>
      <c r="AM14">
        <v>0</v>
      </c>
      <c r="AN14" t="s">
        <v>88</v>
      </c>
      <c r="AO14" t="s">
        <v>189</v>
      </c>
      <c r="AP14">
        <v>0</v>
      </c>
    </row>
    <row r="15" spans="1:42" x14ac:dyDescent="0.4">
      <c r="A15">
        <f t="shared" si="0"/>
        <v>13</v>
      </c>
      <c r="B15" t="s">
        <v>96</v>
      </c>
      <c r="C15" t="s">
        <v>51</v>
      </c>
      <c r="D15" t="s">
        <v>46</v>
      </c>
      <c r="E15" t="s">
        <v>142</v>
      </c>
      <c r="F15">
        <v>18</v>
      </c>
      <c r="G15">
        <v>300</v>
      </c>
      <c r="H15">
        <v>5</v>
      </c>
      <c r="I15">
        <v>0</v>
      </c>
      <c r="J15">
        <v>0</v>
      </c>
      <c r="K15">
        <v>1</v>
      </c>
      <c r="L15">
        <v>0</v>
      </c>
      <c r="M15">
        <v>0</v>
      </c>
      <c r="N15" t="s">
        <v>26</v>
      </c>
      <c r="O15" t="s">
        <v>23</v>
      </c>
      <c r="P15" t="s">
        <v>24</v>
      </c>
      <c r="Q15" t="s">
        <v>25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  <c r="X15" t="s">
        <v>27</v>
      </c>
      <c r="Y15" t="s">
        <v>27</v>
      </c>
      <c r="Z15" t="s">
        <v>27</v>
      </c>
      <c r="AA15">
        <v>60</v>
      </c>
      <c r="AB15">
        <v>25</v>
      </c>
      <c r="AC15">
        <v>12</v>
      </c>
      <c r="AD15">
        <v>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95</v>
      </c>
      <c r="AL15">
        <v>5</v>
      </c>
      <c r="AM15">
        <v>0</v>
      </c>
      <c r="AN15" t="s">
        <v>84</v>
      </c>
      <c r="AO15" t="s">
        <v>186</v>
      </c>
      <c r="AP15">
        <v>0</v>
      </c>
    </row>
    <row r="16" spans="1:42" x14ac:dyDescent="0.4">
      <c r="A16">
        <f t="shared" si="0"/>
        <v>14</v>
      </c>
      <c r="B16" t="s">
        <v>97</v>
      </c>
      <c r="C16" t="s">
        <v>21</v>
      </c>
      <c r="D16" t="s">
        <v>22</v>
      </c>
      <c r="E16" t="s">
        <v>142</v>
      </c>
      <c r="F16">
        <v>18</v>
      </c>
      <c r="G16">
        <v>300</v>
      </c>
      <c r="H16">
        <v>5</v>
      </c>
      <c r="I16">
        <v>0</v>
      </c>
      <c r="J16">
        <v>0</v>
      </c>
      <c r="K16">
        <v>1</v>
      </c>
      <c r="L16">
        <v>0</v>
      </c>
      <c r="M16">
        <v>0</v>
      </c>
      <c r="N16" t="s">
        <v>26</v>
      </c>
      <c r="O16" t="s">
        <v>23</v>
      </c>
      <c r="P16" t="s">
        <v>24</v>
      </c>
      <c r="Q16" t="s">
        <v>25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  <c r="X16" t="s">
        <v>27</v>
      </c>
      <c r="Y16" t="s">
        <v>27</v>
      </c>
      <c r="Z16" t="s">
        <v>27</v>
      </c>
      <c r="AA16">
        <v>60</v>
      </c>
      <c r="AB16">
        <v>25</v>
      </c>
      <c r="AC16">
        <v>12</v>
      </c>
      <c r="AD16">
        <v>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95</v>
      </c>
      <c r="AL16">
        <v>5</v>
      </c>
      <c r="AM16">
        <v>0</v>
      </c>
      <c r="AN16" t="s">
        <v>84</v>
      </c>
      <c r="AO16" t="s">
        <v>186</v>
      </c>
      <c r="AP16">
        <v>0</v>
      </c>
    </row>
    <row r="17" spans="1:42" x14ac:dyDescent="0.4">
      <c r="A17">
        <f t="shared" si="0"/>
        <v>15</v>
      </c>
      <c r="B17" t="s">
        <v>40</v>
      </c>
      <c r="C17" t="s">
        <v>154</v>
      </c>
      <c r="D17" t="s">
        <v>147</v>
      </c>
      <c r="E17" t="s">
        <v>48</v>
      </c>
      <c r="F17">
        <v>90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 t="s">
        <v>26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  <c r="X17" t="s">
        <v>27</v>
      </c>
      <c r="Y17" t="s">
        <v>27</v>
      </c>
      <c r="Z17" t="s">
        <v>27</v>
      </c>
      <c r="AA17">
        <v>60</v>
      </c>
      <c r="AB17">
        <v>25</v>
      </c>
      <c r="AC17">
        <v>12</v>
      </c>
      <c r="AD17">
        <v>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95</v>
      </c>
      <c r="AL17">
        <v>5</v>
      </c>
      <c r="AM17">
        <v>0</v>
      </c>
      <c r="AN17" t="s">
        <v>84</v>
      </c>
      <c r="AO17" t="s">
        <v>186</v>
      </c>
      <c r="AP17">
        <v>0</v>
      </c>
    </row>
    <row r="18" spans="1:42" x14ac:dyDescent="0.4">
      <c r="A18">
        <f t="shared" si="0"/>
        <v>16</v>
      </c>
      <c r="B18" t="s">
        <v>40</v>
      </c>
      <c r="C18" t="s">
        <v>158</v>
      </c>
      <c r="D18" t="s">
        <v>159</v>
      </c>
      <c r="E18" t="s">
        <v>48</v>
      </c>
      <c r="F18">
        <v>90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0</v>
      </c>
      <c r="N18" t="s">
        <v>26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  <c r="X18" t="s">
        <v>27</v>
      </c>
      <c r="Y18" t="s">
        <v>27</v>
      </c>
      <c r="Z18" t="s">
        <v>27</v>
      </c>
      <c r="AA18">
        <v>60</v>
      </c>
      <c r="AB18">
        <v>25</v>
      </c>
      <c r="AC18">
        <v>12</v>
      </c>
      <c r="AD18">
        <v>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95</v>
      </c>
      <c r="AL18">
        <v>5</v>
      </c>
      <c r="AM18">
        <v>0</v>
      </c>
      <c r="AN18" t="s">
        <v>84</v>
      </c>
      <c r="AO18" t="s">
        <v>186</v>
      </c>
      <c r="AP18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7BC7-74FC-4400-A474-EA5B977D362B}">
  <dimension ref="A1:AP40"/>
  <sheetViews>
    <sheetView tabSelected="1" workbookViewId="0">
      <selection activeCell="M2" sqref="M2"/>
    </sheetView>
  </sheetViews>
  <sheetFormatPr defaultRowHeight="18.75" x14ac:dyDescent="0.4"/>
  <cols>
    <col min="2" max="2" width="10.125" customWidth="1"/>
    <col min="3" max="3" width="18" customWidth="1"/>
    <col min="4" max="4" width="18.125" customWidth="1"/>
    <col min="5" max="5" width="19.75" customWidth="1"/>
    <col min="6" max="6" width="7.5" customWidth="1"/>
    <col min="7" max="8" width="8.125" customWidth="1"/>
    <col min="9" max="13" width="6.75" customWidth="1"/>
    <col min="14" max="14" width="7.125" customWidth="1"/>
    <col min="15" max="15" width="9.875" customWidth="1"/>
    <col min="23" max="23" width="10.25" customWidth="1"/>
    <col min="25" max="25" width="14.5" customWidth="1"/>
    <col min="26" max="26" width="14.125" customWidth="1"/>
    <col min="37" max="39" width="8.875" customWidth="1"/>
    <col min="41" max="41" width="14.625" customWidth="1"/>
  </cols>
  <sheetData>
    <row r="1" spans="1:42" x14ac:dyDescent="0.2">
      <c r="A1" s="1" t="s">
        <v>0</v>
      </c>
      <c r="B1" s="1" t="s">
        <v>38</v>
      </c>
      <c r="C1" s="1" t="s">
        <v>1</v>
      </c>
      <c r="D1" s="1" t="s">
        <v>18</v>
      </c>
      <c r="E1" s="1" t="s">
        <v>43</v>
      </c>
      <c r="F1" s="1" t="s">
        <v>54</v>
      </c>
      <c r="G1" s="1" t="s">
        <v>2</v>
      </c>
      <c r="H1" s="1" t="s">
        <v>131</v>
      </c>
      <c r="I1" s="1" t="s">
        <v>3</v>
      </c>
      <c r="J1" s="1" t="s">
        <v>162</v>
      </c>
      <c r="K1" s="1" t="s">
        <v>98</v>
      </c>
      <c r="L1" s="1" t="s">
        <v>192</v>
      </c>
      <c r="M1" s="1" t="s">
        <v>296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9</v>
      </c>
      <c r="Y1" s="1" t="s">
        <v>10</v>
      </c>
      <c r="Z1" s="1" t="s">
        <v>31</v>
      </c>
      <c r="AA1" s="1" t="s">
        <v>11</v>
      </c>
      <c r="AB1" s="1" t="s">
        <v>12</v>
      </c>
      <c r="AC1" s="1" t="s">
        <v>13</v>
      </c>
      <c r="AD1" s="1" t="s">
        <v>14</v>
      </c>
      <c r="AE1" s="1" t="s">
        <v>15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16</v>
      </c>
      <c r="AL1" s="1" t="s">
        <v>17</v>
      </c>
      <c r="AM1" s="1" t="s">
        <v>32</v>
      </c>
      <c r="AN1" s="1" t="s">
        <v>85</v>
      </c>
      <c r="AO1" s="1" t="s">
        <v>86</v>
      </c>
      <c r="AP1" s="1" t="s">
        <v>148</v>
      </c>
    </row>
    <row r="2" spans="1:42" x14ac:dyDescent="0.4">
      <c r="A2">
        <f>ROW()-2+100</f>
        <v>100</v>
      </c>
      <c r="B2" t="s">
        <v>119</v>
      </c>
      <c r="C2" t="s">
        <v>155</v>
      </c>
      <c r="D2" t="s">
        <v>206</v>
      </c>
      <c r="E2" t="s">
        <v>58</v>
      </c>
      <c r="F2">
        <v>20</v>
      </c>
      <c r="G2">
        <v>0</v>
      </c>
      <c r="H2">
        <v>0</v>
      </c>
      <c r="I2">
        <v>1</v>
      </c>
      <c r="J2">
        <v>1</v>
      </c>
      <c r="K2">
        <v>0</v>
      </c>
      <c r="L2">
        <v>10</v>
      </c>
      <c r="M2">
        <v>0</v>
      </c>
      <c r="N2" t="s">
        <v>26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  <c r="Z2" t="s">
        <v>27</v>
      </c>
      <c r="AA2">
        <v>10</v>
      </c>
      <c r="AB2">
        <v>30</v>
      </c>
      <c r="AC2">
        <v>30</v>
      </c>
      <c r="AD2">
        <v>30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95</v>
      </c>
      <c r="AL2">
        <v>5</v>
      </c>
      <c r="AM2">
        <v>0</v>
      </c>
      <c r="AN2" t="s">
        <v>27</v>
      </c>
      <c r="AO2" t="s">
        <v>27</v>
      </c>
      <c r="AP2">
        <v>0</v>
      </c>
    </row>
    <row r="3" spans="1:42" x14ac:dyDescent="0.4">
      <c r="A3">
        <f>ROW()-2+100</f>
        <v>101</v>
      </c>
      <c r="B3" t="s">
        <v>273</v>
      </c>
      <c r="C3" t="s">
        <v>163</v>
      </c>
      <c r="D3" t="s">
        <v>276</v>
      </c>
      <c r="E3" t="s">
        <v>58</v>
      </c>
      <c r="F3">
        <v>20</v>
      </c>
      <c r="G3">
        <v>0</v>
      </c>
      <c r="H3">
        <v>0</v>
      </c>
      <c r="I3">
        <v>0</v>
      </c>
      <c r="J3">
        <v>9999</v>
      </c>
      <c r="K3">
        <v>0</v>
      </c>
      <c r="L3">
        <v>10</v>
      </c>
      <c r="M3">
        <v>0</v>
      </c>
      <c r="N3" t="s">
        <v>26</v>
      </c>
      <c r="O3" t="s">
        <v>27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  <c r="X3" t="s">
        <v>27</v>
      </c>
      <c r="Y3" t="s">
        <v>27</v>
      </c>
      <c r="Z3" t="s">
        <v>27</v>
      </c>
      <c r="AA3">
        <v>10</v>
      </c>
      <c r="AB3">
        <v>30</v>
      </c>
      <c r="AC3">
        <v>30</v>
      </c>
      <c r="AD3">
        <v>30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95</v>
      </c>
      <c r="AL3">
        <v>5</v>
      </c>
      <c r="AM3">
        <v>0</v>
      </c>
      <c r="AN3" t="s">
        <v>27</v>
      </c>
      <c r="AO3" t="s">
        <v>27</v>
      </c>
      <c r="AP3">
        <v>0</v>
      </c>
    </row>
    <row r="4" spans="1:42" x14ac:dyDescent="0.4">
      <c r="A4">
        <f>ROW()-2+100</f>
        <v>102</v>
      </c>
      <c r="B4" t="s">
        <v>274</v>
      </c>
      <c r="C4" t="s">
        <v>164</v>
      </c>
      <c r="D4" t="s">
        <v>277</v>
      </c>
      <c r="E4" t="s">
        <v>58</v>
      </c>
      <c r="F4">
        <v>20</v>
      </c>
      <c r="G4">
        <v>0</v>
      </c>
      <c r="H4">
        <v>0</v>
      </c>
      <c r="I4">
        <v>0</v>
      </c>
      <c r="J4">
        <v>9999</v>
      </c>
      <c r="K4">
        <v>0</v>
      </c>
      <c r="L4">
        <v>10</v>
      </c>
      <c r="M4">
        <v>0</v>
      </c>
      <c r="N4" t="s">
        <v>26</v>
      </c>
      <c r="O4" t="s">
        <v>27</v>
      </c>
      <c r="P4" t="s">
        <v>27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  <c r="X4" t="s">
        <v>27</v>
      </c>
      <c r="Y4" t="s">
        <v>27</v>
      </c>
      <c r="Z4" t="s">
        <v>27</v>
      </c>
      <c r="AA4">
        <v>10</v>
      </c>
      <c r="AB4">
        <v>30</v>
      </c>
      <c r="AC4">
        <v>30</v>
      </c>
      <c r="AD4">
        <v>30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95</v>
      </c>
      <c r="AL4">
        <v>5</v>
      </c>
      <c r="AM4">
        <v>0</v>
      </c>
      <c r="AN4" t="s">
        <v>27</v>
      </c>
      <c r="AO4" t="s">
        <v>27</v>
      </c>
      <c r="AP4">
        <v>0</v>
      </c>
    </row>
    <row r="5" spans="1:42" x14ac:dyDescent="0.4">
      <c r="A5">
        <f>ROW()-2+100</f>
        <v>103</v>
      </c>
      <c r="B5" t="s">
        <v>275</v>
      </c>
      <c r="C5" t="s">
        <v>165</v>
      </c>
      <c r="D5" t="s">
        <v>278</v>
      </c>
      <c r="E5" t="s">
        <v>58</v>
      </c>
      <c r="F5">
        <v>20</v>
      </c>
      <c r="G5">
        <v>0</v>
      </c>
      <c r="H5">
        <v>0</v>
      </c>
      <c r="I5">
        <v>0</v>
      </c>
      <c r="J5">
        <v>9999</v>
      </c>
      <c r="K5">
        <v>0</v>
      </c>
      <c r="L5">
        <v>10</v>
      </c>
      <c r="M5">
        <v>0</v>
      </c>
      <c r="N5" t="s">
        <v>26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  <c r="Y5" t="s">
        <v>27</v>
      </c>
      <c r="Z5" t="s">
        <v>27</v>
      </c>
      <c r="AA5">
        <v>10</v>
      </c>
      <c r="AB5">
        <v>30</v>
      </c>
      <c r="AC5">
        <v>30</v>
      </c>
      <c r="AD5">
        <v>30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95</v>
      </c>
      <c r="AL5">
        <v>5</v>
      </c>
      <c r="AM5">
        <v>0</v>
      </c>
      <c r="AN5" t="s">
        <v>27</v>
      </c>
      <c r="AO5" t="s">
        <v>27</v>
      </c>
      <c r="AP5">
        <v>0</v>
      </c>
    </row>
    <row r="6" spans="1:42" x14ac:dyDescent="0.4">
      <c r="A6">
        <f t="shared" ref="A6:A40" si="0">ROW()-2+100</f>
        <v>104</v>
      </c>
      <c r="B6" t="s">
        <v>40</v>
      </c>
      <c r="C6" t="s">
        <v>156</v>
      </c>
      <c r="D6" t="s">
        <v>174</v>
      </c>
      <c r="E6" t="s">
        <v>58</v>
      </c>
      <c r="F6">
        <v>20</v>
      </c>
      <c r="G6">
        <v>0</v>
      </c>
      <c r="H6">
        <v>0</v>
      </c>
      <c r="I6">
        <v>0</v>
      </c>
      <c r="J6">
        <v>9999</v>
      </c>
      <c r="K6">
        <v>0</v>
      </c>
      <c r="L6">
        <v>10</v>
      </c>
      <c r="M6">
        <v>0</v>
      </c>
      <c r="N6" t="s">
        <v>26</v>
      </c>
      <c r="O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  <c r="Z6" t="s">
        <v>27</v>
      </c>
      <c r="AA6">
        <v>10</v>
      </c>
      <c r="AB6">
        <v>30</v>
      </c>
      <c r="AC6">
        <v>30</v>
      </c>
      <c r="AD6">
        <v>30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95</v>
      </c>
      <c r="AL6">
        <v>5</v>
      </c>
      <c r="AM6">
        <v>0</v>
      </c>
      <c r="AN6" t="s">
        <v>27</v>
      </c>
      <c r="AO6" t="s">
        <v>27</v>
      </c>
      <c r="AP6">
        <v>0</v>
      </c>
    </row>
    <row r="7" spans="1:42" x14ac:dyDescent="0.4">
      <c r="A7">
        <f t="shared" si="0"/>
        <v>105</v>
      </c>
      <c r="B7" t="s">
        <v>40</v>
      </c>
      <c r="C7" t="s">
        <v>168</v>
      </c>
      <c r="D7" t="s">
        <v>171</v>
      </c>
      <c r="E7" t="s">
        <v>58</v>
      </c>
      <c r="F7">
        <v>20</v>
      </c>
      <c r="G7">
        <v>0</v>
      </c>
      <c r="H7">
        <v>0</v>
      </c>
      <c r="I7">
        <v>0</v>
      </c>
      <c r="J7">
        <v>9999</v>
      </c>
      <c r="K7">
        <v>0</v>
      </c>
      <c r="L7">
        <v>10</v>
      </c>
      <c r="M7">
        <v>0</v>
      </c>
      <c r="N7" t="s">
        <v>26</v>
      </c>
      <c r="O7" t="s">
        <v>27</v>
      </c>
      <c r="P7" t="s">
        <v>27</v>
      </c>
      <c r="Q7" t="s">
        <v>27</v>
      </c>
      <c r="R7" t="s">
        <v>27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  <c r="Y7" t="s">
        <v>27</v>
      </c>
      <c r="Z7" t="s">
        <v>27</v>
      </c>
      <c r="AA7">
        <v>10</v>
      </c>
      <c r="AB7">
        <v>30</v>
      </c>
      <c r="AC7">
        <v>30</v>
      </c>
      <c r="AD7">
        <v>30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95</v>
      </c>
      <c r="AL7">
        <v>5</v>
      </c>
      <c r="AM7">
        <v>0</v>
      </c>
      <c r="AN7" t="s">
        <v>27</v>
      </c>
      <c r="AO7" t="s">
        <v>27</v>
      </c>
      <c r="AP7">
        <v>0</v>
      </c>
    </row>
    <row r="8" spans="1:42" x14ac:dyDescent="0.4">
      <c r="A8">
        <f t="shared" si="0"/>
        <v>106</v>
      </c>
      <c r="B8" t="s">
        <v>268</v>
      </c>
      <c r="C8" t="s">
        <v>169</v>
      </c>
      <c r="D8" t="s">
        <v>281</v>
      </c>
      <c r="E8" t="s">
        <v>58</v>
      </c>
      <c r="F8">
        <v>20</v>
      </c>
      <c r="G8">
        <v>0</v>
      </c>
      <c r="H8">
        <v>0</v>
      </c>
      <c r="I8">
        <v>0</v>
      </c>
      <c r="J8">
        <v>9999</v>
      </c>
      <c r="K8">
        <v>0</v>
      </c>
      <c r="L8">
        <v>10</v>
      </c>
      <c r="M8">
        <v>0</v>
      </c>
      <c r="N8" t="s">
        <v>26</v>
      </c>
      <c r="O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27</v>
      </c>
      <c r="U8" t="s">
        <v>27</v>
      </c>
      <c r="V8" t="s">
        <v>27</v>
      </c>
      <c r="W8" t="s">
        <v>27</v>
      </c>
      <c r="X8" t="s">
        <v>27</v>
      </c>
      <c r="Y8" t="s">
        <v>27</v>
      </c>
      <c r="Z8" t="s">
        <v>27</v>
      </c>
      <c r="AA8">
        <v>10</v>
      </c>
      <c r="AB8">
        <v>30</v>
      </c>
      <c r="AC8">
        <v>30</v>
      </c>
      <c r="AD8">
        <v>30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95</v>
      </c>
      <c r="AL8">
        <v>5</v>
      </c>
      <c r="AM8">
        <v>0</v>
      </c>
      <c r="AN8" t="s">
        <v>27</v>
      </c>
      <c r="AO8" t="s">
        <v>27</v>
      </c>
      <c r="AP8">
        <v>0</v>
      </c>
    </row>
    <row r="9" spans="1:42" x14ac:dyDescent="0.4">
      <c r="A9">
        <f t="shared" si="0"/>
        <v>107</v>
      </c>
      <c r="B9" t="s">
        <v>40</v>
      </c>
      <c r="C9" t="s">
        <v>170</v>
      </c>
      <c r="D9" t="s">
        <v>172</v>
      </c>
      <c r="E9" t="s">
        <v>58</v>
      </c>
      <c r="F9">
        <v>20</v>
      </c>
      <c r="G9">
        <v>0</v>
      </c>
      <c r="H9">
        <v>0</v>
      </c>
      <c r="I9">
        <v>0</v>
      </c>
      <c r="J9">
        <v>9999</v>
      </c>
      <c r="K9">
        <v>0</v>
      </c>
      <c r="L9">
        <v>10</v>
      </c>
      <c r="M9">
        <v>0</v>
      </c>
      <c r="N9" t="s">
        <v>26</v>
      </c>
      <c r="O9" t="s">
        <v>27</v>
      </c>
      <c r="P9" t="s">
        <v>27</v>
      </c>
      <c r="Q9" t="s">
        <v>27</v>
      </c>
      <c r="R9" t="s">
        <v>27</v>
      </c>
      <c r="S9" t="s">
        <v>27</v>
      </c>
      <c r="T9" t="s">
        <v>27</v>
      </c>
      <c r="U9" t="s">
        <v>27</v>
      </c>
      <c r="V9" t="s">
        <v>27</v>
      </c>
      <c r="W9" t="s">
        <v>27</v>
      </c>
      <c r="X9" t="s">
        <v>27</v>
      </c>
      <c r="Y9" t="s">
        <v>27</v>
      </c>
      <c r="Z9" t="s">
        <v>27</v>
      </c>
      <c r="AA9">
        <v>10</v>
      </c>
      <c r="AB9">
        <v>30</v>
      </c>
      <c r="AC9">
        <v>30</v>
      </c>
      <c r="AD9">
        <v>30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95</v>
      </c>
      <c r="AL9">
        <v>5</v>
      </c>
      <c r="AM9">
        <v>0</v>
      </c>
      <c r="AN9" t="s">
        <v>27</v>
      </c>
      <c r="AO9" t="s">
        <v>27</v>
      </c>
      <c r="AP9">
        <v>0</v>
      </c>
    </row>
    <row r="10" spans="1:42" x14ac:dyDescent="0.4">
      <c r="A10">
        <f t="shared" si="0"/>
        <v>108</v>
      </c>
      <c r="B10" t="s">
        <v>253</v>
      </c>
      <c r="C10" t="s">
        <v>193</v>
      </c>
      <c r="D10" t="s">
        <v>282</v>
      </c>
      <c r="E10" t="s">
        <v>45</v>
      </c>
      <c r="F10">
        <v>20</v>
      </c>
      <c r="G10">
        <v>0</v>
      </c>
      <c r="H10">
        <v>0</v>
      </c>
      <c r="I10">
        <v>0</v>
      </c>
      <c r="J10">
        <v>9999</v>
      </c>
      <c r="K10">
        <v>0</v>
      </c>
      <c r="L10">
        <v>10</v>
      </c>
      <c r="M10">
        <v>0</v>
      </c>
      <c r="N10" t="s">
        <v>26</v>
      </c>
      <c r="O10" t="s">
        <v>27</v>
      </c>
      <c r="P10" t="s">
        <v>27</v>
      </c>
      <c r="Q10" t="s">
        <v>27</v>
      </c>
      <c r="R10" t="s">
        <v>27</v>
      </c>
      <c r="S10" t="s">
        <v>27</v>
      </c>
      <c r="T10" t="s">
        <v>27</v>
      </c>
      <c r="U10" t="s">
        <v>27</v>
      </c>
      <c r="V10" t="s">
        <v>27</v>
      </c>
      <c r="W10" t="s">
        <v>27</v>
      </c>
      <c r="X10" t="s">
        <v>27</v>
      </c>
      <c r="Y10" t="s">
        <v>27</v>
      </c>
      <c r="Z10" t="s">
        <v>27</v>
      </c>
      <c r="AA10">
        <v>60</v>
      </c>
      <c r="AB10">
        <v>25</v>
      </c>
      <c r="AC10">
        <v>12</v>
      </c>
      <c r="AD10">
        <v>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95</v>
      </c>
      <c r="AL10">
        <v>5</v>
      </c>
      <c r="AM10">
        <v>0</v>
      </c>
      <c r="AN10" t="s">
        <v>27</v>
      </c>
      <c r="AO10" t="s">
        <v>27</v>
      </c>
      <c r="AP10">
        <v>0</v>
      </c>
    </row>
    <row r="11" spans="1:42" x14ac:dyDescent="0.4">
      <c r="A11">
        <f t="shared" si="0"/>
        <v>109</v>
      </c>
      <c r="B11" t="s">
        <v>95</v>
      </c>
      <c r="C11" t="s">
        <v>280</v>
      </c>
      <c r="D11" t="s">
        <v>140</v>
      </c>
      <c r="E11" t="s">
        <v>94</v>
      </c>
      <c r="F11">
        <v>30</v>
      </c>
      <c r="G11">
        <v>0</v>
      </c>
      <c r="H11">
        <v>0</v>
      </c>
      <c r="I11">
        <v>0</v>
      </c>
      <c r="J11">
        <v>9999</v>
      </c>
      <c r="K11">
        <v>0</v>
      </c>
      <c r="L11">
        <v>10</v>
      </c>
      <c r="M11">
        <v>0</v>
      </c>
      <c r="N11" t="s">
        <v>26</v>
      </c>
      <c r="O11" t="s">
        <v>27</v>
      </c>
      <c r="P11" t="s">
        <v>27</v>
      </c>
      <c r="Q11" t="s">
        <v>27</v>
      </c>
      <c r="R11" t="s">
        <v>27</v>
      </c>
      <c r="S11" t="s">
        <v>27</v>
      </c>
      <c r="T11" t="s">
        <v>27</v>
      </c>
      <c r="U11" t="s">
        <v>27</v>
      </c>
      <c r="V11" t="s">
        <v>27</v>
      </c>
      <c r="W11" t="s">
        <v>27</v>
      </c>
      <c r="X11" t="s">
        <v>27</v>
      </c>
      <c r="Y11" t="s">
        <v>27</v>
      </c>
      <c r="Z11" t="s">
        <v>27</v>
      </c>
      <c r="AA11">
        <v>10</v>
      </c>
      <c r="AB11">
        <v>30</v>
      </c>
      <c r="AC11">
        <v>30</v>
      </c>
      <c r="AD11">
        <v>30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95</v>
      </c>
      <c r="AL11">
        <v>5</v>
      </c>
      <c r="AM11">
        <v>0</v>
      </c>
      <c r="AN11" t="s">
        <v>27</v>
      </c>
      <c r="AO11" t="s">
        <v>27</v>
      </c>
      <c r="AP11">
        <v>0</v>
      </c>
    </row>
    <row r="12" spans="1:42" x14ac:dyDescent="0.4">
      <c r="A12">
        <f t="shared" si="0"/>
        <v>110</v>
      </c>
      <c r="B12" t="s">
        <v>210</v>
      </c>
      <c r="C12" t="s">
        <v>173</v>
      </c>
      <c r="D12" t="s">
        <v>157</v>
      </c>
      <c r="E12" t="s">
        <v>48</v>
      </c>
      <c r="F12">
        <v>20</v>
      </c>
      <c r="G12">
        <v>0</v>
      </c>
      <c r="H12">
        <v>0</v>
      </c>
      <c r="I12">
        <v>0</v>
      </c>
      <c r="J12">
        <v>0</v>
      </c>
      <c r="K12">
        <v>0</v>
      </c>
      <c r="L12">
        <v>10</v>
      </c>
      <c r="M12">
        <v>0</v>
      </c>
      <c r="N12" t="s">
        <v>26</v>
      </c>
      <c r="O12" t="s">
        <v>27</v>
      </c>
      <c r="P12" t="s">
        <v>27</v>
      </c>
      <c r="Q12" t="s">
        <v>27</v>
      </c>
      <c r="R12" t="s">
        <v>27</v>
      </c>
      <c r="S12" t="s">
        <v>27</v>
      </c>
      <c r="T12" t="s">
        <v>27</v>
      </c>
      <c r="U12" t="s">
        <v>27</v>
      </c>
      <c r="V12" t="s">
        <v>27</v>
      </c>
      <c r="W12" t="s">
        <v>27</v>
      </c>
      <c r="X12" t="s">
        <v>27</v>
      </c>
      <c r="Y12" t="s">
        <v>27</v>
      </c>
      <c r="Z12" t="s">
        <v>27</v>
      </c>
      <c r="AA12">
        <v>60</v>
      </c>
      <c r="AB12">
        <v>25</v>
      </c>
      <c r="AC12">
        <v>12</v>
      </c>
      <c r="AD12">
        <v>3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95</v>
      </c>
      <c r="AL12">
        <v>5</v>
      </c>
      <c r="AM12">
        <v>0</v>
      </c>
      <c r="AN12" t="s">
        <v>84</v>
      </c>
      <c r="AO12" t="s">
        <v>186</v>
      </c>
      <c r="AP12">
        <v>0</v>
      </c>
    </row>
    <row r="13" spans="1:42" x14ac:dyDescent="0.4">
      <c r="A13">
        <f t="shared" si="0"/>
        <v>111</v>
      </c>
      <c r="B13" t="s">
        <v>269</v>
      </c>
      <c r="C13" t="s">
        <v>175</v>
      </c>
      <c r="D13" t="s">
        <v>178</v>
      </c>
      <c r="E13" t="s">
        <v>48</v>
      </c>
      <c r="F13">
        <v>50</v>
      </c>
      <c r="G13">
        <v>0</v>
      </c>
      <c r="H13">
        <v>0</v>
      </c>
      <c r="I13">
        <v>0</v>
      </c>
      <c r="J13">
        <v>0</v>
      </c>
      <c r="K13">
        <v>0</v>
      </c>
      <c r="L13">
        <v>10</v>
      </c>
      <c r="M13">
        <v>0</v>
      </c>
      <c r="N13" t="s">
        <v>26</v>
      </c>
      <c r="O13" t="s">
        <v>27</v>
      </c>
      <c r="P13" t="s">
        <v>27</v>
      </c>
      <c r="Q13" t="s">
        <v>27</v>
      </c>
      <c r="R13" t="s">
        <v>27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  <c r="X13" t="s">
        <v>27</v>
      </c>
      <c r="Y13" t="s">
        <v>27</v>
      </c>
      <c r="Z13" t="s">
        <v>27</v>
      </c>
      <c r="AA13">
        <v>60</v>
      </c>
      <c r="AB13">
        <v>25</v>
      </c>
      <c r="AC13">
        <v>12</v>
      </c>
      <c r="AD13">
        <v>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95</v>
      </c>
      <c r="AL13">
        <v>5</v>
      </c>
      <c r="AM13">
        <v>0</v>
      </c>
      <c r="AN13" t="s">
        <v>84</v>
      </c>
      <c r="AO13" t="s">
        <v>186</v>
      </c>
      <c r="AP13">
        <v>0</v>
      </c>
    </row>
    <row r="14" spans="1:42" x14ac:dyDescent="0.4">
      <c r="A14">
        <f t="shared" si="0"/>
        <v>112</v>
      </c>
      <c r="B14" t="s">
        <v>270</v>
      </c>
      <c r="C14" t="s">
        <v>176</v>
      </c>
      <c r="D14" t="s">
        <v>179</v>
      </c>
      <c r="E14" t="s">
        <v>48</v>
      </c>
      <c r="F14">
        <v>30</v>
      </c>
      <c r="G14">
        <v>0</v>
      </c>
      <c r="H14">
        <v>0</v>
      </c>
      <c r="I14">
        <v>0</v>
      </c>
      <c r="J14">
        <v>0</v>
      </c>
      <c r="K14">
        <v>0</v>
      </c>
      <c r="L14">
        <v>10</v>
      </c>
      <c r="M14">
        <v>0</v>
      </c>
      <c r="N14" t="s">
        <v>26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  <c r="X14" t="s">
        <v>27</v>
      </c>
      <c r="Y14" t="s">
        <v>27</v>
      </c>
      <c r="Z14" t="s">
        <v>27</v>
      </c>
      <c r="AA14">
        <v>60</v>
      </c>
      <c r="AB14">
        <v>25</v>
      </c>
      <c r="AC14">
        <v>12</v>
      </c>
      <c r="AD14">
        <v>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95</v>
      </c>
      <c r="AL14">
        <v>5</v>
      </c>
      <c r="AM14">
        <v>0</v>
      </c>
      <c r="AN14" t="s">
        <v>84</v>
      </c>
      <c r="AO14" t="s">
        <v>186</v>
      </c>
      <c r="AP14">
        <v>0</v>
      </c>
    </row>
    <row r="15" spans="1:42" x14ac:dyDescent="0.4">
      <c r="A15">
        <f t="shared" si="0"/>
        <v>113</v>
      </c>
      <c r="B15" t="s">
        <v>271</v>
      </c>
      <c r="C15" t="s">
        <v>177</v>
      </c>
      <c r="D15" t="s">
        <v>180</v>
      </c>
      <c r="E15" t="s">
        <v>48</v>
      </c>
      <c r="F15">
        <v>40</v>
      </c>
      <c r="G15">
        <v>0</v>
      </c>
      <c r="H15">
        <v>0</v>
      </c>
      <c r="I15">
        <v>0</v>
      </c>
      <c r="J15">
        <v>0</v>
      </c>
      <c r="K15">
        <v>0</v>
      </c>
      <c r="L15">
        <v>10</v>
      </c>
      <c r="M15">
        <v>0</v>
      </c>
      <c r="N15" t="s">
        <v>26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  <c r="X15" t="s">
        <v>27</v>
      </c>
      <c r="Y15" t="s">
        <v>27</v>
      </c>
      <c r="Z15" t="s">
        <v>27</v>
      </c>
      <c r="AA15">
        <v>60</v>
      </c>
      <c r="AB15">
        <v>25</v>
      </c>
      <c r="AC15">
        <v>12</v>
      </c>
      <c r="AD15">
        <v>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95</v>
      </c>
      <c r="AL15">
        <v>5</v>
      </c>
      <c r="AM15">
        <v>0</v>
      </c>
      <c r="AN15" t="s">
        <v>84</v>
      </c>
      <c r="AO15" t="s">
        <v>186</v>
      </c>
      <c r="AP15">
        <v>0</v>
      </c>
    </row>
    <row r="16" spans="1:42" x14ac:dyDescent="0.4">
      <c r="A16">
        <f t="shared" si="0"/>
        <v>114</v>
      </c>
      <c r="B16" t="s">
        <v>122</v>
      </c>
      <c r="C16" t="s">
        <v>150</v>
      </c>
      <c r="D16" t="s">
        <v>149</v>
      </c>
      <c r="E16" t="s">
        <v>151</v>
      </c>
      <c r="F16">
        <v>10</v>
      </c>
      <c r="G16">
        <v>0</v>
      </c>
      <c r="H16">
        <v>0</v>
      </c>
      <c r="I16">
        <v>0</v>
      </c>
      <c r="J16">
        <v>9999</v>
      </c>
      <c r="K16">
        <v>0</v>
      </c>
      <c r="L16">
        <v>10</v>
      </c>
      <c r="M16">
        <v>0</v>
      </c>
      <c r="N16" t="s">
        <v>26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  <c r="X16" t="s">
        <v>27</v>
      </c>
      <c r="Y16" t="s">
        <v>27</v>
      </c>
      <c r="Z16" t="s">
        <v>27</v>
      </c>
      <c r="AA16">
        <v>10</v>
      </c>
      <c r="AB16">
        <v>30</v>
      </c>
      <c r="AC16">
        <v>30</v>
      </c>
      <c r="AD16">
        <v>30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95</v>
      </c>
      <c r="AL16">
        <v>5</v>
      </c>
      <c r="AM16">
        <v>0</v>
      </c>
      <c r="AN16" t="s">
        <v>27</v>
      </c>
      <c r="AO16" t="s">
        <v>27</v>
      </c>
      <c r="AP16">
        <v>0</v>
      </c>
    </row>
    <row r="17" spans="1:42" x14ac:dyDescent="0.4">
      <c r="A17">
        <f t="shared" si="0"/>
        <v>115</v>
      </c>
      <c r="B17" t="s">
        <v>293</v>
      </c>
      <c r="C17" t="s">
        <v>290</v>
      </c>
      <c r="D17" t="s">
        <v>291</v>
      </c>
      <c r="E17" t="s">
        <v>151</v>
      </c>
      <c r="F17">
        <v>10</v>
      </c>
      <c r="G17">
        <v>0</v>
      </c>
      <c r="H17">
        <v>0</v>
      </c>
      <c r="I17">
        <v>0</v>
      </c>
      <c r="J17">
        <v>9999</v>
      </c>
      <c r="K17">
        <v>0</v>
      </c>
      <c r="L17">
        <v>10</v>
      </c>
      <c r="M17">
        <v>0</v>
      </c>
      <c r="N17" t="s">
        <v>26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  <c r="X17" t="s">
        <v>27</v>
      </c>
      <c r="Y17" t="s">
        <v>27</v>
      </c>
      <c r="Z17" t="s">
        <v>27</v>
      </c>
      <c r="AA17">
        <v>10</v>
      </c>
      <c r="AB17">
        <v>30</v>
      </c>
      <c r="AC17">
        <v>30</v>
      </c>
      <c r="AD17">
        <v>30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95</v>
      </c>
      <c r="AL17">
        <v>5</v>
      </c>
      <c r="AM17">
        <v>0</v>
      </c>
      <c r="AN17" t="s">
        <v>27</v>
      </c>
      <c r="AO17" t="s">
        <v>27</v>
      </c>
      <c r="AP17">
        <v>0</v>
      </c>
    </row>
    <row r="18" spans="1:42" x14ac:dyDescent="0.4">
      <c r="A18">
        <f t="shared" si="0"/>
        <v>116</v>
      </c>
      <c r="B18" t="s">
        <v>286</v>
      </c>
      <c r="C18" t="s">
        <v>238</v>
      </c>
      <c r="D18" t="s">
        <v>292</v>
      </c>
      <c r="E18" t="s">
        <v>48</v>
      </c>
      <c r="F18">
        <v>10</v>
      </c>
      <c r="G18">
        <v>0</v>
      </c>
      <c r="H18">
        <v>0</v>
      </c>
      <c r="I18">
        <v>0</v>
      </c>
      <c r="J18">
        <v>9999</v>
      </c>
      <c r="K18">
        <v>0</v>
      </c>
      <c r="L18">
        <v>10</v>
      </c>
      <c r="M18">
        <v>0</v>
      </c>
      <c r="N18" t="s">
        <v>26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  <c r="X18" t="s">
        <v>27</v>
      </c>
      <c r="Y18" t="s">
        <v>27</v>
      </c>
      <c r="Z18" t="s">
        <v>27</v>
      </c>
      <c r="AA18">
        <v>60</v>
      </c>
      <c r="AB18">
        <v>25</v>
      </c>
      <c r="AC18">
        <v>12</v>
      </c>
      <c r="AD18">
        <v>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95</v>
      </c>
      <c r="AL18">
        <v>5</v>
      </c>
      <c r="AM18">
        <v>0</v>
      </c>
      <c r="AN18" t="s">
        <v>84</v>
      </c>
      <c r="AO18" t="s">
        <v>186</v>
      </c>
      <c r="AP18">
        <v>0</v>
      </c>
    </row>
    <row r="19" spans="1:42" x14ac:dyDescent="0.4">
      <c r="A19">
        <f t="shared" si="0"/>
        <v>117</v>
      </c>
      <c r="B19" t="s">
        <v>251</v>
      </c>
      <c r="C19" t="s">
        <v>242</v>
      </c>
      <c r="D19" t="s">
        <v>239</v>
      </c>
      <c r="E19" t="s">
        <v>48</v>
      </c>
      <c r="F19">
        <v>10</v>
      </c>
      <c r="G19">
        <v>0</v>
      </c>
      <c r="H19">
        <v>0</v>
      </c>
      <c r="I19">
        <v>0</v>
      </c>
      <c r="J19">
        <v>9999</v>
      </c>
      <c r="K19">
        <v>0</v>
      </c>
      <c r="L19">
        <v>10</v>
      </c>
      <c r="M19">
        <v>0</v>
      </c>
      <c r="N19" t="s">
        <v>26</v>
      </c>
      <c r="O19" t="s">
        <v>27</v>
      </c>
      <c r="P19" t="s">
        <v>27</v>
      </c>
      <c r="Q19" t="s">
        <v>27</v>
      </c>
      <c r="R19" t="s">
        <v>27</v>
      </c>
      <c r="S19" t="s">
        <v>27</v>
      </c>
      <c r="T19" t="s">
        <v>27</v>
      </c>
      <c r="U19" t="s">
        <v>27</v>
      </c>
      <c r="V19" t="s">
        <v>27</v>
      </c>
      <c r="W19" t="s">
        <v>27</v>
      </c>
      <c r="X19" t="s">
        <v>27</v>
      </c>
      <c r="Y19" t="s">
        <v>27</v>
      </c>
      <c r="Z19" t="s">
        <v>27</v>
      </c>
      <c r="AA19">
        <v>60</v>
      </c>
      <c r="AB19">
        <v>25</v>
      </c>
      <c r="AC19">
        <v>12</v>
      </c>
      <c r="AD19">
        <v>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95</v>
      </c>
      <c r="AL19">
        <v>5</v>
      </c>
      <c r="AM19">
        <v>0</v>
      </c>
      <c r="AN19" t="s">
        <v>84</v>
      </c>
      <c r="AO19" t="s">
        <v>186</v>
      </c>
      <c r="AP19">
        <v>0</v>
      </c>
    </row>
    <row r="20" spans="1:42" x14ac:dyDescent="0.4">
      <c r="A20">
        <f t="shared" si="0"/>
        <v>118</v>
      </c>
      <c r="B20" t="s">
        <v>297</v>
      </c>
      <c r="C20" t="s">
        <v>288</v>
      </c>
      <c r="D20" t="s">
        <v>289</v>
      </c>
      <c r="E20" t="s">
        <v>48</v>
      </c>
      <c r="F20">
        <v>10</v>
      </c>
      <c r="G20">
        <v>0</v>
      </c>
      <c r="H20">
        <v>0</v>
      </c>
      <c r="I20">
        <v>0</v>
      </c>
      <c r="J20">
        <v>9999</v>
      </c>
      <c r="K20">
        <v>0</v>
      </c>
      <c r="L20">
        <v>10</v>
      </c>
      <c r="M20">
        <v>0</v>
      </c>
      <c r="N20" t="s">
        <v>26</v>
      </c>
      <c r="O20" t="s">
        <v>27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  <c r="W20" t="s">
        <v>27</v>
      </c>
      <c r="X20" t="s">
        <v>27</v>
      </c>
      <c r="Y20" t="s">
        <v>27</v>
      </c>
      <c r="Z20" t="s">
        <v>27</v>
      </c>
      <c r="AA20">
        <v>60</v>
      </c>
      <c r="AB20">
        <v>25</v>
      </c>
      <c r="AC20">
        <v>12</v>
      </c>
      <c r="AD20">
        <v>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95</v>
      </c>
      <c r="AL20">
        <v>5</v>
      </c>
      <c r="AM20">
        <v>0</v>
      </c>
      <c r="AN20" t="s">
        <v>84</v>
      </c>
      <c r="AO20" t="s">
        <v>186</v>
      </c>
      <c r="AP20">
        <v>0</v>
      </c>
    </row>
    <row r="21" spans="1:42" x14ac:dyDescent="0.4">
      <c r="A21">
        <f t="shared" si="0"/>
        <v>119</v>
      </c>
      <c r="B21" t="s">
        <v>285</v>
      </c>
      <c r="C21" t="s">
        <v>243</v>
      </c>
      <c r="D21" t="s">
        <v>240</v>
      </c>
      <c r="E21" t="s">
        <v>48</v>
      </c>
      <c r="F21">
        <v>10</v>
      </c>
      <c r="G21">
        <v>0</v>
      </c>
      <c r="H21">
        <v>0</v>
      </c>
      <c r="I21">
        <v>0</v>
      </c>
      <c r="J21">
        <v>9999</v>
      </c>
      <c r="K21">
        <v>0</v>
      </c>
      <c r="L21">
        <v>10</v>
      </c>
      <c r="M21">
        <v>0</v>
      </c>
      <c r="N21" t="s">
        <v>26</v>
      </c>
      <c r="O21" t="s">
        <v>27</v>
      </c>
      <c r="P21" t="s">
        <v>27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  <c r="V21" t="s">
        <v>27</v>
      </c>
      <c r="W21" t="s">
        <v>27</v>
      </c>
      <c r="X21" t="s">
        <v>27</v>
      </c>
      <c r="Y21" t="s">
        <v>27</v>
      </c>
      <c r="Z21" t="s">
        <v>27</v>
      </c>
      <c r="AA21">
        <v>60</v>
      </c>
      <c r="AB21">
        <v>25</v>
      </c>
      <c r="AC21">
        <v>12</v>
      </c>
      <c r="AD21">
        <v>3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95</v>
      </c>
      <c r="AL21">
        <v>5</v>
      </c>
      <c r="AM21">
        <v>0</v>
      </c>
      <c r="AN21" t="s">
        <v>84</v>
      </c>
      <c r="AO21" t="s">
        <v>186</v>
      </c>
      <c r="AP21">
        <v>0</v>
      </c>
    </row>
    <row r="22" spans="1:42" x14ac:dyDescent="0.4">
      <c r="A22">
        <f t="shared" si="0"/>
        <v>120</v>
      </c>
      <c r="B22" t="s">
        <v>252</v>
      </c>
      <c r="C22" t="s">
        <v>244</v>
      </c>
      <c r="D22" t="s">
        <v>241</v>
      </c>
      <c r="E22" t="s">
        <v>48</v>
      </c>
      <c r="F22">
        <v>10</v>
      </c>
      <c r="G22">
        <v>0</v>
      </c>
      <c r="H22">
        <v>0</v>
      </c>
      <c r="I22">
        <v>0</v>
      </c>
      <c r="J22">
        <v>9999</v>
      </c>
      <c r="K22">
        <v>0</v>
      </c>
      <c r="L22">
        <v>10</v>
      </c>
      <c r="M22">
        <v>0</v>
      </c>
      <c r="N22" t="s">
        <v>26</v>
      </c>
      <c r="O22" t="s">
        <v>27</v>
      </c>
      <c r="P22" t="s">
        <v>27</v>
      </c>
      <c r="Q22" t="s">
        <v>27</v>
      </c>
      <c r="R22" t="s">
        <v>27</v>
      </c>
      <c r="S22" t="s">
        <v>27</v>
      </c>
      <c r="T22" t="s">
        <v>27</v>
      </c>
      <c r="U22" t="s">
        <v>27</v>
      </c>
      <c r="V22" t="s">
        <v>27</v>
      </c>
      <c r="W22" t="s">
        <v>27</v>
      </c>
      <c r="X22" t="s">
        <v>27</v>
      </c>
      <c r="Y22" t="s">
        <v>27</v>
      </c>
      <c r="Z22" t="s">
        <v>27</v>
      </c>
      <c r="AA22">
        <v>60</v>
      </c>
      <c r="AB22">
        <v>25</v>
      </c>
      <c r="AC22">
        <v>12</v>
      </c>
      <c r="AD22">
        <v>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95</v>
      </c>
      <c r="AL22">
        <v>5</v>
      </c>
      <c r="AM22">
        <v>0</v>
      </c>
      <c r="AN22" t="s">
        <v>84</v>
      </c>
      <c r="AO22" t="s">
        <v>186</v>
      </c>
      <c r="AP22">
        <v>0</v>
      </c>
    </row>
    <row r="23" spans="1:42" x14ac:dyDescent="0.4">
      <c r="A23">
        <f t="shared" si="0"/>
        <v>121</v>
      </c>
      <c r="B23" t="s">
        <v>298</v>
      </c>
      <c r="C23" t="s">
        <v>294</v>
      </c>
      <c r="D23" t="s">
        <v>295</v>
      </c>
      <c r="E23" t="s">
        <v>151</v>
      </c>
      <c r="F23">
        <v>10</v>
      </c>
      <c r="G23">
        <v>0</v>
      </c>
      <c r="H23">
        <v>0</v>
      </c>
      <c r="I23">
        <v>0</v>
      </c>
      <c r="J23">
        <v>9999</v>
      </c>
      <c r="K23">
        <v>0</v>
      </c>
      <c r="L23">
        <v>10</v>
      </c>
      <c r="M23">
        <v>0</v>
      </c>
      <c r="N23" t="s">
        <v>26</v>
      </c>
      <c r="O23" t="s">
        <v>27</v>
      </c>
      <c r="P23" t="s">
        <v>27</v>
      </c>
      <c r="Q23" t="s">
        <v>27</v>
      </c>
      <c r="R23" t="s">
        <v>27</v>
      </c>
      <c r="S23" t="s">
        <v>27</v>
      </c>
      <c r="T23" t="s">
        <v>27</v>
      </c>
      <c r="U23" t="s">
        <v>27</v>
      </c>
      <c r="V23" t="s">
        <v>27</v>
      </c>
      <c r="W23" t="s">
        <v>27</v>
      </c>
      <c r="X23" t="s">
        <v>27</v>
      </c>
      <c r="Y23" t="s">
        <v>27</v>
      </c>
      <c r="Z23" t="s">
        <v>27</v>
      </c>
      <c r="AA23">
        <v>10</v>
      </c>
      <c r="AB23">
        <v>30</v>
      </c>
      <c r="AC23">
        <v>30</v>
      </c>
      <c r="AD23">
        <v>30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95</v>
      </c>
      <c r="AL23">
        <v>5</v>
      </c>
      <c r="AM23">
        <v>0</v>
      </c>
      <c r="AN23" t="s">
        <v>27</v>
      </c>
      <c r="AO23" t="s">
        <v>27</v>
      </c>
      <c r="AP23">
        <v>0</v>
      </c>
    </row>
    <row r="24" spans="1:42" x14ac:dyDescent="0.4">
      <c r="A24">
        <f t="shared" si="0"/>
        <v>122</v>
      </c>
      <c r="B24" t="s">
        <v>272</v>
      </c>
      <c r="C24" t="s">
        <v>246</v>
      </c>
      <c r="D24" t="s">
        <v>245</v>
      </c>
      <c r="E24" t="s">
        <v>48</v>
      </c>
      <c r="F24">
        <v>20</v>
      </c>
      <c r="G24">
        <v>0</v>
      </c>
      <c r="H24">
        <v>0</v>
      </c>
      <c r="I24">
        <v>0</v>
      </c>
      <c r="J24">
        <v>9999</v>
      </c>
      <c r="K24">
        <v>0</v>
      </c>
      <c r="L24">
        <v>10</v>
      </c>
      <c r="M24">
        <v>0</v>
      </c>
      <c r="N24" t="s">
        <v>26</v>
      </c>
      <c r="O24" t="s">
        <v>27</v>
      </c>
      <c r="P24" t="s">
        <v>27</v>
      </c>
      <c r="Q24" t="s">
        <v>27</v>
      </c>
      <c r="R24" t="s">
        <v>27</v>
      </c>
      <c r="S24" t="s">
        <v>27</v>
      </c>
      <c r="T24" t="s">
        <v>27</v>
      </c>
      <c r="U24" t="s">
        <v>27</v>
      </c>
      <c r="V24" t="s">
        <v>27</v>
      </c>
      <c r="W24" t="s">
        <v>27</v>
      </c>
      <c r="X24" t="s">
        <v>27</v>
      </c>
      <c r="Y24" t="s">
        <v>27</v>
      </c>
      <c r="Z24" t="s">
        <v>27</v>
      </c>
      <c r="AA24">
        <v>60</v>
      </c>
      <c r="AB24">
        <v>25</v>
      </c>
      <c r="AC24">
        <v>12</v>
      </c>
      <c r="AD24">
        <v>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95</v>
      </c>
      <c r="AL24">
        <v>5</v>
      </c>
      <c r="AM24">
        <v>0</v>
      </c>
      <c r="AN24" t="s">
        <v>84</v>
      </c>
      <c r="AO24" t="s">
        <v>186</v>
      </c>
      <c r="AP24">
        <v>0</v>
      </c>
    </row>
    <row r="25" spans="1:42" x14ac:dyDescent="0.4">
      <c r="A25">
        <f t="shared" si="0"/>
        <v>123</v>
      </c>
      <c r="B25" t="s">
        <v>250</v>
      </c>
      <c r="C25" t="s">
        <v>237</v>
      </c>
      <c r="D25" t="s">
        <v>236</v>
      </c>
      <c r="E25" t="s">
        <v>151</v>
      </c>
      <c r="F25">
        <v>20</v>
      </c>
      <c r="G25">
        <v>0</v>
      </c>
      <c r="H25">
        <v>0</v>
      </c>
      <c r="I25">
        <v>0</v>
      </c>
      <c r="J25">
        <v>9999</v>
      </c>
      <c r="K25">
        <v>0</v>
      </c>
      <c r="L25">
        <v>10</v>
      </c>
      <c r="M25">
        <v>0</v>
      </c>
      <c r="N25" t="s">
        <v>26</v>
      </c>
      <c r="O25" t="s">
        <v>27</v>
      </c>
      <c r="P25" t="s">
        <v>27</v>
      </c>
      <c r="Q25" t="s">
        <v>27</v>
      </c>
      <c r="R25" t="s">
        <v>27</v>
      </c>
      <c r="S25" t="s">
        <v>27</v>
      </c>
      <c r="T25" t="s">
        <v>27</v>
      </c>
      <c r="U25" t="s">
        <v>27</v>
      </c>
      <c r="V25" t="s">
        <v>27</v>
      </c>
      <c r="W25" t="s">
        <v>27</v>
      </c>
      <c r="X25" t="s">
        <v>27</v>
      </c>
      <c r="Y25" t="s">
        <v>27</v>
      </c>
      <c r="Z25" t="s">
        <v>27</v>
      </c>
      <c r="AA25">
        <v>10</v>
      </c>
      <c r="AB25">
        <v>30</v>
      </c>
      <c r="AC25">
        <v>30</v>
      </c>
      <c r="AD25">
        <v>30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95</v>
      </c>
      <c r="AL25">
        <v>5</v>
      </c>
      <c r="AM25">
        <v>0</v>
      </c>
      <c r="AN25" t="s">
        <v>27</v>
      </c>
      <c r="AO25" t="s">
        <v>27</v>
      </c>
      <c r="AP25">
        <v>0</v>
      </c>
    </row>
    <row r="26" spans="1:42" x14ac:dyDescent="0.4">
      <c r="A26">
        <f t="shared" si="0"/>
        <v>124</v>
      </c>
      <c r="B26" t="s">
        <v>122</v>
      </c>
      <c r="C26" t="s">
        <v>167</v>
      </c>
      <c r="D26" t="s">
        <v>166</v>
      </c>
      <c r="E26" t="s">
        <v>151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10</v>
      </c>
      <c r="M26">
        <v>0</v>
      </c>
      <c r="N26" t="s">
        <v>26</v>
      </c>
      <c r="O26" t="s">
        <v>27</v>
      </c>
      <c r="P26" t="s">
        <v>27</v>
      </c>
      <c r="Q26" t="s">
        <v>27</v>
      </c>
      <c r="R26" t="s">
        <v>27</v>
      </c>
      <c r="S26" t="s">
        <v>27</v>
      </c>
      <c r="T26" t="s">
        <v>27</v>
      </c>
      <c r="U26" t="s">
        <v>27</v>
      </c>
      <c r="V26" t="s">
        <v>27</v>
      </c>
      <c r="W26" t="s">
        <v>27</v>
      </c>
      <c r="X26" t="s">
        <v>27</v>
      </c>
      <c r="Y26" t="s">
        <v>27</v>
      </c>
      <c r="Z26" t="s">
        <v>27</v>
      </c>
      <c r="AA26">
        <v>10</v>
      </c>
      <c r="AB26">
        <v>30</v>
      </c>
      <c r="AC26">
        <v>30</v>
      </c>
      <c r="AD26">
        <v>30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95</v>
      </c>
      <c r="AL26">
        <v>5</v>
      </c>
      <c r="AM26">
        <v>0</v>
      </c>
      <c r="AN26" t="s">
        <v>27</v>
      </c>
      <c r="AO26" t="s">
        <v>27</v>
      </c>
      <c r="AP26">
        <v>0</v>
      </c>
    </row>
    <row r="27" spans="1:42" x14ac:dyDescent="0.4">
      <c r="A27">
        <f t="shared" si="0"/>
        <v>125</v>
      </c>
      <c r="B27" t="s">
        <v>287</v>
      </c>
      <c r="C27" t="s">
        <v>283</v>
      </c>
      <c r="D27" t="s">
        <v>284</v>
      </c>
      <c r="E27" t="s">
        <v>48</v>
      </c>
      <c r="F27">
        <v>10</v>
      </c>
      <c r="G27">
        <v>0</v>
      </c>
      <c r="H27">
        <v>0</v>
      </c>
      <c r="I27">
        <v>0</v>
      </c>
      <c r="J27">
        <v>9999</v>
      </c>
      <c r="K27">
        <v>0</v>
      </c>
      <c r="L27">
        <v>10</v>
      </c>
      <c r="M27">
        <v>0</v>
      </c>
      <c r="N27" t="s">
        <v>26</v>
      </c>
      <c r="O27" t="s">
        <v>27</v>
      </c>
      <c r="P27" t="s">
        <v>27</v>
      </c>
      <c r="Q27" t="s">
        <v>27</v>
      </c>
      <c r="R27" t="s">
        <v>27</v>
      </c>
      <c r="S27" t="s">
        <v>27</v>
      </c>
      <c r="T27" t="s">
        <v>27</v>
      </c>
      <c r="U27" t="s">
        <v>27</v>
      </c>
      <c r="V27" t="s">
        <v>27</v>
      </c>
      <c r="W27" t="s">
        <v>27</v>
      </c>
      <c r="X27" t="s">
        <v>27</v>
      </c>
      <c r="Y27" t="s">
        <v>27</v>
      </c>
      <c r="Z27" t="s">
        <v>27</v>
      </c>
      <c r="AA27">
        <v>60</v>
      </c>
      <c r="AB27">
        <v>25</v>
      </c>
      <c r="AC27">
        <v>12</v>
      </c>
      <c r="AD27">
        <v>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95</v>
      </c>
      <c r="AL27">
        <v>5</v>
      </c>
      <c r="AM27">
        <v>0</v>
      </c>
      <c r="AN27" t="s">
        <v>84</v>
      </c>
      <c r="AO27" t="s">
        <v>186</v>
      </c>
      <c r="AP27">
        <v>0</v>
      </c>
    </row>
    <row r="28" spans="1:42" x14ac:dyDescent="0.4">
      <c r="A28">
        <f t="shared" si="0"/>
        <v>126</v>
      </c>
      <c r="B28" t="s">
        <v>56</v>
      </c>
      <c r="C28" t="s">
        <v>194</v>
      </c>
      <c r="D28" t="s">
        <v>152</v>
      </c>
      <c r="E28" t="s">
        <v>53</v>
      </c>
      <c r="F28">
        <v>5</v>
      </c>
      <c r="G28">
        <v>0</v>
      </c>
      <c r="H28">
        <v>1</v>
      </c>
      <c r="I28">
        <v>1</v>
      </c>
      <c r="J28">
        <v>1</v>
      </c>
      <c r="K28">
        <v>1</v>
      </c>
      <c r="L28">
        <v>10</v>
      </c>
      <c r="M28">
        <v>0</v>
      </c>
      <c r="N28" t="s">
        <v>26</v>
      </c>
      <c r="O28" t="s">
        <v>36</v>
      </c>
      <c r="P28" t="s">
        <v>70</v>
      </c>
      <c r="Q28" t="s">
        <v>139</v>
      </c>
      <c r="R28" t="s">
        <v>103</v>
      </c>
      <c r="S28" t="s">
        <v>27</v>
      </c>
      <c r="T28" t="s">
        <v>27</v>
      </c>
      <c r="U28" t="s">
        <v>27</v>
      </c>
      <c r="V28" t="s">
        <v>27</v>
      </c>
      <c r="W28" t="s">
        <v>27</v>
      </c>
      <c r="X28" t="s">
        <v>27</v>
      </c>
      <c r="Y28" t="s">
        <v>141</v>
      </c>
      <c r="Z28" t="s">
        <v>27</v>
      </c>
      <c r="AA28">
        <v>0</v>
      </c>
      <c r="AB28">
        <v>60</v>
      </c>
      <c r="AC28">
        <v>23</v>
      </c>
      <c r="AD28">
        <v>7</v>
      </c>
      <c r="AE28">
        <v>10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98</v>
      </c>
      <c r="AL28">
        <v>2</v>
      </c>
      <c r="AM28">
        <v>0</v>
      </c>
      <c r="AN28" t="s">
        <v>89</v>
      </c>
      <c r="AO28" t="s">
        <v>182</v>
      </c>
      <c r="AP28">
        <v>0</v>
      </c>
    </row>
    <row r="29" spans="1:42" x14ac:dyDescent="0.4">
      <c r="A29">
        <f t="shared" si="0"/>
        <v>127</v>
      </c>
      <c r="B29" t="s">
        <v>259</v>
      </c>
      <c r="C29" t="s">
        <v>181</v>
      </c>
      <c r="D29" t="s">
        <v>153</v>
      </c>
      <c r="E29" t="s">
        <v>116</v>
      </c>
      <c r="F29">
        <v>15</v>
      </c>
      <c r="G29">
        <v>0</v>
      </c>
      <c r="H29">
        <v>1</v>
      </c>
      <c r="I29">
        <v>1</v>
      </c>
      <c r="J29">
        <v>1</v>
      </c>
      <c r="K29">
        <v>1</v>
      </c>
      <c r="L29">
        <v>10</v>
      </c>
      <c r="M29">
        <v>0</v>
      </c>
      <c r="N29" t="s">
        <v>26</v>
      </c>
      <c r="O29" t="s">
        <v>28</v>
      </c>
      <c r="P29" t="s">
        <v>29</v>
      </c>
      <c r="Q29" t="s">
        <v>25</v>
      </c>
      <c r="R29" t="s">
        <v>70</v>
      </c>
      <c r="S29" t="s">
        <v>103</v>
      </c>
      <c r="T29" t="s">
        <v>279</v>
      </c>
      <c r="U29" t="s">
        <v>191</v>
      </c>
      <c r="V29" t="s">
        <v>27</v>
      </c>
      <c r="W29" t="s">
        <v>27</v>
      </c>
      <c r="X29" t="s">
        <v>27</v>
      </c>
      <c r="Y29" t="s">
        <v>33</v>
      </c>
      <c r="Z29" t="s">
        <v>83</v>
      </c>
      <c r="AA29">
        <v>15</v>
      </c>
      <c r="AB29">
        <v>16</v>
      </c>
      <c r="AC29">
        <v>17</v>
      </c>
      <c r="AD29">
        <v>10</v>
      </c>
      <c r="AE29">
        <v>2</v>
      </c>
      <c r="AF29">
        <v>10</v>
      </c>
      <c r="AG29">
        <v>4</v>
      </c>
      <c r="AH29">
        <v>26</v>
      </c>
      <c r="AI29">
        <v>0</v>
      </c>
      <c r="AJ29">
        <v>0</v>
      </c>
      <c r="AK29">
        <v>78</v>
      </c>
      <c r="AL29">
        <v>15</v>
      </c>
      <c r="AM29">
        <v>7</v>
      </c>
      <c r="AN29" t="s">
        <v>84</v>
      </c>
      <c r="AO29" t="s">
        <v>190</v>
      </c>
      <c r="AP29">
        <v>0</v>
      </c>
    </row>
    <row r="30" spans="1:42" x14ac:dyDescent="0.4">
      <c r="A30">
        <f t="shared" si="0"/>
        <v>128</v>
      </c>
      <c r="B30" t="s">
        <v>263</v>
      </c>
      <c r="C30" t="s">
        <v>196</v>
      </c>
      <c r="D30" t="s">
        <v>195</v>
      </c>
      <c r="E30" t="s">
        <v>116</v>
      </c>
      <c r="F30">
        <v>30</v>
      </c>
      <c r="G30">
        <v>100</v>
      </c>
      <c r="H30">
        <v>2</v>
      </c>
      <c r="I30">
        <v>0</v>
      </c>
      <c r="J30">
        <v>9999</v>
      </c>
      <c r="K30">
        <v>1</v>
      </c>
      <c r="L30">
        <v>10</v>
      </c>
      <c r="M30">
        <v>2</v>
      </c>
      <c r="N30" t="s">
        <v>26</v>
      </c>
      <c r="O30" t="s">
        <v>82</v>
      </c>
      <c r="P30" t="s">
        <v>73</v>
      </c>
      <c r="Q30" t="s">
        <v>223</v>
      </c>
      <c r="R30" t="s">
        <v>113</v>
      </c>
      <c r="S30" t="s">
        <v>128</v>
      </c>
      <c r="T30" t="s">
        <v>127</v>
      </c>
      <c r="U30" t="s">
        <v>99</v>
      </c>
      <c r="V30" t="s">
        <v>27</v>
      </c>
      <c r="W30" t="s">
        <v>27</v>
      </c>
      <c r="X30" t="s">
        <v>27</v>
      </c>
      <c r="Y30" t="s">
        <v>208</v>
      </c>
      <c r="Z30" t="s">
        <v>136</v>
      </c>
      <c r="AA30">
        <v>15</v>
      </c>
      <c r="AB30">
        <v>30</v>
      </c>
      <c r="AC30">
        <v>9</v>
      </c>
      <c r="AD30">
        <v>3</v>
      </c>
      <c r="AE30">
        <v>13</v>
      </c>
      <c r="AF30">
        <v>17</v>
      </c>
      <c r="AG30">
        <v>8</v>
      </c>
      <c r="AH30">
        <v>5</v>
      </c>
      <c r="AI30">
        <v>0</v>
      </c>
      <c r="AJ30">
        <v>0</v>
      </c>
      <c r="AK30">
        <v>83</v>
      </c>
      <c r="AL30">
        <v>10</v>
      </c>
      <c r="AM30">
        <v>7</v>
      </c>
      <c r="AN30" t="s">
        <v>91</v>
      </c>
      <c r="AO30" t="s">
        <v>207</v>
      </c>
      <c r="AP30">
        <v>0</v>
      </c>
    </row>
    <row r="31" spans="1:42" x14ac:dyDescent="0.4">
      <c r="A31">
        <f t="shared" si="0"/>
        <v>129</v>
      </c>
      <c r="B31" t="s">
        <v>302</v>
      </c>
      <c r="C31" t="s">
        <v>300</v>
      </c>
      <c r="D31" t="s">
        <v>299</v>
      </c>
      <c r="E31" t="s">
        <v>116</v>
      </c>
      <c r="F31">
        <v>30</v>
      </c>
      <c r="G31">
        <v>100</v>
      </c>
      <c r="H31">
        <v>2</v>
      </c>
      <c r="I31">
        <v>0</v>
      </c>
      <c r="J31">
        <v>9999</v>
      </c>
      <c r="K31">
        <v>1</v>
      </c>
      <c r="L31">
        <v>10</v>
      </c>
      <c r="M31">
        <v>9</v>
      </c>
      <c r="N31" t="s">
        <v>26</v>
      </c>
      <c r="O31" t="s">
        <v>72</v>
      </c>
      <c r="P31" t="s">
        <v>100</v>
      </c>
      <c r="Q31" t="s">
        <v>99</v>
      </c>
      <c r="R31" t="s">
        <v>27</v>
      </c>
      <c r="S31" t="s">
        <v>27</v>
      </c>
      <c r="T31" t="s">
        <v>27</v>
      </c>
      <c r="U31" t="s">
        <v>27</v>
      </c>
      <c r="V31" t="s">
        <v>27</v>
      </c>
      <c r="W31" t="s">
        <v>27</v>
      </c>
      <c r="X31" t="s">
        <v>27</v>
      </c>
      <c r="Y31" t="s">
        <v>144</v>
      </c>
      <c r="Z31" t="s">
        <v>27</v>
      </c>
      <c r="AA31">
        <v>35</v>
      </c>
      <c r="AB31">
        <v>50</v>
      </c>
      <c r="AC31">
        <v>5</v>
      </c>
      <c r="AD31">
        <v>10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87</v>
      </c>
      <c r="AL31">
        <v>3</v>
      </c>
      <c r="AM31">
        <v>10</v>
      </c>
      <c r="AN31" t="s">
        <v>91</v>
      </c>
      <c r="AO31" t="s">
        <v>301</v>
      </c>
      <c r="AP31">
        <v>0</v>
      </c>
    </row>
    <row r="32" spans="1:42" x14ac:dyDescent="0.4">
      <c r="A32">
        <f t="shared" si="0"/>
        <v>130</v>
      </c>
      <c r="B32" t="s">
        <v>264</v>
      </c>
      <c r="C32" t="s">
        <v>205</v>
      </c>
      <c r="D32" t="s">
        <v>267</v>
      </c>
      <c r="E32" t="s">
        <v>50</v>
      </c>
      <c r="F32">
        <v>30</v>
      </c>
      <c r="G32">
        <v>500</v>
      </c>
      <c r="H32">
        <v>3</v>
      </c>
      <c r="I32">
        <v>0</v>
      </c>
      <c r="J32">
        <v>9999</v>
      </c>
      <c r="K32">
        <v>1</v>
      </c>
      <c r="L32">
        <v>10</v>
      </c>
      <c r="M32">
        <v>6</v>
      </c>
      <c r="N32" t="s">
        <v>26</v>
      </c>
      <c r="O32" t="s">
        <v>72</v>
      </c>
      <c r="P32" t="s">
        <v>74</v>
      </c>
      <c r="Q32" t="s">
        <v>108</v>
      </c>
      <c r="R32" t="s">
        <v>27</v>
      </c>
      <c r="S32" t="s">
        <v>100</v>
      </c>
      <c r="T32" t="s">
        <v>27</v>
      </c>
      <c r="U32" t="s">
        <v>27</v>
      </c>
      <c r="V32" t="s">
        <v>27</v>
      </c>
      <c r="W32" t="s">
        <v>27</v>
      </c>
      <c r="X32" t="s">
        <v>27</v>
      </c>
      <c r="Y32" t="s">
        <v>111</v>
      </c>
      <c r="Z32" t="s">
        <v>228</v>
      </c>
      <c r="AA32">
        <v>25</v>
      </c>
      <c r="AB32">
        <v>25</v>
      </c>
      <c r="AC32">
        <v>16</v>
      </c>
      <c r="AD32">
        <v>23</v>
      </c>
      <c r="AE32">
        <v>6</v>
      </c>
      <c r="AF32">
        <v>5</v>
      </c>
      <c r="AG32">
        <v>0</v>
      </c>
      <c r="AH32">
        <v>0</v>
      </c>
      <c r="AI32">
        <v>0</v>
      </c>
      <c r="AJ32">
        <v>0</v>
      </c>
      <c r="AK32">
        <v>94</v>
      </c>
      <c r="AL32">
        <v>1</v>
      </c>
      <c r="AM32">
        <v>5</v>
      </c>
      <c r="AN32" t="s">
        <v>84</v>
      </c>
      <c r="AO32" t="s">
        <v>233</v>
      </c>
      <c r="AP32">
        <v>0</v>
      </c>
    </row>
    <row r="33" spans="1:42" x14ac:dyDescent="0.4">
      <c r="A33">
        <f t="shared" si="0"/>
        <v>131</v>
      </c>
      <c r="B33" t="s">
        <v>248</v>
      </c>
      <c r="C33" t="s">
        <v>209</v>
      </c>
      <c r="D33" t="s">
        <v>197</v>
      </c>
      <c r="E33" t="s">
        <v>116</v>
      </c>
      <c r="F33">
        <v>30</v>
      </c>
      <c r="G33">
        <v>200</v>
      </c>
      <c r="H33">
        <v>2</v>
      </c>
      <c r="I33">
        <v>0</v>
      </c>
      <c r="J33">
        <v>9999</v>
      </c>
      <c r="K33">
        <v>1</v>
      </c>
      <c r="L33">
        <v>10</v>
      </c>
      <c r="M33">
        <v>3</v>
      </c>
      <c r="N33" t="s">
        <v>26</v>
      </c>
      <c r="O33" t="s">
        <v>72</v>
      </c>
      <c r="P33" t="s">
        <v>81</v>
      </c>
      <c r="Q33" t="s">
        <v>108</v>
      </c>
      <c r="R33" t="s">
        <v>109</v>
      </c>
      <c r="S33" t="s">
        <v>112</v>
      </c>
      <c r="T33" t="s">
        <v>74</v>
      </c>
      <c r="U33" t="s">
        <v>221</v>
      </c>
      <c r="V33" t="s">
        <v>247</v>
      </c>
      <c r="W33" t="s">
        <v>27</v>
      </c>
      <c r="X33" t="s">
        <v>27</v>
      </c>
      <c r="Y33" t="s">
        <v>72</v>
      </c>
      <c r="Z33" t="s">
        <v>111</v>
      </c>
      <c r="AA33">
        <v>20</v>
      </c>
      <c r="AB33">
        <v>5</v>
      </c>
      <c r="AC33">
        <v>20</v>
      </c>
      <c r="AD33">
        <v>12</v>
      </c>
      <c r="AE33">
        <v>5</v>
      </c>
      <c r="AF33">
        <v>10</v>
      </c>
      <c r="AG33">
        <v>13</v>
      </c>
      <c r="AH33">
        <v>10</v>
      </c>
      <c r="AI33">
        <v>5</v>
      </c>
      <c r="AJ33">
        <v>0</v>
      </c>
      <c r="AK33">
        <v>83</v>
      </c>
      <c r="AL33">
        <v>16</v>
      </c>
      <c r="AM33">
        <v>1</v>
      </c>
      <c r="AN33" t="s">
        <v>84</v>
      </c>
      <c r="AO33" t="s">
        <v>225</v>
      </c>
      <c r="AP33">
        <v>0</v>
      </c>
    </row>
    <row r="34" spans="1:42" x14ac:dyDescent="0.4">
      <c r="A34">
        <f t="shared" si="0"/>
        <v>132</v>
      </c>
      <c r="B34" t="s">
        <v>261</v>
      </c>
      <c r="C34" t="s">
        <v>42</v>
      </c>
      <c r="D34" t="s">
        <v>201</v>
      </c>
      <c r="E34" t="s">
        <v>50</v>
      </c>
      <c r="F34">
        <v>30</v>
      </c>
      <c r="G34">
        <v>300</v>
      </c>
      <c r="H34">
        <v>3</v>
      </c>
      <c r="I34">
        <v>0</v>
      </c>
      <c r="J34">
        <v>9999</v>
      </c>
      <c r="K34">
        <v>1</v>
      </c>
      <c r="L34">
        <v>10</v>
      </c>
      <c r="M34">
        <v>4</v>
      </c>
      <c r="N34" t="s">
        <v>26</v>
      </c>
      <c r="O34" t="s">
        <v>212</v>
      </c>
      <c r="P34" t="s">
        <v>220</v>
      </c>
      <c r="Q34" t="s">
        <v>25</v>
      </c>
      <c r="R34" t="s">
        <v>137</v>
      </c>
      <c r="S34" t="s">
        <v>222</v>
      </c>
      <c r="T34" t="s">
        <v>226</v>
      </c>
      <c r="U34" t="s">
        <v>27</v>
      </c>
      <c r="V34" t="s">
        <v>27</v>
      </c>
      <c r="W34" t="s">
        <v>27</v>
      </c>
      <c r="X34" t="s">
        <v>27</v>
      </c>
      <c r="Y34" t="s">
        <v>218</v>
      </c>
      <c r="Z34" t="s">
        <v>220</v>
      </c>
      <c r="AA34">
        <v>20</v>
      </c>
      <c r="AB34">
        <v>10</v>
      </c>
      <c r="AC34">
        <v>35</v>
      </c>
      <c r="AD34">
        <v>10</v>
      </c>
      <c r="AE34">
        <v>5</v>
      </c>
      <c r="AF34">
        <v>10</v>
      </c>
      <c r="AG34">
        <v>10</v>
      </c>
      <c r="AH34">
        <v>0</v>
      </c>
      <c r="AI34">
        <v>0</v>
      </c>
      <c r="AJ34">
        <v>0</v>
      </c>
      <c r="AK34">
        <v>93</v>
      </c>
      <c r="AL34">
        <v>3</v>
      </c>
      <c r="AM34">
        <v>4</v>
      </c>
      <c r="AN34" t="s">
        <v>84</v>
      </c>
      <c r="AO34" t="s">
        <v>224</v>
      </c>
      <c r="AP34">
        <v>0</v>
      </c>
    </row>
    <row r="35" spans="1:42" x14ac:dyDescent="0.4">
      <c r="A35">
        <f t="shared" si="0"/>
        <v>133</v>
      </c>
      <c r="B35" t="s">
        <v>260</v>
      </c>
      <c r="C35" t="s">
        <v>255</v>
      </c>
      <c r="D35" t="s">
        <v>257</v>
      </c>
      <c r="E35" t="s">
        <v>256</v>
      </c>
      <c r="F35">
        <v>60</v>
      </c>
      <c r="G35">
        <v>0</v>
      </c>
      <c r="H35">
        <v>1</v>
      </c>
      <c r="I35">
        <v>0</v>
      </c>
      <c r="J35">
        <v>9999</v>
      </c>
      <c r="K35">
        <v>1</v>
      </c>
      <c r="L35">
        <v>10</v>
      </c>
      <c r="M35">
        <v>9</v>
      </c>
      <c r="N35" t="s">
        <v>26</v>
      </c>
      <c r="O35" t="s">
        <v>219</v>
      </c>
      <c r="P35" t="s">
        <v>27</v>
      </c>
      <c r="Q35" t="s">
        <v>27</v>
      </c>
      <c r="R35" t="s">
        <v>27</v>
      </c>
      <c r="S35" t="s">
        <v>27</v>
      </c>
      <c r="T35" t="s">
        <v>27</v>
      </c>
      <c r="U35" t="s">
        <v>27</v>
      </c>
      <c r="V35" t="s">
        <v>27</v>
      </c>
      <c r="W35" t="s">
        <v>27</v>
      </c>
      <c r="X35" t="s">
        <v>27</v>
      </c>
      <c r="Y35" t="s">
        <v>219</v>
      </c>
      <c r="Z35" t="s">
        <v>27</v>
      </c>
      <c r="AA35">
        <v>65</v>
      </c>
      <c r="AB35">
        <v>35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98</v>
      </c>
      <c r="AL35">
        <v>1</v>
      </c>
      <c r="AM35">
        <v>1</v>
      </c>
      <c r="AN35" t="s">
        <v>84</v>
      </c>
      <c r="AO35" t="s">
        <v>258</v>
      </c>
      <c r="AP35">
        <v>0</v>
      </c>
    </row>
    <row r="36" spans="1:42" x14ac:dyDescent="0.4">
      <c r="A36">
        <f t="shared" si="0"/>
        <v>134</v>
      </c>
      <c r="B36" t="s">
        <v>262</v>
      </c>
      <c r="C36" t="s">
        <v>202</v>
      </c>
      <c r="D36" t="s">
        <v>198</v>
      </c>
      <c r="E36" t="s">
        <v>116</v>
      </c>
      <c r="F36">
        <v>60</v>
      </c>
      <c r="G36">
        <v>300</v>
      </c>
      <c r="H36">
        <v>3</v>
      </c>
      <c r="I36">
        <v>0</v>
      </c>
      <c r="J36">
        <v>9999</v>
      </c>
      <c r="K36">
        <v>1</v>
      </c>
      <c r="L36">
        <v>10</v>
      </c>
      <c r="M36">
        <v>6</v>
      </c>
      <c r="N36" t="s">
        <v>26</v>
      </c>
      <c r="O36" t="s">
        <v>214</v>
      </c>
      <c r="P36" t="s">
        <v>215</v>
      </c>
      <c r="Q36" t="s">
        <v>138</v>
      </c>
      <c r="R36" t="s">
        <v>110</v>
      </c>
      <c r="S36" t="s">
        <v>254</v>
      </c>
      <c r="T36" t="s">
        <v>231</v>
      </c>
      <c r="U36" t="s">
        <v>129</v>
      </c>
      <c r="V36" t="s">
        <v>227</v>
      </c>
      <c r="W36" t="s">
        <v>27</v>
      </c>
      <c r="X36" t="s">
        <v>27</v>
      </c>
      <c r="Y36" t="s">
        <v>227</v>
      </c>
      <c r="Z36" t="s">
        <v>80</v>
      </c>
      <c r="AA36">
        <v>20</v>
      </c>
      <c r="AB36">
        <v>20</v>
      </c>
      <c r="AC36">
        <v>7</v>
      </c>
      <c r="AD36">
        <v>10</v>
      </c>
      <c r="AE36">
        <v>15</v>
      </c>
      <c r="AF36">
        <v>10</v>
      </c>
      <c r="AG36">
        <v>8</v>
      </c>
      <c r="AH36">
        <v>5</v>
      </c>
      <c r="AI36">
        <v>5</v>
      </c>
      <c r="AJ36">
        <v>0</v>
      </c>
      <c r="AK36">
        <v>85</v>
      </c>
      <c r="AL36">
        <v>10</v>
      </c>
      <c r="AM36">
        <v>5</v>
      </c>
      <c r="AN36" t="s">
        <v>84</v>
      </c>
      <c r="AO36" t="s">
        <v>232</v>
      </c>
      <c r="AP36">
        <v>0</v>
      </c>
    </row>
    <row r="37" spans="1:42" x14ac:dyDescent="0.4">
      <c r="A37">
        <f t="shared" si="0"/>
        <v>135</v>
      </c>
      <c r="B37" t="s">
        <v>249</v>
      </c>
      <c r="C37" t="s">
        <v>203</v>
      </c>
      <c r="D37" t="s">
        <v>200</v>
      </c>
      <c r="E37" t="s">
        <v>116</v>
      </c>
      <c r="F37">
        <v>90</v>
      </c>
      <c r="G37">
        <v>400</v>
      </c>
      <c r="H37">
        <v>4</v>
      </c>
      <c r="I37">
        <v>0</v>
      </c>
      <c r="J37">
        <v>9999</v>
      </c>
      <c r="K37">
        <v>1</v>
      </c>
      <c r="L37">
        <v>10</v>
      </c>
      <c r="M37">
        <v>8</v>
      </c>
      <c r="N37" t="s">
        <v>26</v>
      </c>
      <c r="O37" t="s">
        <v>229</v>
      </c>
      <c r="P37" t="s">
        <v>211</v>
      </c>
      <c r="Q37" t="s">
        <v>216</v>
      </c>
      <c r="R37" t="s">
        <v>70</v>
      </c>
      <c r="S37" t="s">
        <v>103</v>
      </c>
      <c r="T37" t="s">
        <v>27</v>
      </c>
      <c r="U37" t="s">
        <v>27</v>
      </c>
      <c r="V37" t="s">
        <v>27</v>
      </c>
      <c r="W37" t="s">
        <v>27</v>
      </c>
      <c r="X37" t="s">
        <v>27</v>
      </c>
      <c r="Y37" t="s">
        <v>211</v>
      </c>
      <c r="Z37" t="s">
        <v>27</v>
      </c>
      <c r="AA37">
        <v>20</v>
      </c>
      <c r="AB37">
        <v>38</v>
      </c>
      <c r="AC37">
        <v>18</v>
      </c>
      <c r="AD37">
        <v>14</v>
      </c>
      <c r="AE37">
        <v>5</v>
      </c>
      <c r="AF37">
        <v>5</v>
      </c>
      <c r="AG37">
        <v>0</v>
      </c>
      <c r="AH37">
        <v>0</v>
      </c>
      <c r="AI37">
        <v>0</v>
      </c>
      <c r="AJ37">
        <v>0</v>
      </c>
      <c r="AK37">
        <v>83</v>
      </c>
      <c r="AL37">
        <v>10</v>
      </c>
      <c r="AM37">
        <v>7</v>
      </c>
      <c r="AN37" t="s">
        <v>84</v>
      </c>
      <c r="AO37" t="s">
        <v>234</v>
      </c>
      <c r="AP37">
        <v>0</v>
      </c>
    </row>
    <row r="38" spans="1:42" x14ac:dyDescent="0.4">
      <c r="A38">
        <f t="shared" si="0"/>
        <v>136</v>
      </c>
      <c r="B38" t="s">
        <v>265</v>
      </c>
      <c r="C38" t="s">
        <v>204</v>
      </c>
      <c r="D38" t="s">
        <v>199</v>
      </c>
      <c r="E38" t="s">
        <v>50</v>
      </c>
      <c r="F38">
        <v>90</v>
      </c>
      <c r="G38">
        <v>600</v>
      </c>
      <c r="H38">
        <v>6</v>
      </c>
      <c r="I38">
        <v>0</v>
      </c>
      <c r="J38">
        <v>9999</v>
      </c>
      <c r="K38">
        <v>1</v>
      </c>
      <c r="L38">
        <v>10</v>
      </c>
      <c r="M38">
        <v>9</v>
      </c>
      <c r="N38" t="s">
        <v>26</v>
      </c>
      <c r="O38" t="s">
        <v>213</v>
      </c>
      <c r="P38" t="s">
        <v>230</v>
      </c>
      <c r="Q38" t="s">
        <v>27</v>
      </c>
      <c r="R38" t="s">
        <v>217</v>
      </c>
      <c r="S38" t="s">
        <v>208</v>
      </c>
      <c r="T38" t="s">
        <v>33</v>
      </c>
      <c r="U38" t="s">
        <v>80</v>
      </c>
      <c r="V38" t="s">
        <v>27</v>
      </c>
      <c r="W38" t="s">
        <v>27</v>
      </c>
      <c r="X38" t="s">
        <v>27</v>
      </c>
      <c r="Y38" t="s">
        <v>217</v>
      </c>
      <c r="Z38" t="s">
        <v>266</v>
      </c>
      <c r="AA38">
        <v>32</v>
      </c>
      <c r="AB38">
        <v>17</v>
      </c>
      <c r="AC38">
        <v>9</v>
      </c>
      <c r="AD38">
        <v>0</v>
      </c>
      <c r="AE38">
        <v>15</v>
      </c>
      <c r="AF38">
        <v>10</v>
      </c>
      <c r="AG38">
        <v>10</v>
      </c>
      <c r="AH38">
        <v>7</v>
      </c>
      <c r="AI38">
        <v>0</v>
      </c>
      <c r="AJ38">
        <v>0</v>
      </c>
      <c r="AK38">
        <v>94</v>
      </c>
      <c r="AL38">
        <v>4</v>
      </c>
      <c r="AM38">
        <v>2</v>
      </c>
      <c r="AN38" t="s">
        <v>84</v>
      </c>
      <c r="AO38" t="s">
        <v>235</v>
      </c>
      <c r="AP38">
        <v>0</v>
      </c>
    </row>
    <row r="39" spans="1:42" x14ac:dyDescent="0.4">
      <c r="A39">
        <f t="shared" si="0"/>
        <v>137</v>
      </c>
      <c r="B39" t="s">
        <v>40</v>
      </c>
      <c r="C39" t="s">
        <v>146</v>
      </c>
      <c r="D39" t="s">
        <v>145</v>
      </c>
      <c r="E39" t="s">
        <v>48</v>
      </c>
      <c r="F39">
        <v>90</v>
      </c>
      <c r="G39">
        <v>0</v>
      </c>
      <c r="H39">
        <v>0</v>
      </c>
      <c r="I39">
        <v>0</v>
      </c>
      <c r="J39">
        <v>0</v>
      </c>
      <c r="K39">
        <v>0</v>
      </c>
      <c r="L39">
        <v>10</v>
      </c>
      <c r="M39">
        <v>0</v>
      </c>
      <c r="N39" t="s">
        <v>26</v>
      </c>
      <c r="O39" t="s">
        <v>27</v>
      </c>
      <c r="P39" t="s">
        <v>27</v>
      </c>
      <c r="Q39" t="s">
        <v>27</v>
      </c>
      <c r="R39" t="s">
        <v>27</v>
      </c>
      <c r="S39" t="s">
        <v>27</v>
      </c>
      <c r="T39" t="s">
        <v>27</v>
      </c>
      <c r="U39" t="s">
        <v>27</v>
      </c>
      <c r="V39" t="s">
        <v>27</v>
      </c>
      <c r="W39" t="s">
        <v>27</v>
      </c>
      <c r="X39" t="s">
        <v>27</v>
      </c>
      <c r="Y39" t="s">
        <v>27</v>
      </c>
      <c r="Z39" t="s">
        <v>27</v>
      </c>
      <c r="AA39">
        <v>60</v>
      </c>
      <c r="AB39">
        <v>25</v>
      </c>
      <c r="AC39">
        <v>12</v>
      </c>
      <c r="AD39">
        <v>3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95</v>
      </c>
      <c r="AL39">
        <v>5</v>
      </c>
      <c r="AM39">
        <v>0</v>
      </c>
      <c r="AN39" t="s">
        <v>84</v>
      </c>
      <c r="AO39" t="s">
        <v>186</v>
      </c>
      <c r="AP39">
        <v>0</v>
      </c>
    </row>
    <row r="40" spans="1:42" x14ac:dyDescent="0.4">
      <c r="A40">
        <f t="shared" si="0"/>
        <v>138</v>
      </c>
      <c r="B40" t="s">
        <v>40</v>
      </c>
      <c r="C40" t="s">
        <v>160</v>
      </c>
      <c r="D40" t="s">
        <v>161</v>
      </c>
      <c r="E40" t="s">
        <v>48</v>
      </c>
      <c r="F40">
        <v>90</v>
      </c>
      <c r="G40">
        <v>0</v>
      </c>
      <c r="H40">
        <v>0</v>
      </c>
      <c r="I40">
        <v>0</v>
      </c>
      <c r="J40">
        <v>9999</v>
      </c>
      <c r="K40">
        <v>0</v>
      </c>
      <c r="L40">
        <v>10</v>
      </c>
      <c r="M40">
        <v>0</v>
      </c>
      <c r="N40" t="s">
        <v>26</v>
      </c>
      <c r="O40" t="s">
        <v>27</v>
      </c>
      <c r="P40" t="s">
        <v>27</v>
      </c>
      <c r="Q40" t="s">
        <v>27</v>
      </c>
      <c r="R40" t="s">
        <v>27</v>
      </c>
      <c r="S40" t="s">
        <v>27</v>
      </c>
      <c r="T40" t="s">
        <v>27</v>
      </c>
      <c r="U40" t="s">
        <v>27</v>
      </c>
      <c r="V40" t="s">
        <v>27</v>
      </c>
      <c r="W40" t="s">
        <v>27</v>
      </c>
      <c r="X40" t="s">
        <v>27</v>
      </c>
      <c r="Y40" t="s">
        <v>27</v>
      </c>
      <c r="Z40" t="s">
        <v>27</v>
      </c>
      <c r="AA40">
        <v>60</v>
      </c>
      <c r="AB40">
        <v>25</v>
      </c>
      <c r="AC40">
        <v>12</v>
      </c>
      <c r="AD40">
        <v>3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95</v>
      </c>
      <c r="AL40">
        <v>5</v>
      </c>
      <c r="AM40">
        <v>0</v>
      </c>
      <c r="AN40" t="s">
        <v>84</v>
      </c>
      <c r="AO40" t="s">
        <v>186</v>
      </c>
      <c r="AP40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14E5B-6BFE-4D20-B771-5A2DB6950621}">
  <dimension ref="A1:AP40"/>
  <sheetViews>
    <sheetView topLeftCell="A19" workbookViewId="0">
      <selection activeCell="L2" sqref="L2:L40"/>
    </sheetView>
  </sheetViews>
  <sheetFormatPr defaultRowHeight="18.75" x14ac:dyDescent="0.4"/>
  <cols>
    <col min="2" max="2" width="10.125" customWidth="1"/>
    <col min="3" max="3" width="18" customWidth="1"/>
    <col min="4" max="4" width="18.125" customWidth="1"/>
    <col min="5" max="5" width="19.75" customWidth="1"/>
    <col min="6" max="6" width="7.5" customWidth="1"/>
    <col min="7" max="8" width="8.125" customWidth="1"/>
    <col min="9" max="13" width="6.75" customWidth="1"/>
    <col min="14" max="14" width="7.125" customWidth="1"/>
    <col min="15" max="15" width="9.875" customWidth="1"/>
    <col min="23" max="23" width="10.25" customWidth="1"/>
    <col min="25" max="25" width="14.5" customWidth="1"/>
    <col min="26" max="26" width="14.125" customWidth="1"/>
    <col min="37" max="38" width="14" customWidth="1"/>
    <col min="39" max="39" width="13.625" customWidth="1"/>
  </cols>
  <sheetData>
    <row r="1" spans="1:42" x14ac:dyDescent="0.2">
      <c r="A1" s="1" t="s">
        <v>0</v>
      </c>
      <c r="B1" s="1" t="s">
        <v>38</v>
      </c>
      <c r="C1" s="1" t="s">
        <v>1</v>
      </c>
      <c r="D1" s="1" t="s">
        <v>18</v>
      </c>
      <c r="E1" s="1" t="s">
        <v>43</v>
      </c>
      <c r="F1" s="1" t="s">
        <v>54</v>
      </c>
      <c r="G1" s="1" t="s">
        <v>2</v>
      </c>
      <c r="H1" s="1" t="s">
        <v>131</v>
      </c>
      <c r="I1" s="1" t="s">
        <v>3</v>
      </c>
      <c r="J1" s="1" t="s">
        <v>162</v>
      </c>
      <c r="K1" s="1" t="s">
        <v>98</v>
      </c>
      <c r="L1" s="1" t="s">
        <v>192</v>
      </c>
      <c r="M1" s="1" t="s">
        <v>296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9</v>
      </c>
      <c r="Y1" s="1" t="s">
        <v>10</v>
      </c>
      <c r="Z1" s="1" t="s">
        <v>31</v>
      </c>
      <c r="AA1" s="1" t="s">
        <v>11</v>
      </c>
      <c r="AB1" s="1" t="s">
        <v>12</v>
      </c>
      <c r="AC1" s="1" t="s">
        <v>13</v>
      </c>
      <c r="AD1" s="1" t="s">
        <v>14</v>
      </c>
      <c r="AE1" s="1" t="s">
        <v>15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16</v>
      </c>
      <c r="AL1" s="1" t="s">
        <v>17</v>
      </c>
      <c r="AM1" s="1" t="s">
        <v>32</v>
      </c>
      <c r="AN1" s="1" t="s">
        <v>85</v>
      </c>
      <c r="AO1" s="1" t="s">
        <v>86</v>
      </c>
      <c r="AP1" s="1" t="s">
        <v>148</v>
      </c>
    </row>
    <row r="2" spans="1:42" x14ac:dyDescent="0.4">
      <c r="A2">
        <f>ROW()-2+100</f>
        <v>100</v>
      </c>
      <c r="B2" t="s">
        <v>119</v>
      </c>
      <c r="C2" t="s">
        <v>155</v>
      </c>
      <c r="D2" t="s">
        <v>206</v>
      </c>
      <c r="E2" t="s">
        <v>142</v>
      </c>
      <c r="F2">
        <v>20</v>
      </c>
      <c r="G2">
        <v>0</v>
      </c>
      <c r="H2">
        <v>0</v>
      </c>
      <c r="I2">
        <v>1</v>
      </c>
      <c r="J2">
        <v>1</v>
      </c>
      <c r="K2">
        <v>0</v>
      </c>
      <c r="L2">
        <v>10</v>
      </c>
      <c r="M2">
        <v>0</v>
      </c>
      <c r="N2" t="s">
        <v>26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  <c r="Z2" t="s">
        <v>27</v>
      </c>
      <c r="AA2">
        <v>10</v>
      </c>
      <c r="AB2">
        <v>30</v>
      </c>
      <c r="AC2">
        <v>30</v>
      </c>
      <c r="AD2">
        <v>30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95</v>
      </c>
      <c r="AL2">
        <v>5</v>
      </c>
      <c r="AM2">
        <v>0</v>
      </c>
      <c r="AN2" t="s">
        <v>27</v>
      </c>
      <c r="AO2" t="s">
        <v>27</v>
      </c>
      <c r="AP2">
        <v>0</v>
      </c>
    </row>
    <row r="3" spans="1:42" x14ac:dyDescent="0.4">
      <c r="A3">
        <f>ROW()-2+100</f>
        <v>101</v>
      </c>
      <c r="B3" t="s">
        <v>273</v>
      </c>
      <c r="C3" t="s">
        <v>163</v>
      </c>
      <c r="D3" t="s">
        <v>276</v>
      </c>
      <c r="E3" t="s">
        <v>142</v>
      </c>
      <c r="F3">
        <v>20</v>
      </c>
      <c r="G3">
        <v>0</v>
      </c>
      <c r="H3">
        <v>0</v>
      </c>
      <c r="I3">
        <v>0</v>
      </c>
      <c r="J3">
        <v>9999</v>
      </c>
      <c r="K3">
        <v>0</v>
      </c>
      <c r="L3">
        <v>10</v>
      </c>
      <c r="M3">
        <v>0</v>
      </c>
      <c r="N3" t="s">
        <v>26</v>
      </c>
      <c r="O3" t="s">
        <v>27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  <c r="X3" t="s">
        <v>27</v>
      </c>
      <c r="Y3" t="s">
        <v>27</v>
      </c>
      <c r="Z3" t="s">
        <v>27</v>
      </c>
      <c r="AA3">
        <v>10</v>
      </c>
      <c r="AB3">
        <v>30</v>
      </c>
      <c r="AC3">
        <v>30</v>
      </c>
      <c r="AD3">
        <v>30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95</v>
      </c>
      <c r="AL3">
        <v>5</v>
      </c>
      <c r="AM3">
        <v>0</v>
      </c>
      <c r="AN3" t="s">
        <v>27</v>
      </c>
      <c r="AO3" t="s">
        <v>27</v>
      </c>
      <c r="AP3">
        <v>0</v>
      </c>
    </row>
    <row r="4" spans="1:42" x14ac:dyDescent="0.4">
      <c r="A4">
        <f>ROW()-2+100</f>
        <v>102</v>
      </c>
      <c r="B4" t="s">
        <v>274</v>
      </c>
      <c r="C4" t="s">
        <v>164</v>
      </c>
      <c r="D4" t="s">
        <v>277</v>
      </c>
      <c r="E4" t="s">
        <v>142</v>
      </c>
      <c r="F4">
        <v>20</v>
      </c>
      <c r="G4">
        <v>0</v>
      </c>
      <c r="H4">
        <v>0</v>
      </c>
      <c r="I4">
        <v>0</v>
      </c>
      <c r="J4">
        <v>9999</v>
      </c>
      <c r="K4">
        <v>0</v>
      </c>
      <c r="L4">
        <v>10</v>
      </c>
      <c r="M4">
        <v>0</v>
      </c>
      <c r="N4" t="s">
        <v>26</v>
      </c>
      <c r="O4" t="s">
        <v>27</v>
      </c>
      <c r="P4" t="s">
        <v>27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  <c r="X4" t="s">
        <v>27</v>
      </c>
      <c r="Y4" t="s">
        <v>27</v>
      </c>
      <c r="Z4" t="s">
        <v>27</v>
      </c>
      <c r="AA4">
        <v>10</v>
      </c>
      <c r="AB4">
        <v>30</v>
      </c>
      <c r="AC4">
        <v>30</v>
      </c>
      <c r="AD4">
        <v>30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95</v>
      </c>
      <c r="AL4">
        <v>5</v>
      </c>
      <c r="AM4">
        <v>0</v>
      </c>
      <c r="AN4" t="s">
        <v>27</v>
      </c>
      <c r="AO4" t="s">
        <v>27</v>
      </c>
      <c r="AP4">
        <v>0</v>
      </c>
    </row>
    <row r="5" spans="1:42" x14ac:dyDescent="0.4">
      <c r="A5">
        <f>ROW()-2+100</f>
        <v>103</v>
      </c>
      <c r="B5" t="s">
        <v>275</v>
      </c>
      <c r="C5" t="s">
        <v>165</v>
      </c>
      <c r="D5" t="s">
        <v>278</v>
      </c>
      <c r="E5" t="s">
        <v>142</v>
      </c>
      <c r="F5">
        <v>20</v>
      </c>
      <c r="G5">
        <v>0</v>
      </c>
      <c r="H5">
        <v>0</v>
      </c>
      <c r="I5">
        <v>0</v>
      </c>
      <c r="J5">
        <v>9999</v>
      </c>
      <c r="K5">
        <v>0</v>
      </c>
      <c r="L5">
        <v>10</v>
      </c>
      <c r="M5">
        <v>0</v>
      </c>
      <c r="N5" t="s">
        <v>26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  <c r="Y5" t="s">
        <v>27</v>
      </c>
      <c r="Z5" t="s">
        <v>27</v>
      </c>
      <c r="AA5">
        <v>10</v>
      </c>
      <c r="AB5">
        <v>30</v>
      </c>
      <c r="AC5">
        <v>30</v>
      </c>
      <c r="AD5">
        <v>30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95</v>
      </c>
      <c r="AL5">
        <v>5</v>
      </c>
      <c r="AM5">
        <v>0</v>
      </c>
      <c r="AN5" t="s">
        <v>27</v>
      </c>
      <c r="AO5" t="s">
        <v>27</v>
      </c>
      <c r="AP5">
        <v>0</v>
      </c>
    </row>
    <row r="6" spans="1:42" x14ac:dyDescent="0.4">
      <c r="A6">
        <f t="shared" ref="A6:A9" si="0">ROW()-2+100</f>
        <v>104</v>
      </c>
      <c r="B6" t="s">
        <v>40</v>
      </c>
      <c r="C6" t="s">
        <v>156</v>
      </c>
      <c r="D6" t="s">
        <v>174</v>
      </c>
      <c r="E6" t="s">
        <v>142</v>
      </c>
      <c r="F6">
        <v>20</v>
      </c>
      <c r="G6">
        <v>0</v>
      </c>
      <c r="H6">
        <v>0</v>
      </c>
      <c r="I6">
        <v>0</v>
      </c>
      <c r="J6">
        <v>9999</v>
      </c>
      <c r="K6">
        <v>0</v>
      </c>
      <c r="L6">
        <v>10</v>
      </c>
      <c r="M6">
        <v>0</v>
      </c>
      <c r="N6" t="s">
        <v>26</v>
      </c>
      <c r="O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  <c r="Z6" t="s">
        <v>27</v>
      </c>
      <c r="AA6">
        <v>10</v>
      </c>
      <c r="AB6">
        <v>30</v>
      </c>
      <c r="AC6">
        <v>30</v>
      </c>
      <c r="AD6">
        <v>30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95</v>
      </c>
      <c r="AL6">
        <v>5</v>
      </c>
      <c r="AM6">
        <v>0</v>
      </c>
      <c r="AN6" t="s">
        <v>27</v>
      </c>
      <c r="AO6" t="s">
        <v>27</v>
      </c>
      <c r="AP6">
        <v>0</v>
      </c>
    </row>
    <row r="7" spans="1:42" x14ac:dyDescent="0.4">
      <c r="A7">
        <f t="shared" si="0"/>
        <v>105</v>
      </c>
      <c r="B7" t="s">
        <v>40</v>
      </c>
      <c r="C7" t="s">
        <v>168</v>
      </c>
      <c r="D7" t="s">
        <v>171</v>
      </c>
      <c r="E7" t="s">
        <v>142</v>
      </c>
      <c r="F7">
        <v>20</v>
      </c>
      <c r="G7">
        <v>0</v>
      </c>
      <c r="H7">
        <v>0</v>
      </c>
      <c r="I7">
        <v>0</v>
      </c>
      <c r="J7">
        <v>9999</v>
      </c>
      <c r="K7">
        <v>0</v>
      </c>
      <c r="L7">
        <v>10</v>
      </c>
      <c r="M7">
        <v>0</v>
      </c>
      <c r="N7" t="s">
        <v>26</v>
      </c>
      <c r="O7" t="s">
        <v>27</v>
      </c>
      <c r="P7" t="s">
        <v>27</v>
      </c>
      <c r="Q7" t="s">
        <v>27</v>
      </c>
      <c r="R7" t="s">
        <v>27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  <c r="Y7" t="s">
        <v>27</v>
      </c>
      <c r="Z7" t="s">
        <v>27</v>
      </c>
      <c r="AA7">
        <v>10</v>
      </c>
      <c r="AB7">
        <v>30</v>
      </c>
      <c r="AC7">
        <v>30</v>
      </c>
      <c r="AD7">
        <v>30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95</v>
      </c>
      <c r="AL7">
        <v>5</v>
      </c>
      <c r="AM7">
        <v>0</v>
      </c>
      <c r="AN7" t="s">
        <v>27</v>
      </c>
      <c r="AO7" t="s">
        <v>27</v>
      </c>
      <c r="AP7">
        <v>0</v>
      </c>
    </row>
    <row r="8" spans="1:42" x14ac:dyDescent="0.4">
      <c r="A8">
        <f t="shared" si="0"/>
        <v>106</v>
      </c>
      <c r="B8" t="s">
        <v>268</v>
      </c>
      <c r="C8" t="s">
        <v>169</v>
      </c>
      <c r="D8" t="s">
        <v>281</v>
      </c>
      <c r="E8" t="s">
        <v>142</v>
      </c>
      <c r="F8">
        <v>20</v>
      </c>
      <c r="G8">
        <v>0</v>
      </c>
      <c r="H8">
        <v>0</v>
      </c>
      <c r="I8">
        <v>0</v>
      </c>
      <c r="J8">
        <v>9999</v>
      </c>
      <c r="K8">
        <v>0</v>
      </c>
      <c r="L8">
        <v>10</v>
      </c>
      <c r="M8">
        <v>0</v>
      </c>
      <c r="N8" t="s">
        <v>26</v>
      </c>
      <c r="O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27</v>
      </c>
      <c r="U8" t="s">
        <v>27</v>
      </c>
      <c r="V8" t="s">
        <v>27</v>
      </c>
      <c r="W8" t="s">
        <v>27</v>
      </c>
      <c r="X8" t="s">
        <v>27</v>
      </c>
      <c r="Y8" t="s">
        <v>27</v>
      </c>
      <c r="Z8" t="s">
        <v>27</v>
      </c>
      <c r="AA8">
        <v>10</v>
      </c>
      <c r="AB8">
        <v>30</v>
      </c>
      <c r="AC8">
        <v>30</v>
      </c>
      <c r="AD8">
        <v>30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95</v>
      </c>
      <c r="AL8">
        <v>5</v>
      </c>
      <c r="AM8">
        <v>0</v>
      </c>
      <c r="AN8" t="s">
        <v>27</v>
      </c>
      <c r="AO8" t="s">
        <v>27</v>
      </c>
      <c r="AP8">
        <v>0</v>
      </c>
    </row>
    <row r="9" spans="1:42" x14ac:dyDescent="0.4">
      <c r="A9">
        <f t="shared" si="0"/>
        <v>107</v>
      </c>
      <c r="B9" t="s">
        <v>40</v>
      </c>
      <c r="C9" t="s">
        <v>170</v>
      </c>
      <c r="D9" t="s">
        <v>172</v>
      </c>
      <c r="E9" t="s">
        <v>142</v>
      </c>
      <c r="F9">
        <v>20</v>
      </c>
      <c r="G9">
        <v>0</v>
      </c>
      <c r="H9">
        <v>0</v>
      </c>
      <c r="I9">
        <v>0</v>
      </c>
      <c r="J9">
        <v>9999</v>
      </c>
      <c r="K9">
        <v>0</v>
      </c>
      <c r="L9">
        <v>10</v>
      </c>
      <c r="M9">
        <v>0</v>
      </c>
      <c r="N9" t="s">
        <v>26</v>
      </c>
      <c r="O9" t="s">
        <v>27</v>
      </c>
      <c r="P9" t="s">
        <v>27</v>
      </c>
      <c r="Q9" t="s">
        <v>27</v>
      </c>
      <c r="R9" t="s">
        <v>27</v>
      </c>
      <c r="S9" t="s">
        <v>27</v>
      </c>
      <c r="T9" t="s">
        <v>27</v>
      </c>
      <c r="U9" t="s">
        <v>27</v>
      </c>
      <c r="V9" t="s">
        <v>27</v>
      </c>
      <c r="W9" t="s">
        <v>27</v>
      </c>
      <c r="X9" t="s">
        <v>27</v>
      </c>
      <c r="Y9" t="s">
        <v>27</v>
      </c>
      <c r="Z9" t="s">
        <v>27</v>
      </c>
      <c r="AA9">
        <v>10</v>
      </c>
      <c r="AB9">
        <v>30</v>
      </c>
      <c r="AC9">
        <v>30</v>
      </c>
      <c r="AD9">
        <v>30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95</v>
      </c>
      <c r="AL9">
        <v>5</v>
      </c>
      <c r="AM9">
        <v>0</v>
      </c>
      <c r="AN9" t="s">
        <v>27</v>
      </c>
      <c r="AO9" t="s">
        <v>27</v>
      </c>
      <c r="AP9">
        <v>0</v>
      </c>
    </row>
    <row r="10" spans="1:42" x14ac:dyDescent="0.4">
      <c r="A10">
        <f t="shared" ref="A10:A40" si="1">ROW()-2+100</f>
        <v>108</v>
      </c>
      <c r="B10" t="s">
        <v>253</v>
      </c>
      <c r="C10" t="s">
        <v>193</v>
      </c>
      <c r="D10" t="s">
        <v>282</v>
      </c>
      <c r="E10" t="s">
        <v>142</v>
      </c>
      <c r="F10">
        <v>20</v>
      </c>
      <c r="G10">
        <v>0</v>
      </c>
      <c r="H10">
        <v>0</v>
      </c>
      <c r="I10">
        <v>0</v>
      </c>
      <c r="J10">
        <v>9999</v>
      </c>
      <c r="K10">
        <v>0</v>
      </c>
      <c r="L10">
        <v>10</v>
      </c>
      <c r="M10">
        <v>0</v>
      </c>
      <c r="N10" t="s">
        <v>26</v>
      </c>
      <c r="O10" t="s">
        <v>27</v>
      </c>
      <c r="P10" t="s">
        <v>27</v>
      </c>
      <c r="Q10" t="s">
        <v>27</v>
      </c>
      <c r="R10" t="s">
        <v>27</v>
      </c>
      <c r="S10" t="s">
        <v>27</v>
      </c>
      <c r="T10" t="s">
        <v>27</v>
      </c>
      <c r="U10" t="s">
        <v>27</v>
      </c>
      <c r="V10" t="s">
        <v>27</v>
      </c>
      <c r="W10" t="s">
        <v>27</v>
      </c>
      <c r="X10" t="s">
        <v>27</v>
      </c>
      <c r="Y10" t="s">
        <v>27</v>
      </c>
      <c r="Z10" t="s">
        <v>27</v>
      </c>
      <c r="AA10">
        <v>60</v>
      </c>
      <c r="AB10">
        <v>25</v>
      </c>
      <c r="AC10">
        <v>12</v>
      </c>
      <c r="AD10">
        <v>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95</v>
      </c>
      <c r="AL10">
        <v>5</v>
      </c>
      <c r="AM10">
        <v>0</v>
      </c>
      <c r="AN10" t="s">
        <v>27</v>
      </c>
      <c r="AO10" t="s">
        <v>27</v>
      </c>
      <c r="AP10">
        <v>0</v>
      </c>
    </row>
    <row r="11" spans="1:42" x14ac:dyDescent="0.4">
      <c r="A11">
        <f t="shared" si="1"/>
        <v>109</v>
      </c>
      <c r="B11" t="s">
        <v>95</v>
      </c>
      <c r="C11" t="s">
        <v>280</v>
      </c>
      <c r="D11" t="s">
        <v>140</v>
      </c>
      <c r="E11" t="s">
        <v>142</v>
      </c>
      <c r="F11">
        <v>30</v>
      </c>
      <c r="G11">
        <v>0</v>
      </c>
      <c r="H11">
        <v>0</v>
      </c>
      <c r="I11">
        <v>0</v>
      </c>
      <c r="J11">
        <v>9999</v>
      </c>
      <c r="K11">
        <v>0</v>
      </c>
      <c r="L11">
        <v>10</v>
      </c>
      <c r="M11">
        <v>0</v>
      </c>
      <c r="N11" t="s">
        <v>26</v>
      </c>
      <c r="O11" t="s">
        <v>27</v>
      </c>
      <c r="P11" t="s">
        <v>27</v>
      </c>
      <c r="Q11" t="s">
        <v>27</v>
      </c>
      <c r="R11" t="s">
        <v>27</v>
      </c>
      <c r="S11" t="s">
        <v>27</v>
      </c>
      <c r="T11" t="s">
        <v>27</v>
      </c>
      <c r="U11" t="s">
        <v>27</v>
      </c>
      <c r="V11" t="s">
        <v>27</v>
      </c>
      <c r="W11" t="s">
        <v>27</v>
      </c>
      <c r="X11" t="s">
        <v>27</v>
      </c>
      <c r="Y11" t="s">
        <v>27</v>
      </c>
      <c r="Z11" t="s">
        <v>27</v>
      </c>
      <c r="AA11">
        <v>10</v>
      </c>
      <c r="AB11">
        <v>30</v>
      </c>
      <c r="AC11">
        <v>30</v>
      </c>
      <c r="AD11">
        <v>30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95</v>
      </c>
      <c r="AL11">
        <v>5</v>
      </c>
      <c r="AM11">
        <v>0</v>
      </c>
      <c r="AN11" t="s">
        <v>27</v>
      </c>
      <c r="AO11" t="s">
        <v>27</v>
      </c>
      <c r="AP11">
        <v>0</v>
      </c>
    </row>
    <row r="12" spans="1:42" x14ac:dyDescent="0.4">
      <c r="A12">
        <f t="shared" si="1"/>
        <v>110</v>
      </c>
      <c r="B12" t="s">
        <v>210</v>
      </c>
      <c r="C12" t="s">
        <v>173</v>
      </c>
      <c r="D12" t="s">
        <v>157</v>
      </c>
      <c r="E12" t="s">
        <v>142</v>
      </c>
      <c r="F12">
        <v>20</v>
      </c>
      <c r="G12">
        <v>0</v>
      </c>
      <c r="H12">
        <v>0</v>
      </c>
      <c r="I12">
        <v>0</v>
      </c>
      <c r="J12">
        <v>0</v>
      </c>
      <c r="K12">
        <v>0</v>
      </c>
      <c r="L12">
        <v>10</v>
      </c>
      <c r="M12">
        <v>0</v>
      </c>
      <c r="N12" t="s">
        <v>26</v>
      </c>
      <c r="O12" t="s">
        <v>27</v>
      </c>
      <c r="P12" t="s">
        <v>27</v>
      </c>
      <c r="Q12" t="s">
        <v>27</v>
      </c>
      <c r="R12" t="s">
        <v>27</v>
      </c>
      <c r="S12" t="s">
        <v>27</v>
      </c>
      <c r="T12" t="s">
        <v>27</v>
      </c>
      <c r="U12" t="s">
        <v>27</v>
      </c>
      <c r="V12" t="s">
        <v>27</v>
      </c>
      <c r="W12" t="s">
        <v>27</v>
      </c>
      <c r="X12" t="s">
        <v>27</v>
      </c>
      <c r="Y12" t="s">
        <v>27</v>
      </c>
      <c r="Z12" t="s">
        <v>27</v>
      </c>
      <c r="AA12">
        <v>60</v>
      </c>
      <c r="AB12">
        <v>25</v>
      </c>
      <c r="AC12">
        <v>12</v>
      </c>
      <c r="AD12">
        <v>3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95</v>
      </c>
      <c r="AL12">
        <v>5</v>
      </c>
      <c r="AM12">
        <v>0</v>
      </c>
      <c r="AN12" t="s">
        <v>84</v>
      </c>
      <c r="AO12" t="s">
        <v>186</v>
      </c>
      <c r="AP12">
        <v>0</v>
      </c>
    </row>
    <row r="13" spans="1:42" x14ac:dyDescent="0.4">
      <c r="A13">
        <f t="shared" si="1"/>
        <v>111</v>
      </c>
      <c r="B13" t="s">
        <v>269</v>
      </c>
      <c r="C13" t="s">
        <v>175</v>
      </c>
      <c r="D13" t="s">
        <v>178</v>
      </c>
      <c r="E13" t="s">
        <v>142</v>
      </c>
      <c r="F13">
        <v>50</v>
      </c>
      <c r="G13">
        <v>0</v>
      </c>
      <c r="H13">
        <v>0</v>
      </c>
      <c r="I13">
        <v>0</v>
      </c>
      <c r="J13">
        <v>0</v>
      </c>
      <c r="K13">
        <v>0</v>
      </c>
      <c r="L13">
        <v>10</v>
      </c>
      <c r="M13">
        <v>0</v>
      </c>
      <c r="N13" t="s">
        <v>26</v>
      </c>
      <c r="O13" t="s">
        <v>27</v>
      </c>
      <c r="P13" t="s">
        <v>27</v>
      </c>
      <c r="Q13" t="s">
        <v>27</v>
      </c>
      <c r="R13" t="s">
        <v>27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  <c r="X13" t="s">
        <v>27</v>
      </c>
      <c r="Y13" t="s">
        <v>27</v>
      </c>
      <c r="Z13" t="s">
        <v>27</v>
      </c>
      <c r="AA13">
        <v>60</v>
      </c>
      <c r="AB13">
        <v>25</v>
      </c>
      <c r="AC13">
        <v>12</v>
      </c>
      <c r="AD13">
        <v>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95</v>
      </c>
      <c r="AL13">
        <v>5</v>
      </c>
      <c r="AM13">
        <v>0</v>
      </c>
      <c r="AN13" t="s">
        <v>84</v>
      </c>
      <c r="AO13" t="s">
        <v>186</v>
      </c>
      <c r="AP13">
        <v>0</v>
      </c>
    </row>
    <row r="14" spans="1:42" x14ac:dyDescent="0.4">
      <c r="A14">
        <f t="shared" si="1"/>
        <v>112</v>
      </c>
      <c r="B14" t="s">
        <v>270</v>
      </c>
      <c r="C14" t="s">
        <v>176</v>
      </c>
      <c r="D14" t="s">
        <v>179</v>
      </c>
      <c r="E14" t="s">
        <v>142</v>
      </c>
      <c r="F14">
        <v>30</v>
      </c>
      <c r="G14">
        <v>0</v>
      </c>
      <c r="H14">
        <v>0</v>
      </c>
      <c r="I14">
        <v>0</v>
      </c>
      <c r="J14">
        <v>0</v>
      </c>
      <c r="K14">
        <v>0</v>
      </c>
      <c r="L14">
        <v>10</v>
      </c>
      <c r="M14">
        <v>0</v>
      </c>
      <c r="N14" t="s">
        <v>26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  <c r="X14" t="s">
        <v>27</v>
      </c>
      <c r="Y14" t="s">
        <v>27</v>
      </c>
      <c r="Z14" t="s">
        <v>27</v>
      </c>
      <c r="AA14">
        <v>60</v>
      </c>
      <c r="AB14">
        <v>25</v>
      </c>
      <c r="AC14">
        <v>12</v>
      </c>
      <c r="AD14">
        <v>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95</v>
      </c>
      <c r="AL14">
        <v>5</v>
      </c>
      <c r="AM14">
        <v>0</v>
      </c>
      <c r="AN14" t="s">
        <v>84</v>
      </c>
      <c r="AO14" t="s">
        <v>186</v>
      </c>
      <c r="AP14">
        <v>0</v>
      </c>
    </row>
    <row r="15" spans="1:42" x14ac:dyDescent="0.4">
      <c r="A15">
        <f t="shared" si="1"/>
        <v>113</v>
      </c>
      <c r="B15" t="s">
        <v>271</v>
      </c>
      <c r="C15" t="s">
        <v>177</v>
      </c>
      <c r="D15" t="s">
        <v>180</v>
      </c>
      <c r="E15" t="s">
        <v>142</v>
      </c>
      <c r="F15">
        <v>40</v>
      </c>
      <c r="G15">
        <v>0</v>
      </c>
      <c r="H15">
        <v>0</v>
      </c>
      <c r="I15">
        <v>0</v>
      </c>
      <c r="J15">
        <v>0</v>
      </c>
      <c r="K15">
        <v>0</v>
      </c>
      <c r="L15">
        <v>10</v>
      </c>
      <c r="M15">
        <v>0</v>
      </c>
      <c r="N15" t="s">
        <v>26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  <c r="X15" t="s">
        <v>27</v>
      </c>
      <c r="Y15" t="s">
        <v>27</v>
      </c>
      <c r="Z15" t="s">
        <v>27</v>
      </c>
      <c r="AA15">
        <v>60</v>
      </c>
      <c r="AB15">
        <v>25</v>
      </c>
      <c r="AC15">
        <v>12</v>
      </c>
      <c r="AD15">
        <v>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95</v>
      </c>
      <c r="AL15">
        <v>5</v>
      </c>
      <c r="AM15">
        <v>0</v>
      </c>
      <c r="AN15" t="s">
        <v>84</v>
      </c>
      <c r="AO15" t="s">
        <v>186</v>
      </c>
      <c r="AP15">
        <v>0</v>
      </c>
    </row>
    <row r="16" spans="1:42" x14ac:dyDescent="0.4">
      <c r="A16">
        <f t="shared" si="1"/>
        <v>114</v>
      </c>
      <c r="B16" t="s">
        <v>122</v>
      </c>
      <c r="C16" t="s">
        <v>150</v>
      </c>
      <c r="D16" t="s">
        <v>149</v>
      </c>
      <c r="E16" t="s">
        <v>142</v>
      </c>
      <c r="F16">
        <v>10</v>
      </c>
      <c r="G16">
        <v>0</v>
      </c>
      <c r="H16">
        <v>0</v>
      </c>
      <c r="I16">
        <v>0</v>
      </c>
      <c r="J16">
        <v>9999</v>
      </c>
      <c r="K16">
        <v>0</v>
      </c>
      <c r="L16">
        <v>10</v>
      </c>
      <c r="M16">
        <v>0</v>
      </c>
      <c r="N16" t="s">
        <v>26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  <c r="X16" t="s">
        <v>27</v>
      </c>
      <c r="Y16" t="s">
        <v>27</v>
      </c>
      <c r="Z16" t="s">
        <v>27</v>
      </c>
      <c r="AA16">
        <v>10</v>
      </c>
      <c r="AB16">
        <v>30</v>
      </c>
      <c r="AC16">
        <v>30</v>
      </c>
      <c r="AD16">
        <v>30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95</v>
      </c>
      <c r="AL16">
        <v>5</v>
      </c>
      <c r="AM16">
        <v>0</v>
      </c>
      <c r="AN16" t="s">
        <v>27</v>
      </c>
      <c r="AO16" t="s">
        <v>27</v>
      </c>
      <c r="AP16">
        <v>0</v>
      </c>
    </row>
    <row r="17" spans="1:42" x14ac:dyDescent="0.4">
      <c r="A17">
        <f t="shared" si="1"/>
        <v>115</v>
      </c>
      <c r="B17" t="s">
        <v>293</v>
      </c>
      <c r="C17" t="s">
        <v>290</v>
      </c>
      <c r="D17" t="s">
        <v>291</v>
      </c>
      <c r="E17" t="s">
        <v>142</v>
      </c>
      <c r="F17">
        <v>10</v>
      </c>
      <c r="G17">
        <v>0</v>
      </c>
      <c r="H17">
        <v>0</v>
      </c>
      <c r="I17">
        <v>0</v>
      </c>
      <c r="J17">
        <v>9999</v>
      </c>
      <c r="K17">
        <v>0</v>
      </c>
      <c r="L17">
        <v>10</v>
      </c>
      <c r="M17">
        <v>0</v>
      </c>
      <c r="N17" t="s">
        <v>26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  <c r="X17" t="s">
        <v>27</v>
      </c>
      <c r="Y17" t="s">
        <v>27</v>
      </c>
      <c r="Z17" t="s">
        <v>27</v>
      </c>
      <c r="AA17">
        <v>10</v>
      </c>
      <c r="AB17">
        <v>30</v>
      </c>
      <c r="AC17">
        <v>30</v>
      </c>
      <c r="AD17">
        <v>30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95</v>
      </c>
      <c r="AL17">
        <v>5</v>
      </c>
      <c r="AM17">
        <v>0</v>
      </c>
      <c r="AN17" t="s">
        <v>27</v>
      </c>
      <c r="AO17" t="s">
        <v>27</v>
      </c>
      <c r="AP17">
        <v>0</v>
      </c>
    </row>
    <row r="18" spans="1:42" x14ac:dyDescent="0.4">
      <c r="A18">
        <f t="shared" si="1"/>
        <v>116</v>
      </c>
      <c r="B18" t="s">
        <v>286</v>
      </c>
      <c r="C18" t="s">
        <v>238</v>
      </c>
      <c r="D18" t="s">
        <v>292</v>
      </c>
      <c r="E18" t="s">
        <v>142</v>
      </c>
      <c r="F18">
        <v>10</v>
      </c>
      <c r="G18">
        <v>0</v>
      </c>
      <c r="H18">
        <v>0</v>
      </c>
      <c r="I18">
        <v>0</v>
      </c>
      <c r="J18">
        <v>9999</v>
      </c>
      <c r="K18">
        <v>0</v>
      </c>
      <c r="L18">
        <v>10</v>
      </c>
      <c r="M18">
        <v>0</v>
      </c>
      <c r="N18" t="s">
        <v>26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  <c r="X18" t="s">
        <v>27</v>
      </c>
      <c r="Y18" t="s">
        <v>27</v>
      </c>
      <c r="Z18" t="s">
        <v>27</v>
      </c>
      <c r="AA18">
        <v>60</v>
      </c>
      <c r="AB18">
        <v>25</v>
      </c>
      <c r="AC18">
        <v>12</v>
      </c>
      <c r="AD18">
        <v>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95</v>
      </c>
      <c r="AL18">
        <v>5</v>
      </c>
      <c r="AM18">
        <v>0</v>
      </c>
      <c r="AN18" t="s">
        <v>84</v>
      </c>
      <c r="AO18" t="s">
        <v>186</v>
      </c>
      <c r="AP18">
        <v>0</v>
      </c>
    </row>
    <row r="19" spans="1:42" x14ac:dyDescent="0.4">
      <c r="A19">
        <f t="shared" si="1"/>
        <v>117</v>
      </c>
      <c r="B19" t="s">
        <v>251</v>
      </c>
      <c r="C19" t="s">
        <v>242</v>
      </c>
      <c r="D19" t="s">
        <v>239</v>
      </c>
      <c r="E19" t="s">
        <v>142</v>
      </c>
      <c r="F19">
        <v>10</v>
      </c>
      <c r="G19">
        <v>0</v>
      </c>
      <c r="H19">
        <v>0</v>
      </c>
      <c r="I19">
        <v>0</v>
      </c>
      <c r="J19">
        <v>9999</v>
      </c>
      <c r="K19">
        <v>0</v>
      </c>
      <c r="L19">
        <v>10</v>
      </c>
      <c r="M19">
        <v>0</v>
      </c>
      <c r="N19" t="s">
        <v>26</v>
      </c>
      <c r="O19" t="s">
        <v>27</v>
      </c>
      <c r="P19" t="s">
        <v>27</v>
      </c>
      <c r="Q19" t="s">
        <v>27</v>
      </c>
      <c r="R19" t="s">
        <v>27</v>
      </c>
      <c r="S19" t="s">
        <v>27</v>
      </c>
      <c r="T19" t="s">
        <v>27</v>
      </c>
      <c r="U19" t="s">
        <v>27</v>
      </c>
      <c r="V19" t="s">
        <v>27</v>
      </c>
      <c r="W19" t="s">
        <v>27</v>
      </c>
      <c r="X19" t="s">
        <v>27</v>
      </c>
      <c r="Y19" t="s">
        <v>27</v>
      </c>
      <c r="Z19" t="s">
        <v>27</v>
      </c>
      <c r="AA19">
        <v>60</v>
      </c>
      <c r="AB19">
        <v>25</v>
      </c>
      <c r="AC19">
        <v>12</v>
      </c>
      <c r="AD19">
        <v>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95</v>
      </c>
      <c r="AL19">
        <v>5</v>
      </c>
      <c r="AM19">
        <v>0</v>
      </c>
      <c r="AN19" t="s">
        <v>84</v>
      </c>
      <c r="AO19" t="s">
        <v>186</v>
      </c>
      <c r="AP19">
        <v>0</v>
      </c>
    </row>
    <row r="20" spans="1:42" x14ac:dyDescent="0.4">
      <c r="A20">
        <f t="shared" si="1"/>
        <v>118</v>
      </c>
      <c r="B20" t="s">
        <v>297</v>
      </c>
      <c r="C20" t="s">
        <v>288</v>
      </c>
      <c r="D20" t="s">
        <v>289</v>
      </c>
      <c r="E20" t="s">
        <v>142</v>
      </c>
      <c r="F20">
        <v>10</v>
      </c>
      <c r="G20">
        <v>0</v>
      </c>
      <c r="H20">
        <v>0</v>
      </c>
      <c r="I20">
        <v>0</v>
      </c>
      <c r="J20">
        <v>9999</v>
      </c>
      <c r="K20">
        <v>0</v>
      </c>
      <c r="L20">
        <v>10</v>
      </c>
      <c r="M20">
        <v>0</v>
      </c>
      <c r="N20" t="s">
        <v>26</v>
      </c>
      <c r="O20" t="s">
        <v>27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  <c r="W20" t="s">
        <v>27</v>
      </c>
      <c r="X20" t="s">
        <v>27</v>
      </c>
      <c r="Y20" t="s">
        <v>27</v>
      </c>
      <c r="Z20" t="s">
        <v>27</v>
      </c>
      <c r="AA20">
        <v>60</v>
      </c>
      <c r="AB20">
        <v>25</v>
      </c>
      <c r="AC20">
        <v>12</v>
      </c>
      <c r="AD20">
        <v>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95</v>
      </c>
      <c r="AL20">
        <v>5</v>
      </c>
      <c r="AM20">
        <v>0</v>
      </c>
      <c r="AN20" t="s">
        <v>84</v>
      </c>
      <c r="AO20" t="s">
        <v>186</v>
      </c>
      <c r="AP20">
        <v>0</v>
      </c>
    </row>
    <row r="21" spans="1:42" x14ac:dyDescent="0.4">
      <c r="A21">
        <f t="shared" si="1"/>
        <v>119</v>
      </c>
      <c r="B21" t="s">
        <v>285</v>
      </c>
      <c r="C21" t="s">
        <v>243</v>
      </c>
      <c r="D21" t="s">
        <v>240</v>
      </c>
      <c r="E21" t="s">
        <v>142</v>
      </c>
      <c r="F21">
        <v>10</v>
      </c>
      <c r="G21">
        <v>0</v>
      </c>
      <c r="H21">
        <v>0</v>
      </c>
      <c r="I21">
        <v>0</v>
      </c>
      <c r="J21">
        <v>9999</v>
      </c>
      <c r="K21">
        <v>0</v>
      </c>
      <c r="L21">
        <v>10</v>
      </c>
      <c r="M21">
        <v>0</v>
      </c>
      <c r="N21" t="s">
        <v>26</v>
      </c>
      <c r="O21" t="s">
        <v>27</v>
      </c>
      <c r="P21" t="s">
        <v>27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  <c r="V21" t="s">
        <v>27</v>
      </c>
      <c r="W21" t="s">
        <v>27</v>
      </c>
      <c r="X21" t="s">
        <v>27</v>
      </c>
      <c r="Y21" t="s">
        <v>27</v>
      </c>
      <c r="Z21" t="s">
        <v>27</v>
      </c>
      <c r="AA21">
        <v>60</v>
      </c>
      <c r="AB21">
        <v>25</v>
      </c>
      <c r="AC21">
        <v>12</v>
      </c>
      <c r="AD21">
        <v>3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95</v>
      </c>
      <c r="AL21">
        <v>5</v>
      </c>
      <c r="AM21">
        <v>0</v>
      </c>
      <c r="AN21" t="s">
        <v>84</v>
      </c>
      <c r="AO21" t="s">
        <v>186</v>
      </c>
      <c r="AP21">
        <v>0</v>
      </c>
    </row>
    <row r="22" spans="1:42" x14ac:dyDescent="0.4">
      <c r="A22">
        <f t="shared" si="1"/>
        <v>120</v>
      </c>
      <c r="B22" t="s">
        <v>252</v>
      </c>
      <c r="C22" t="s">
        <v>244</v>
      </c>
      <c r="D22" t="s">
        <v>241</v>
      </c>
      <c r="E22" t="s">
        <v>142</v>
      </c>
      <c r="F22">
        <v>10</v>
      </c>
      <c r="G22">
        <v>0</v>
      </c>
      <c r="H22">
        <v>0</v>
      </c>
      <c r="I22">
        <v>0</v>
      </c>
      <c r="J22">
        <v>9999</v>
      </c>
      <c r="K22">
        <v>0</v>
      </c>
      <c r="L22">
        <v>10</v>
      </c>
      <c r="M22">
        <v>0</v>
      </c>
      <c r="N22" t="s">
        <v>26</v>
      </c>
      <c r="O22" t="s">
        <v>27</v>
      </c>
      <c r="P22" t="s">
        <v>27</v>
      </c>
      <c r="Q22" t="s">
        <v>27</v>
      </c>
      <c r="R22" t="s">
        <v>27</v>
      </c>
      <c r="S22" t="s">
        <v>27</v>
      </c>
      <c r="T22" t="s">
        <v>27</v>
      </c>
      <c r="U22" t="s">
        <v>27</v>
      </c>
      <c r="V22" t="s">
        <v>27</v>
      </c>
      <c r="W22" t="s">
        <v>27</v>
      </c>
      <c r="X22" t="s">
        <v>27</v>
      </c>
      <c r="Y22" t="s">
        <v>27</v>
      </c>
      <c r="Z22" t="s">
        <v>27</v>
      </c>
      <c r="AA22">
        <v>60</v>
      </c>
      <c r="AB22">
        <v>25</v>
      </c>
      <c r="AC22">
        <v>12</v>
      </c>
      <c r="AD22">
        <v>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95</v>
      </c>
      <c r="AL22">
        <v>5</v>
      </c>
      <c r="AM22">
        <v>0</v>
      </c>
      <c r="AN22" t="s">
        <v>84</v>
      </c>
      <c r="AO22" t="s">
        <v>186</v>
      </c>
      <c r="AP22">
        <v>0</v>
      </c>
    </row>
    <row r="23" spans="1:42" x14ac:dyDescent="0.4">
      <c r="A23">
        <f t="shared" si="1"/>
        <v>121</v>
      </c>
      <c r="B23" t="s">
        <v>298</v>
      </c>
      <c r="C23" t="s">
        <v>294</v>
      </c>
      <c r="D23" t="s">
        <v>295</v>
      </c>
      <c r="E23" t="s">
        <v>142</v>
      </c>
      <c r="F23">
        <v>10</v>
      </c>
      <c r="G23">
        <v>0</v>
      </c>
      <c r="H23">
        <v>0</v>
      </c>
      <c r="I23">
        <v>0</v>
      </c>
      <c r="J23">
        <v>9999</v>
      </c>
      <c r="K23">
        <v>0</v>
      </c>
      <c r="L23">
        <v>10</v>
      </c>
      <c r="M23">
        <v>0</v>
      </c>
      <c r="N23" t="s">
        <v>26</v>
      </c>
      <c r="O23" t="s">
        <v>27</v>
      </c>
      <c r="P23" t="s">
        <v>27</v>
      </c>
      <c r="Q23" t="s">
        <v>27</v>
      </c>
      <c r="R23" t="s">
        <v>27</v>
      </c>
      <c r="S23" t="s">
        <v>27</v>
      </c>
      <c r="T23" t="s">
        <v>27</v>
      </c>
      <c r="U23" t="s">
        <v>27</v>
      </c>
      <c r="V23" t="s">
        <v>27</v>
      </c>
      <c r="W23" t="s">
        <v>27</v>
      </c>
      <c r="X23" t="s">
        <v>27</v>
      </c>
      <c r="Y23" t="s">
        <v>27</v>
      </c>
      <c r="Z23" t="s">
        <v>27</v>
      </c>
      <c r="AA23">
        <v>10</v>
      </c>
      <c r="AB23">
        <v>30</v>
      </c>
      <c r="AC23">
        <v>30</v>
      </c>
      <c r="AD23">
        <v>30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95</v>
      </c>
      <c r="AL23">
        <v>5</v>
      </c>
      <c r="AM23">
        <v>0</v>
      </c>
      <c r="AN23" t="s">
        <v>27</v>
      </c>
      <c r="AO23" t="s">
        <v>27</v>
      </c>
      <c r="AP23">
        <v>0</v>
      </c>
    </row>
    <row r="24" spans="1:42" x14ac:dyDescent="0.4">
      <c r="A24">
        <f t="shared" si="1"/>
        <v>122</v>
      </c>
      <c r="B24" t="s">
        <v>272</v>
      </c>
      <c r="C24" t="s">
        <v>246</v>
      </c>
      <c r="D24" t="s">
        <v>245</v>
      </c>
      <c r="E24" t="s">
        <v>142</v>
      </c>
      <c r="F24">
        <v>20</v>
      </c>
      <c r="G24">
        <v>0</v>
      </c>
      <c r="H24">
        <v>0</v>
      </c>
      <c r="I24">
        <v>0</v>
      </c>
      <c r="J24">
        <v>9999</v>
      </c>
      <c r="K24">
        <v>0</v>
      </c>
      <c r="L24">
        <v>10</v>
      </c>
      <c r="M24">
        <v>0</v>
      </c>
      <c r="N24" t="s">
        <v>26</v>
      </c>
      <c r="O24" t="s">
        <v>27</v>
      </c>
      <c r="P24" t="s">
        <v>27</v>
      </c>
      <c r="Q24" t="s">
        <v>27</v>
      </c>
      <c r="R24" t="s">
        <v>27</v>
      </c>
      <c r="S24" t="s">
        <v>27</v>
      </c>
      <c r="T24" t="s">
        <v>27</v>
      </c>
      <c r="U24" t="s">
        <v>27</v>
      </c>
      <c r="V24" t="s">
        <v>27</v>
      </c>
      <c r="W24" t="s">
        <v>27</v>
      </c>
      <c r="X24" t="s">
        <v>27</v>
      </c>
      <c r="Y24" t="s">
        <v>27</v>
      </c>
      <c r="Z24" t="s">
        <v>27</v>
      </c>
      <c r="AA24">
        <v>60</v>
      </c>
      <c r="AB24">
        <v>25</v>
      </c>
      <c r="AC24">
        <v>12</v>
      </c>
      <c r="AD24">
        <v>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95</v>
      </c>
      <c r="AL24">
        <v>5</v>
      </c>
      <c r="AM24">
        <v>0</v>
      </c>
      <c r="AN24" t="s">
        <v>84</v>
      </c>
      <c r="AO24" t="s">
        <v>186</v>
      </c>
      <c r="AP24">
        <v>0</v>
      </c>
    </row>
    <row r="25" spans="1:42" x14ac:dyDescent="0.4">
      <c r="A25">
        <f t="shared" si="1"/>
        <v>123</v>
      </c>
      <c r="B25" t="s">
        <v>250</v>
      </c>
      <c r="C25" t="s">
        <v>237</v>
      </c>
      <c r="D25" t="s">
        <v>236</v>
      </c>
      <c r="E25" t="s">
        <v>142</v>
      </c>
      <c r="F25">
        <v>20</v>
      </c>
      <c r="G25">
        <v>0</v>
      </c>
      <c r="H25">
        <v>0</v>
      </c>
      <c r="I25">
        <v>0</v>
      </c>
      <c r="J25">
        <v>9999</v>
      </c>
      <c r="K25">
        <v>0</v>
      </c>
      <c r="L25">
        <v>10</v>
      </c>
      <c r="M25">
        <v>0</v>
      </c>
      <c r="N25" t="s">
        <v>26</v>
      </c>
      <c r="O25" t="s">
        <v>27</v>
      </c>
      <c r="P25" t="s">
        <v>27</v>
      </c>
      <c r="Q25" t="s">
        <v>27</v>
      </c>
      <c r="R25" t="s">
        <v>27</v>
      </c>
      <c r="S25" t="s">
        <v>27</v>
      </c>
      <c r="T25" t="s">
        <v>27</v>
      </c>
      <c r="U25" t="s">
        <v>27</v>
      </c>
      <c r="V25" t="s">
        <v>27</v>
      </c>
      <c r="W25" t="s">
        <v>27</v>
      </c>
      <c r="X25" t="s">
        <v>27</v>
      </c>
      <c r="Y25" t="s">
        <v>27</v>
      </c>
      <c r="Z25" t="s">
        <v>27</v>
      </c>
      <c r="AA25">
        <v>10</v>
      </c>
      <c r="AB25">
        <v>30</v>
      </c>
      <c r="AC25">
        <v>30</v>
      </c>
      <c r="AD25">
        <v>30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95</v>
      </c>
      <c r="AL25">
        <v>5</v>
      </c>
      <c r="AM25">
        <v>0</v>
      </c>
      <c r="AN25" t="s">
        <v>27</v>
      </c>
      <c r="AO25" t="s">
        <v>27</v>
      </c>
      <c r="AP25">
        <v>0</v>
      </c>
    </row>
    <row r="26" spans="1:42" x14ac:dyDescent="0.4">
      <c r="A26">
        <f t="shared" si="1"/>
        <v>124</v>
      </c>
      <c r="B26" t="s">
        <v>122</v>
      </c>
      <c r="C26" t="s">
        <v>167</v>
      </c>
      <c r="D26" t="s">
        <v>166</v>
      </c>
      <c r="E26" t="s">
        <v>142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10</v>
      </c>
      <c r="M26">
        <v>0</v>
      </c>
      <c r="N26" t="s">
        <v>26</v>
      </c>
      <c r="O26" t="s">
        <v>27</v>
      </c>
      <c r="P26" t="s">
        <v>27</v>
      </c>
      <c r="Q26" t="s">
        <v>27</v>
      </c>
      <c r="R26" t="s">
        <v>27</v>
      </c>
      <c r="S26" t="s">
        <v>27</v>
      </c>
      <c r="T26" t="s">
        <v>27</v>
      </c>
      <c r="U26" t="s">
        <v>27</v>
      </c>
      <c r="V26" t="s">
        <v>27</v>
      </c>
      <c r="W26" t="s">
        <v>27</v>
      </c>
      <c r="X26" t="s">
        <v>27</v>
      </c>
      <c r="Y26" t="s">
        <v>27</v>
      </c>
      <c r="Z26" t="s">
        <v>27</v>
      </c>
      <c r="AA26">
        <v>10</v>
      </c>
      <c r="AB26">
        <v>30</v>
      </c>
      <c r="AC26">
        <v>30</v>
      </c>
      <c r="AD26">
        <v>30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95</v>
      </c>
      <c r="AL26">
        <v>5</v>
      </c>
      <c r="AM26">
        <v>0</v>
      </c>
      <c r="AN26" t="s">
        <v>27</v>
      </c>
      <c r="AO26" t="s">
        <v>27</v>
      </c>
      <c r="AP26">
        <v>0</v>
      </c>
    </row>
    <row r="27" spans="1:42" x14ac:dyDescent="0.4">
      <c r="A27">
        <f t="shared" si="1"/>
        <v>125</v>
      </c>
      <c r="B27" t="s">
        <v>287</v>
      </c>
      <c r="C27" t="s">
        <v>283</v>
      </c>
      <c r="D27" t="s">
        <v>284</v>
      </c>
      <c r="E27" t="s">
        <v>142</v>
      </c>
      <c r="F27">
        <v>10</v>
      </c>
      <c r="G27">
        <v>0</v>
      </c>
      <c r="H27">
        <v>0</v>
      </c>
      <c r="I27">
        <v>0</v>
      </c>
      <c r="J27">
        <v>9999</v>
      </c>
      <c r="K27">
        <v>0</v>
      </c>
      <c r="L27">
        <v>10</v>
      </c>
      <c r="M27">
        <v>0</v>
      </c>
      <c r="N27" t="s">
        <v>26</v>
      </c>
      <c r="O27" t="s">
        <v>27</v>
      </c>
      <c r="P27" t="s">
        <v>27</v>
      </c>
      <c r="Q27" t="s">
        <v>27</v>
      </c>
      <c r="R27" t="s">
        <v>27</v>
      </c>
      <c r="S27" t="s">
        <v>27</v>
      </c>
      <c r="T27" t="s">
        <v>27</v>
      </c>
      <c r="U27" t="s">
        <v>27</v>
      </c>
      <c r="V27" t="s">
        <v>27</v>
      </c>
      <c r="W27" t="s">
        <v>27</v>
      </c>
      <c r="X27" t="s">
        <v>27</v>
      </c>
      <c r="Y27" t="s">
        <v>27</v>
      </c>
      <c r="Z27" t="s">
        <v>27</v>
      </c>
      <c r="AA27">
        <v>60</v>
      </c>
      <c r="AB27">
        <v>25</v>
      </c>
      <c r="AC27">
        <v>12</v>
      </c>
      <c r="AD27">
        <v>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95</v>
      </c>
      <c r="AL27">
        <v>5</v>
      </c>
      <c r="AM27">
        <v>0</v>
      </c>
      <c r="AN27" t="s">
        <v>84</v>
      </c>
      <c r="AO27" t="s">
        <v>186</v>
      </c>
      <c r="AP27">
        <v>0</v>
      </c>
    </row>
    <row r="28" spans="1:42" x14ac:dyDescent="0.4">
      <c r="A28">
        <f t="shared" si="1"/>
        <v>126</v>
      </c>
      <c r="B28" t="s">
        <v>56</v>
      </c>
      <c r="C28" t="s">
        <v>194</v>
      </c>
      <c r="D28" t="s">
        <v>152</v>
      </c>
      <c r="E28" t="s">
        <v>142</v>
      </c>
      <c r="F28">
        <v>5</v>
      </c>
      <c r="G28">
        <v>0</v>
      </c>
      <c r="H28">
        <v>1</v>
      </c>
      <c r="I28">
        <v>1</v>
      </c>
      <c r="J28">
        <v>1</v>
      </c>
      <c r="K28">
        <v>1</v>
      </c>
      <c r="L28">
        <v>10</v>
      </c>
      <c r="M28">
        <v>0</v>
      </c>
      <c r="N28" t="s">
        <v>26</v>
      </c>
      <c r="O28" t="s">
        <v>36</v>
      </c>
      <c r="P28" t="s">
        <v>70</v>
      </c>
      <c r="Q28" t="s">
        <v>139</v>
      </c>
      <c r="R28" t="s">
        <v>103</v>
      </c>
      <c r="S28" t="s">
        <v>27</v>
      </c>
      <c r="T28" t="s">
        <v>27</v>
      </c>
      <c r="U28" t="s">
        <v>27</v>
      </c>
      <c r="V28" t="s">
        <v>27</v>
      </c>
      <c r="W28" t="s">
        <v>27</v>
      </c>
      <c r="X28" t="s">
        <v>27</v>
      </c>
      <c r="Y28" t="s">
        <v>141</v>
      </c>
      <c r="Z28" t="s">
        <v>27</v>
      </c>
      <c r="AA28">
        <v>0</v>
      </c>
      <c r="AB28">
        <v>60</v>
      </c>
      <c r="AC28">
        <v>23</v>
      </c>
      <c r="AD28">
        <v>7</v>
      </c>
      <c r="AE28">
        <v>10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98</v>
      </c>
      <c r="AL28">
        <v>2</v>
      </c>
      <c r="AM28">
        <v>0</v>
      </c>
      <c r="AN28" t="s">
        <v>89</v>
      </c>
      <c r="AO28" t="s">
        <v>182</v>
      </c>
      <c r="AP28">
        <v>0</v>
      </c>
    </row>
    <row r="29" spans="1:42" x14ac:dyDescent="0.4">
      <c r="A29">
        <f t="shared" si="1"/>
        <v>127</v>
      </c>
      <c r="B29" t="s">
        <v>259</v>
      </c>
      <c r="C29" t="s">
        <v>181</v>
      </c>
      <c r="D29" t="s">
        <v>153</v>
      </c>
      <c r="E29" t="s">
        <v>142</v>
      </c>
      <c r="F29">
        <v>15</v>
      </c>
      <c r="G29">
        <v>0</v>
      </c>
      <c r="H29">
        <v>1</v>
      </c>
      <c r="I29">
        <v>1</v>
      </c>
      <c r="J29">
        <v>1</v>
      </c>
      <c r="K29">
        <v>1</v>
      </c>
      <c r="L29">
        <v>10</v>
      </c>
      <c r="M29">
        <v>0</v>
      </c>
      <c r="N29" t="s">
        <v>26</v>
      </c>
      <c r="O29" t="s">
        <v>28</v>
      </c>
      <c r="P29" t="s">
        <v>29</v>
      </c>
      <c r="Q29" t="s">
        <v>25</v>
      </c>
      <c r="R29" t="s">
        <v>70</v>
      </c>
      <c r="S29" t="s">
        <v>103</v>
      </c>
      <c r="T29" t="s">
        <v>279</v>
      </c>
      <c r="U29" t="s">
        <v>191</v>
      </c>
      <c r="V29" t="s">
        <v>27</v>
      </c>
      <c r="W29" t="s">
        <v>27</v>
      </c>
      <c r="X29" t="s">
        <v>27</v>
      </c>
      <c r="Y29" t="s">
        <v>33</v>
      </c>
      <c r="Z29" t="s">
        <v>83</v>
      </c>
      <c r="AA29">
        <v>15</v>
      </c>
      <c r="AB29">
        <v>16</v>
      </c>
      <c r="AC29">
        <v>17</v>
      </c>
      <c r="AD29">
        <v>10</v>
      </c>
      <c r="AE29">
        <v>2</v>
      </c>
      <c r="AF29">
        <v>10</v>
      </c>
      <c r="AG29">
        <v>4</v>
      </c>
      <c r="AH29">
        <v>26</v>
      </c>
      <c r="AI29">
        <v>0</v>
      </c>
      <c r="AJ29">
        <v>0</v>
      </c>
      <c r="AK29">
        <v>78</v>
      </c>
      <c r="AL29">
        <v>15</v>
      </c>
      <c r="AM29">
        <v>7</v>
      </c>
      <c r="AN29" t="s">
        <v>84</v>
      </c>
      <c r="AO29" t="s">
        <v>190</v>
      </c>
      <c r="AP29">
        <v>0</v>
      </c>
    </row>
    <row r="30" spans="1:42" x14ac:dyDescent="0.4">
      <c r="A30">
        <f t="shared" si="1"/>
        <v>128</v>
      </c>
      <c r="B30" t="s">
        <v>263</v>
      </c>
      <c r="C30" t="s">
        <v>196</v>
      </c>
      <c r="D30" t="s">
        <v>195</v>
      </c>
      <c r="E30" t="s">
        <v>142</v>
      </c>
      <c r="F30">
        <v>30</v>
      </c>
      <c r="G30">
        <v>100</v>
      </c>
      <c r="H30">
        <v>2</v>
      </c>
      <c r="I30">
        <v>0</v>
      </c>
      <c r="J30">
        <v>9999</v>
      </c>
      <c r="K30">
        <v>1</v>
      </c>
      <c r="L30">
        <v>10</v>
      </c>
      <c r="M30">
        <v>2</v>
      </c>
      <c r="N30" t="s">
        <v>26</v>
      </c>
      <c r="O30" t="s">
        <v>82</v>
      </c>
      <c r="P30" t="s">
        <v>73</v>
      </c>
      <c r="Q30" t="s">
        <v>223</v>
      </c>
      <c r="R30" t="s">
        <v>113</v>
      </c>
      <c r="S30" t="s">
        <v>128</v>
      </c>
      <c r="T30" t="s">
        <v>127</v>
      </c>
      <c r="U30" t="s">
        <v>99</v>
      </c>
      <c r="V30" t="s">
        <v>27</v>
      </c>
      <c r="W30" t="s">
        <v>27</v>
      </c>
      <c r="X30" t="s">
        <v>27</v>
      </c>
      <c r="Y30" t="s">
        <v>208</v>
      </c>
      <c r="Z30" t="s">
        <v>136</v>
      </c>
      <c r="AA30">
        <v>15</v>
      </c>
      <c r="AB30">
        <v>30</v>
      </c>
      <c r="AC30">
        <v>9</v>
      </c>
      <c r="AD30">
        <v>3</v>
      </c>
      <c r="AE30">
        <v>13</v>
      </c>
      <c r="AF30">
        <v>17</v>
      </c>
      <c r="AG30">
        <v>8</v>
      </c>
      <c r="AH30">
        <v>5</v>
      </c>
      <c r="AI30">
        <v>0</v>
      </c>
      <c r="AJ30">
        <v>0</v>
      </c>
      <c r="AK30">
        <v>83</v>
      </c>
      <c r="AL30">
        <v>10</v>
      </c>
      <c r="AM30">
        <v>7</v>
      </c>
      <c r="AN30" t="s">
        <v>91</v>
      </c>
      <c r="AO30" t="s">
        <v>207</v>
      </c>
      <c r="AP30">
        <v>0</v>
      </c>
    </row>
    <row r="31" spans="1:42" x14ac:dyDescent="0.4">
      <c r="A31">
        <f t="shared" si="1"/>
        <v>129</v>
      </c>
      <c r="B31" t="s">
        <v>302</v>
      </c>
      <c r="C31" t="s">
        <v>300</v>
      </c>
      <c r="D31" t="s">
        <v>299</v>
      </c>
      <c r="E31" t="s">
        <v>142</v>
      </c>
      <c r="F31">
        <v>30</v>
      </c>
      <c r="G31">
        <v>100</v>
      </c>
      <c r="H31">
        <v>2</v>
      </c>
      <c r="I31">
        <v>0</v>
      </c>
      <c r="J31">
        <v>9999</v>
      </c>
      <c r="K31">
        <v>1</v>
      </c>
      <c r="L31">
        <v>10</v>
      </c>
      <c r="M31">
        <v>9</v>
      </c>
      <c r="N31" t="s">
        <v>26</v>
      </c>
      <c r="O31" t="s">
        <v>72</v>
      </c>
      <c r="P31" t="s">
        <v>100</v>
      </c>
      <c r="Q31" t="s">
        <v>99</v>
      </c>
      <c r="R31" t="s">
        <v>27</v>
      </c>
      <c r="S31" t="s">
        <v>27</v>
      </c>
      <c r="T31" t="s">
        <v>27</v>
      </c>
      <c r="U31" t="s">
        <v>27</v>
      </c>
      <c r="V31" t="s">
        <v>27</v>
      </c>
      <c r="W31" t="s">
        <v>27</v>
      </c>
      <c r="X31" t="s">
        <v>27</v>
      </c>
      <c r="Y31" t="s">
        <v>144</v>
      </c>
      <c r="Z31" t="s">
        <v>27</v>
      </c>
      <c r="AA31">
        <v>35</v>
      </c>
      <c r="AB31">
        <v>50</v>
      </c>
      <c r="AC31">
        <v>5</v>
      </c>
      <c r="AD31">
        <v>10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87</v>
      </c>
      <c r="AL31">
        <v>3</v>
      </c>
      <c r="AM31">
        <v>10</v>
      </c>
      <c r="AN31" t="s">
        <v>91</v>
      </c>
      <c r="AO31" t="s">
        <v>301</v>
      </c>
      <c r="AP31">
        <v>0</v>
      </c>
    </row>
    <row r="32" spans="1:42" x14ac:dyDescent="0.4">
      <c r="A32">
        <f t="shared" si="1"/>
        <v>130</v>
      </c>
      <c r="B32" t="s">
        <v>264</v>
      </c>
      <c r="C32" t="s">
        <v>205</v>
      </c>
      <c r="D32" t="s">
        <v>267</v>
      </c>
      <c r="E32" t="s">
        <v>142</v>
      </c>
      <c r="F32">
        <v>30</v>
      </c>
      <c r="G32">
        <v>500</v>
      </c>
      <c r="H32">
        <v>3</v>
      </c>
      <c r="I32">
        <v>0</v>
      </c>
      <c r="J32">
        <v>9999</v>
      </c>
      <c r="K32">
        <v>1</v>
      </c>
      <c r="L32">
        <v>10</v>
      </c>
      <c r="M32">
        <v>6</v>
      </c>
      <c r="N32" t="s">
        <v>26</v>
      </c>
      <c r="O32" t="s">
        <v>72</v>
      </c>
      <c r="P32" t="s">
        <v>74</v>
      </c>
      <c r="Q32" t="s">
        <v>108</v>
      </c>
      <c r="R32" t="s">
        <v>27</v>
      </c>
      <c r="S32" t="s">
        <v>100</v>
      </c>
      <c r="T32" t="s">
        <v>27</v>
      </c>
      <c r="U32" t="s">
        <v>27</v>
      </c>
      <c r="V32" t="s">
        <v>27</v>
      </c>
      <c r="W32" t="s">
        <v>27</v>
      </c>
      <c r="X32" t="s">
        <v>27</v>
      </c>
      <c r="Y32" t="s">
        <v>111</v>
      </c>
      <c r="Z32" t="s">
        <v>228</v>
      </c>
      <c r="AA32">
        <v>25</v>
      </c>
      <c r="AB32">
        <v>25</v>
      </c>
      <c r="AC32">
        <v>16</v>
      </c>
      <c r="AD32">
        <v>23</v>
      </c>
      <c r="AE32">
        <v>6</v>
      </c>
      <c r="AF32">
        <v>5</v>
      </c>
      <c r="AG32">
        <v>0</v>
      </c>
      <c r="AH32">
        <v>0</v>
      </c>
      <c r="AI32">
        <v>0</v>
      </c>
      <c r="AJ32">
        <v>0</v>
      </c>
      <c r="AK32">
        <v>94</v>
      </c>
      <c r="AL32">
        <v>1</v>
      </c>
      <c r="AM32">
        <v>5</v>
      </c>
      <c r="AN32" t="s">
        <v>84</v>
      </c>
      <c r="AO32" t="s">
        <v>233</v>
      </c>
      <c r="AP32">
        <v>0</v>
      </c>
    </row>
    <row r="33" spans="1:42" x14ac:dyDescent="0.4">
      <c r="A33">
        <f t="shared" si="1"/>
        <v>131</v>
      </c>
      <c r="B33" t="s">
        <v>248</v>
      </c>
      <c r="C33" t="s">
        <v>209</v>
      </c>
      <c r="D33" t="s">
        <v>197</v>
      </c>
      <c r="E33" t="s">
        <v>142</v>
      </c>
      <c r="F33">
        <v>30</v>
      </c>
      <c r="G33">
        <v>200</v>
      </c>
      <c r="H33">
        <v>2</v>
      </c>
      <c r="I33">
        <v>0</v>
      </c>
      <c r="J33">
        <v>9999</v>
      </c>
      <c r="K33">
        <v>1</v>
      </c>
      <c r="L33">
        <v>10</v>
      </c>
      <c r="M33">
        <v>3</v>
      </c>
      <c r="N33" t="s">
        <v>26</v>
      </c>
      <c r="O33" t="s">
        <v>72</v>
      </c>
      <c r="P33" t="s">
        <v>81</v>
      </c>
      <c r="Q33" t="s">
        <v>108</v>
      </c>
      <c r="R33" t="s">
        <v>109</v>
      </c>
      <c r="S33" t="s">
        <v>112</v>
      </c>
      <c r="T33" t="s">
        <v>74</v>
      </c>
      <c r="U33" t="s">
        <v>221</v>
      </c>
      <c r="V33" t="s">
        <v>247</v>
      </c>
      <c r="W33" t="s">
        <v>27</v>
      </c>
      <c r="X33" t="s">
        <v>27</v>
      </c>
      <c r="Y33" t="s">
        <v>72</v>
      </c>
      <c r="Z33" t="s">
        <v>111</v>
      </c>
      <c r="AA33">
        <v>20</v>
      </c>
      <c r="AB33">
        <v>5</v>
      </c>
      <c r="AC33">
        <v>20</v>
      </c>
      <c r="AD33">
        <v>12</v>
      </c>
      <c r="AE33">
        <v>5</v>
      </c>
      <c r="AF33">
        <v>10</v>
      </c>
      <c r="AG33">
        <v>13</v>
      </c>
      <c r="AH33">
        <v>10</v>
      </c>
      <c r="AI33">
        <v>5</v>
      </c>
      <c r="AJ33">
        <v>0</v>
      </c>
      <c r="AK33">
        <v>83</v>
      </c>
      <c r="AL33">
        <v>16</v>
      </c>
      <c r="AM33">
        <v>1</v>
      </c>
      <c r="AN33" t="s">
        <v>84</v>
      </c>
      <c r="AO33" t="s">
        <v>225</v>
      </c>
      <c r="AP33">
        <v>0</v>
      </c>
    </row>
    <row r="34" spans="1:42" x14ac:dyDescent="0.4">
      <c r="A34">
        <f t="shared" si="1"/>
        <v>132</v>
      </c>
      <c r="B34" t="s">
        <v>261</v>
      </c>
      <c r="C34" t="s">
        <v>42</v>
      </c>
      <c r="D34" t="s">
        <v>201</v>
      </c>
      <c r="E34" t="s">
        <v>142</v>
      </c>
      <c r="F34">
        <v>30</v>
      </c>
      <c r="G34">
        <v>300</v>
      </c>
      <c r="H34">
        <v>3</v>
      </c>
      <c r="I34">
        <v>0</v>
      </c>
      <c r="J34">
        <v>9999</v>
      </c>
      <c r="K34">
        <v>1</v>
      </c>
      <c r="L34">
        <v>10</v>
      </c>
      <c r="M34">
        <v>4</v>
      </c>
      <c r="N34" t="s">
        <v>26</v>
      </c>
      <c r="O34" t="s">
        <v>212</v>
      </c>
      <c r="P34" t="s">
        <v>220</v>
      </c>
      <c r="Q34" t="s">
        <v>25</v>
      </c>
      <c r="R34" t="s">
        <v>137</v>
      </c>
      <c r="S34" t="s">
        <v>222</v>
      </c>
      <c r="T34" t="s">
        <v>226</v>
      </c>
      <c r="U34" t="s">
        <v>27</v>
      </c>
      <c r="V34" t="s">
        <v>27</v>
      </c>
      <c r="W34" t="s">
        <v>27</v>
      </c>
      <c r="X34" t="s">
        <v>27</v>
      </c>
      <c r="Y34" t="s">
        <v>218</v>
      </c>
      <c r="Z34" t="s">
        <v>220</v>
      </c>
      <c r="AA34">
        <v>20</v>
      </c>
      <c r="AB34">
        <v>10</v>
      </c>
      <c r="AC34">
        <v>35</v>
      </c>
      <c r="AD34">
        <v>10</v>
      </c>
      <c r="AE34">
        <v>5</v>
      </c>
      <c r="AF34">
        <v>10</v>
      </c>
      <c r="AG34">
        <v>10</v>
      </c>
      <c r="AH34">
        <v>0</v>
      </c>
      <c r="AI34">
        <v>0</v>
      </c>
      <c r="AJ34">
        <v>0</v>
      </c>
      <c r="AK34">
        <v>93</v>
      </c>
      <c r="AL34">
        <v>3</v>
      </c>
      <c r="AM34">
        <v>4</v>
      </c>
      <c r="AN34" t="s">
        <v>84</v>
      </c>
      <c r="AO34" t="s">
        <v>224</v>
      </c>
      <c r="AP34">
        <v>0</v>
      </c>
    </row>
    <row r="35" spans="1:42" x14ac:dyDescent="0.4">
      <c r="A35">
        <f t="shared" si="1"/>
        <v>133</v>
      </c>
      <c r="B35" t="s">
        <v>260</v>
      </c>
      <c r="C35" t="s">
        <v>255</v>
      </c>
      <c r="D35" t="s">
        <v>257</v>
      </c>
      <c r="E35" t="s">
        <v>142</v>
      </c>
      <c r="F35">
        <v>60</v>
      </c>
      <c r="G35">
        <v>0</v>
      </c>
      <c r="H35">
        <v>1</v>
      </c>
      <c r="I35">
        <v>0</v>
      </c>
      <c r="J35">
        <v>9999</v>
      </c>
      <c r="K35">
        <v>1</v>
      </c>
      <c r="L35">
        <v>10</v>
      </c>
      <c r="M35">
        <v>9</v>
      </c>
      <c r="N35" t="s">
        <v>26</v>
      </c>
      <c r="O35" t="s">
        <v>219</v>
      </c>
      <c r="P35" t="s">
        <v>27</v>
      </c>
      <c r="Q35" t="s">
        <v>27</v>
      </c>
      <c r="R35" t="s">
        <v>27</v>
      </c>
      <c r="S35" t="s">
        <v>27</v>
      </c>
      <c r="T35" t="s">
        <v>27</v>
      </c>
      <c r="U35" t="s">
        <v>27</v>
      </c>
      <c r="V35" t="s">
        <v>27</v>
      </c>
      <c r="W35" t="s">
        <v>27</v>
      </c>
      <c r="X35" t="s">
        <v>27</v>
      </c>
      <c r="Y35" t="s">
        <v>219</v>
      </c>
      <c r="Z35" t="s">
        <v>27</v>
      </c>
      <c r="AA35">
        <v>65</v>
      </c>
      <c r="AB35">
        <v>35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98</v>
      </c>
      <c r="AL35">
        <v>1</v>
      </c>
      <c r="AM35">
        <v>1</v>
      </c>
      <c r="AN35" t="s">
        <v>84</v>
      </c>
      <c r="AO35" t="s">
        <v>258</v>
      </c>
      <c r="AP35">
        <v>0</v>
      </c>
    </row>
    <row r="36" spans="1:42" x14ac:dyDescent="0.4">
      <c r="A36">
        <f t="shared" si="1"/>
        <v>134</v>
      </c>
      <c r="B36" t="s">
        <v>262</v>
      </c>
      <c r="C36" t="s">
        <v>202</v>
      </c>
      <c r="D36" t="s">
        <v>198</v>
      </c>
      <c r="E36" t="s">
        <v>142</v>
      </c>
      <c r="F36">
        <v>60</v>
      </c>
      <c r="G36">
        <v>300</v>
      </c>
      <c r="H36">
        <v>3</v>
      </c>
      <c r="I36">
        <v>0</v>
      </c>
      <c r="J36">
        <v>9999</v>
      </c>
      <c r="K36">
        <v>1</v>
      </c>
      <c r="L36">
        <v>10</v>
      </c>
      <c r="M36">
        <v>6</v>
      </c>
      <c r="N36" t="s">
        <v>26</v>
      </c>
      <c r="O36" t="s">
        <v>214</v>
      </c>
      <c r="P36" t="s">
        <v>215</v>
      </c>
      <c r="Q36" t="s">
        <v>138</v>
      </c>
      <c r="R36" t="s">
        <v>110</v>
      </c>
      <c r="S36" t="s">
        <v>254</v>
      </c>
      <c r="T36" t="s">
        <v>231</v>
      </c>
      <c r="U36" t="s">
        <v>129</v>
      </c>
      <c r="V36" t="s">
        <v>227</v>
      </c>
      <c r="W36" t="s">
        <v>27</v>
      </c>
      <c r="X36" t="s">
        <v>27</v>
      </c>
      <c r="Y36" t="s">
        <v>227</v>
      </c>
      <c r="Z36" t="s">
        <v>80</v>
      </c>
      <c r="AA36">
        <v>20</v>
      </c>
      <c r="AB36">
        <v>20</v>
      </c>
      <c r="AC36">
        <v>7</v>
      </c>
      <c r="AD36">
        <v>10</v>
      </c>
      <c r="AE36">
        <v>15</v>
      </c>
      <c r="AF36">
        <v>10</v>
      </c>
      <c r="AG36">
        <v>8</v>
      </c>
      <c r="AH36">
        <v>5</v>
      </c>
      <c r="AI36">
        <v>5</v>
      </c>
      <c r="AJ36">
        <v>0</v>
      </c>
      <c r="AK36">
        <v>85</v>
      </c>
      <c r="AL36">
        <v>10</v>
      </c>
      <c r="AM36">
        <v>5</v>
      </c>
      <c r="AN36" t="s">
        <v>84</v>
      </c>
      <c r="AO36" t="s">
        <v>232</v>
      </c>
      <c r="AP36">
        <v>0</v>
      </c>
    </row>
    <row r="37" spans="1:42" x14ac:dyDescent="0.4">
      <c r="A37">
        <f t="shared" si="1"/>
        <v>135</v>
      </c>
      <c r="B37" t="s">
        <v>249</v>
      </c>
      <c r="C37" t="s">
        <v>203</v>
      </c>
      <c r="D37" t="s">
        <v>200</v>
      </c>
      <c r="E37" t="s">
        <v>142</v>
      </c>
      <c r="F37">
        <v>90</v>
      </c>
      <c r="G37">
        <v>400</v>
      </c>
      <c r="H37">
        <v>4</v>
      </c>
      <c r="I37">
        <v>0</v>
      </c>
      <c r="J37">
        <v>9999</v>
      </c>
      <c r="K37">
        <v>1</v>
      </c>
      <c r="L37">
        <v>10</v>
      </c>
      <c r="M37">
        <v>8</v>
      </c>
      <c r="N37" t="s">
        <v>26</v>
      </c>
      <c r="O37" t="s">
        <v>229</v>
      </c>
      <c r="P37" t="s">
        <v>211</v>
      </c>
      <c r="Q37" t="s">
        <v>216</v>
      </c>
      <c r="R37" t="s">
        <v>70</v>
      </c>
      <c r="S37" t="s">
        <v>103</v>
      </c>
      <c r="T37" t="s">
        <v>27</v>
      </c>
      <c r="U37" t="s">
        <v>27</v>
      </c>
      <c r="V37" t="s">
        <v>27</v>
      </c>
      <c r="W37" t="s">
        <v>27</v>
      </c>
      <c r="X37" t="s">
        <v>27</v>
      </c>
      <c r="Y37" t="s">
        <v>211</v>
      </c>
      <c r="Z37" t="s">
        <v>27</v>
      </c>
      <c r="AA37">
        <v>20</v>
      </c>
      <c r="AB37">
        <v>38</v>
      </c>
      <c r="AC37">
        <v>18</v>
      </c>
      <c r="AD37">
        <v>14</v>
      </c>
      <c r="AE37">
        <v>5</v>
      </c>
      <c r="AF37">
        <v>5</v>
      </c>
      <c r="AG37">
        <v>0</v>
      </c>
      <c r="AH37">
        <v>0</v>
      </c>
      <c r="AI37">
        <v>0</v>
      </c>
      <c r="AJ37">
        <v>0</v>
      </c>
      <c r="AK37">
        <v>83</v>
      </c>
      <c r="AL37">
        <v>10</v>
      </c>
      <c r="AM37">
        <v>7</v>
      </c>
      <c r="AN37" t="s">
        <v>84</v>
      </c>
      <c r="AO37" t="s">
        <v>234</v>
      </c>
      <c r="AP37">
        <v>0</v>
      </c>
    </row>
    <row r="38" spans="1:42" x14ac:dyDescent="0.4">
      <c r="A38">
        <f t="shared" si="1"/>
        <v>136</v>
      </c>
      <c r="B38" t="s">
        <v>265</v>
      </c>
      <c r="C38" t="s">
        <v>204</v>
      </c>
      <c r="D38" t="s">
        <v>199</v>
      </c>
      <c r="E38" t="s">
        <v>142</v>
      </c>
      <c r="F38">
        <v>90</v>
      </c>
      <c r="G38">
        <v>600</v>
      </c>
      <c r="H38">
        <v>6</v>
      </c>
      <c r="I38">
        <v>0</v>
      </c>
      <c r="J38">
        <v>9999</v>
      </c>
      <c r="K38">
        <v>1</v>
      </c>
      <c r="L38">
        <v>10</v>
      </c>
      <c r="M38">
        <v>9</v>
      </c>
      <c r="N38" t="s">
        <v>26</v>
      </c>
      <c r="O38" t="s">
        <v>213</v>
      </c>
      <c r="P38" t="s">
        <v>230</v>
      </c>
      <c r="Q38" t="s">
        <v>27</v>
      </c>
      <c r="R38" t="s">
        <v>217</v>
      </c>
      <c r="S38" t="s">
        <v>208</v>
      </c>
      <c r="T38" t="s">
        <v>33</v>
      </c>
      <c r="U38" t="s">
        <v>80</v>
      </c>
      <c r="V38" t="s">
        <v>27</v>
      </c>
      <c r="W38" t="s">
        <v>27</v>
      </c>
      <c r="X38" t="s">
        <v>27</v>
      </c>
      <c r="Y38" t="s">
        <v>217</v>
      </c>
      <c r="Z38" t="s">
        <v>266</v>
      </c>
      <c r="AA38">
        <v>32</v>
      </c>
      <c r="AB38">
        <v>17</v>
      </c>
      <c r="AC38">
        <v>9</v>
      </c>
      <c r="AD38">
        <v>0</v>
      </c>
      <c r="AE38">
        <v>15</v>
      </c>
      <c r="AF38">
        <v>10</v>
      </c>
      <c r="AG38">
        <v>10</v>
      </c>
      <c r="AH38">
        <v>7</v>
      </c>
      <c r="AI38">
        <v>0</v>
      </c>
      <c r="AJ38">
        <v>0</v>
      </c>
      <c r="AK38">
        <v>94</v>
      </c>
      <c r="AL38">
        <v>4</v>
      </c>
      <c r="AM38">
        <v>2</v>
      </c>
      <c r="AN38" t="s">
        <v>84</v>
      </c>
      <c r="AO38" t="s">
        <v>235</v>
      </c>
      <c r="AP38">
        <v>0</v>
      </c>
    </row>
    <row r="39" spans="1:42" x14ac:dyDescent="0.4">
      <c r="A39">
        <f t="shared" si="1"/>
        <v>137</v>
      </c>
      <c r="B39" t="s">
        <v>40</v>
      </c>
      <c r="C39" t="s">
        <v>146</v>
      </c>
      <c r="D39" t="s">
        <v>145</v>
      </c>
      <c r="E39" t="s">
        <v>142</v>
      </c>
      <c r="F39">
        <v>90</v>
      </c>
      <c r="G39">
        <v>0</v>
      </c>
      <c r="H39">
        <v>0</v>
      </c>
      <c r="I39">
        <v>0</v>
      </c>
      <c r="J39">
        <v>0</v>
      </c>
      <c r="K39">
        <v>0</v>
      </c>
      <c r="L39">
        <v>10</v>
      </c>
      <c r="M39">
        <v>0</v>
      </c>
      <c r="N39" t="s">
        <v>26</v>
      </c>
      <c r="O39" t="s">
        <v>27</v>
      </c>
      <c r="P39" t="s">
        <v>27</v>
      </c>
      <c r="Q39" t="s">
        <v>27</v>
      </c>
      <c r="R39" t="s">
        <v>27</v>
      </c>
      <c r="S39" t="s">
        <v>27</v>
      </c>
      <c r="T39" t="s">
        <v>27</v>
      </c>
      <c r="U39" t="s">
        <v>27</v>
      </c>
      <c r="V39" t="s">
        <v>27</v>
      </c>
      <c r="W39" t="s">
        <v>27</v>
      </c>
      <c r="X39" t="s">
        <v>27</v>
      </c>
      <c r="Y39" t="s">
        <v>27</v>
      </c>
      <c r="Z39" t="s">
        <v>27</v>
      </c>
      <c r="AA39">
        <v>60</v>
      </c>
      <c r="AB39">
        <v>25</v>
      </c>
      <c r="AC39">
        <v>12</v>
      </c>
      <c r="AD39">
        <v>3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95</v>
      </c>
      <c r="AL39">
        <v>5</v>
      </c>
      <c r="AM39">
        <v>0</v>
      </c>
      <c r="AN39" t="s">
        <v>84</v>
      </c>
      <c r="AO39" t="s">
        <v>186</v>
      </c>
      <c r="AP39">
        <v>0</v>
      </c>
    </row>
    <row r="40" spans="1:42" x14ac:dyDescent="0.4">
      <c r="A40">
        <f t="shared" si="1"/>
        <v>138</v>
      </c>
      <c r="B40" t="s">
        <v>40</v>
      </c>
      <c r="C40" t="s">
        <v>160</v>
      </c>
      <c r="D40" t="s">
        <v>161</v>
      </c>
      <c r="E40" t="s">
        <v>142</v>
      </c>
      <c r="F40">
        <v>90</v>
      </c>
      <c r="G40">
        <v>0</v>
      </c>
      <c r="H40">
        <v>0</v>
      </c>
      <c r="I40">
        <v>0</v>
      </c>
      <c r="J40">
        <v>9999</v>
      </c>
      <c r="K40">
        <v>0</v>
      </c>
      <c r="L40">
        <v>10</v>
      </c>
      <c r="M40">
        <v>0</v>
      </c>
      <c r="N40" t="s">
        <v>26</v>
      </c>
      <c r="O40" t="s">
        <v>27</v>
      </c>
      <c r="P40" t="s">
        <v>27</v>
      </c>
      <c r="Q40" t="s">
        <v>27</v>
      </c>
      <c r="R40" t="s">
        <v>27</v>
      </c>
      <c r="S40" t="s">
        <v>27</v>
      </c>
      <c r="T40" t="s">
        <v>27</v>
      </c>
      <c r="U40" t="s">
        <v>27</v>
      </c>
      <c r="V40" t="s">
        <v>27</v>
      </c>
      <c r="W40" t="s">
        <v>27</v>
      </c>
      <c r="X40" t="s">
        <v>27</v>
      </c>
      <c r="Y40" t="s">
        <v>27</v>
      </c>
      <c r="Z40" t="s">
        <v>27</v>
      </c>
      <c r="AA40">
        <v>60</v>
      </c>
      <c r="AB40">
        <v>25</v>
      </c>
      <c r="AC40">
        <v>12</v>
      </c>
      <c r="AD40">
        <v>3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95</v>
      </c>
      <c r="AL40">
        <v>5</v>
      </c>
      <c r="AM40">
        <v>0</v>
      </c>
      <c r="AN40" t="s">
        <v>84</v>
      </c>
      <c r="AO40" t="s">
        <v>186</v>
      </c>
      <c r="AP40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01_map_Grt</vt:lpstr>
      <vt:lpstr>01_map_Grt_Hikari</vt:lpstr>
      <vt:lpstr>02_map_Or</vt:lpstr>
      <vt:lpstr>02_map_Or_Hikari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有田翔悟</dc:creator>
  <cp:lastModifiedBy>翔悟 有田</cp:lastModifiedBy>
  <dcterms:created xsi:type="dcterms:W3CDTF">2019-09-12T03:50:39Z</dcterms:created>
  <dcterms:modified xsi:type="dcterms:W3CDTF">2026-10-05T12:00:31Z</dcterms:modified>
</cp:coreProperties>
</file>