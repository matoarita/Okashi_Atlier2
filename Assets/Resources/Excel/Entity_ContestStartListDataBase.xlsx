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795215A-9DFA-4EC2-B33D-47E0B0DCB0E7}" xr6:coauthVersionLast="47" xr6:coauthVersionMax="47" xr10:uidLastSave="{00000000-0000-0000-0000-000000000000}"/>
  <bookViews>
    <workbookView xWindow="2835" yWindow="765" windowWidth="25560" windowHeight="14355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" i="3" l="1"/>
  <c r="A6" i="3"/>
  <c r="A9" i="1"/>
  <c r="A3" i="3"/>
  <c r="A3" i="2"/>
  <c r="A6" i="2"/>
  <c r="A9" i="2"/>
  <c r="A10" i="3"/>
  <c r="A9" i="3"/>
  <c r="A12" i="1"/>
  <c r="A11" i="1"/>
  <c r="A10" i="1"/>
  <c r="A5" i="3"/>
  <c r="A13" i="2"/>
  <c r="A12" i="2"/>
  <c r="A13" i="1"/>
  <c r="A11" i="3"/>
  <c r="A5" i="1"/>
  <c r="A8" i="4"/>
  <c r="A7" i="4"/>
  <c r="A6" i="4"/>
  <c r="A5" i="4"/>
  <c r="A4" i="4"/>
  <c r="A3" i="4"/>
  <c r="A2" i="4"/>
  <c r="A9" i="4"/>
  <c r="A8" i="3"/>
  <c r="A4" i="3"/>
  <c r="A2" i="3"/>
  <c r="A12" i="3"/>
  <c r="A11" i="2"/>
  <c r="A10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<sst xmlns="http://schemas.openxmlformats.org/spreadsheetml/2006/main" count="448" uniqueCount="172">
  <si>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</si>
  <si>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</si>
  <si>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</si>
  <si>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</si>
  <si>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</si>
  <si>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</si>
  <si>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</si>
  <si>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</si>
  <si>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</si>
  <si>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</si>
  <si>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</si>
  <si>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</si>
  <si>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</si>
  <si>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</si>
  <si>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</si>
  <si>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</si>
  <si>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</si>
  <si>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</si>
  <si>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</si>
  <si>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</si>
  <si>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</si>
  <si>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</si>
  <si>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</si>
  <si>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</si>
  <si>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</si>
  <si>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</si>
  <si>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</si>
  <si>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</si>
  <si>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</si>
  <si>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</si>
  <si>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</si>
  <si>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</si>
  <si>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</si>
  <si>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</si>
  <si>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</si>
  <si>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</si>
  <si>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</si>
  <si>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</si>
  <si>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</si>
  <si>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</si>
  <si>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</si>
  <si>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</si>
  <si>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</si>
  <si>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</si>
  <si>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</si>
  <si>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</si>
  <si>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</si>
  <si>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</si>
  <si>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</si>
  <si>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</si>
  <si>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</si>
  <si>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</si>
  <si>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</si>
  <si>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</si>
  <si>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</si>
  <si>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</si>
  <si>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</si>
  <si>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</si>
  <si>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</si>
  <si>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</si>
  <si>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</si>
  <si>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</si>
  <si>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</si>
  <si>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</si>
  <si>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</si>
  <si>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</si>
  <si>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</si>
  <si>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</si>
  <si>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</si>
  <si>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</si>
  <si>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</si>
  <si>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</si>
  <si>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</si>
  <si>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</si>
  <si>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</si>
  <si>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</si>
  <si>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</si>
  <si>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</si>
  <si>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</si>
  <si>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</si>
  <si>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</si>
  <si>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</si>
  <si>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</si>
  <si>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</si>
  <si>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</si>
  <si>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</si>
  <si>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</si>
  <si>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</si>
  <si>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</si>
  <si>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</si>
  <si>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</si>
  <si>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</si>
  <si>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</si>
  <si>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</si>
  <si>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</si>
  <si>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</si>
  <si>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</si>
  <si>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</si>
  <si>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</si>
  <si>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</si>
  <si>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</si>
  <si>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</si>
  <si>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</si>
  <si>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</si>
  <si>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</si>
  <si>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</si>
  <si>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</si>
  <si>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</si>
  <si>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</si>
  <si>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</si>
  <si>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</si>
  <si>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</si>
  <si>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</si>
  <si>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</si>
  <si>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</si>
  <si>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</si>
  <si>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</si>
  <si>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</si>
  <si>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</si>
  <si>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</si>
  <si>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</si>
  <si>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</si>
  <si>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</si>
  <si>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</si>
  <si>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</si>
  <si>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</si>
  <si>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</si>
  <si>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</si>
  <si>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</si>
  <si>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</si>
  <si>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</si>
  <si>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</si>
  <si>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</si>
  <si>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</si>
  <si>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</si>
  <si>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</si>
  <si>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</si>
  <si>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</si>
  <si>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</si>
  <si>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</si>
  <si>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</si>
  <si>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</si>
  <si>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</si>
  <si>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</si>
  <si>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</si>
  <si>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</si>
  <si>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</si>
  <si>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</si>
  <si>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</si>
  <si>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</si>
  <si>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</si>
  <si>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</si>
  <si>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</si>
  <si>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</si>
  <si>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</si>
  <si>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</si>
  <si>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</si>
  <si>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</si>
  <si>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</si>
  <si>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</si>
  <si>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</si>
  <si>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</si>
  <si>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自由課題
夏エリアで行われる初級パティシエ向けのコンテスト。
遊園地にくるお客さんを喜ばせよう！！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1" eb="34">
      <t>ユウエンチ</t>
    </rPh>
    <rPh sb="38" eb="39">
      <t>キャク</t>
    </rPh>
    <rPh sb="42" eb="43">
      <t>ヨロコ</t>
    </rPh>
    <phoneticPr fontId="2"/>
  </si>
  <si>
    <t>Or_Contest_490</t>
    <phoneticPr fontId="2"/>
  </si>
  <si>
    <t>秋のお菓子コンテスト</t>
    <rPh sb="0" eb="1">
      <t>アキ</t>
    </rPh>
    <rPh sb="3" eb="5">
      <t>カシ</t>
    </rPh>
    <phoneticPr fontId="2"/>
  </si>
  <si>
    <t>自由課題
秋エリアで定期的に行われるパティシエコンテスト。
幅広くいろんなお菓子を募集しております！</t>
    <rPh sb="0" eb="4">
      <t>ジユウカダイ</t>
    </rPh>
    <rPh sb="5" eb="6">
      <t>アキ</t>
    </rPh>
    <rPh sb="10" eb="12">
      <t>テイキ</t>
    </rPh>
    <rPh sb="12" eb="13">
      <t>テキ</t>
    </rPh>
    <rPh sb="14" eb="15">
      <t>オコナ</t>
    </rPh>
    <rPh sb="30" eb="32">
      <t>ハバヒロ</t>
    </rPh>
    <rPh sb="38" eb="40">
      <t>カシ</t>
    </rPh>
    <rPh sb="41" eb="43">
      <t>ボシュウ</t>
    </rPh>
    <phoneticPr fontId="2"/>
  </si>
  <si>
    <t>春のおかし大祭典</t>
    <rPh sb="0" eb="1">
      <t>ハル</t>
    </rPh>
    <rPh sb="5" eb="8">
      <t>ダイサイテン</t>
    </rPh>
    <phoneticPr fontId="2"/>
  </si>
  <si>
    <t>自由課題
春エリアで行われるパティシエ中級向けのコンテスト。
春の大妖精様を讃えるおいしいお菓子を希望します♪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1" eb="32">
      <t>ハル</t>
    </rPh>
    <rPh sb="33" eb="34">
      <t>ダイ</t>
    </rPh>
    <rPh sb="34" eb="36">
      <t>ヨウセイ</t>
    </rPh>
    <rPh sb="36" eb="37">
      <t>サマ</t>
    </rPh>
    <rPh sb="38" eb="39">
      <t>タタ</t>
    </rPh>
    <rPh sb="46" eb="48">
      <t>カシ</t>
    </rPh>
    <rPh sb="49" eb="51">
      <t>キボウ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</si>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</sst>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3"/>
  <sheetViews>
    <sheetView workbookViewId="0">
      <selection activeCell="M1" sqref="M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142</v>
      </c>
      <c r="E2" s="2" t="s">
        <v>6</v>
      </c>
      <c r="F2" s="3" t="s">
        <v>147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108</v>
      </c>
      <c r="W2" s="2" t="s">
        <v>112</v>
      </c>
      <c r="X2" s="2" t="s">
        <v>113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106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108</v>
      </c>
      <c r="W3" t="s">
        <v>112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93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108</v>
      </c>
      <c r="W4" t="s">
        <v>112</v>
      </c>
      <c r="X4" t="s">
        <v>114</v>
      </c>
      <c r="Y4" s="4" t="s">
        <v>107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96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2</v>
      </c>
      <c r="T5">
        <v>0</v>
      </c>
      <c r="U5">
        <v>0</v>
      </c>
      <c r="V5" t="s">
        <v>108</v>
      </c>
      <c r="W5" t="s">
        <v>112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s="4" t="s">
        <v>94</v>
      </c>
      <c r="G6">
        <v>0</v>
      </c>
      <c r="H6">
        <v>2</v>
      </c>
      <c r="I6">
        <v>12</v>
      </c>
      <c r="J6">
        <v>31</v>
      </c>
      <c r="K6">
        <v>700</v>
      </c>
      <c r="L6">
        <v>3</v>
      </c>
      <c r="M6">
        <v>3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157</v>
      </c>
      <c r="W6" t="s">
        <v>112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121</v>
      </c>
      <c r="G7">
        <v>0</v>
      </c>
      <c r="H7">
        <v>3</v>
      </c>
      <c r="I7">
        <v>12</v>
      </c>
      <c r="J7">
        <v>31</v>
      </c>
      <c r="K7">
        <v>400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108</v>
      </c>
      <c r="W7" t="s">
        <v>112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122</v>
      </c>
      <c r="G8">
        <v>0</v>
      </c>
      <c r="H8">
        <v>4</v>
      </c>
      <c r="I8">
        <v>12</v>
      </c>
      <c r="J8">
        <v>31</v>
      </c>
      <c r="K8">
        <v>1000</v>
      </c>
      <c r="L8">
        <v>5</v>
      </c>
      <c r="M8">
        <v>10</v>
      </c>
      <c r="N8">
        <v>4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108</v>
      </c>
      <c r="W8" t="s">
        <v>112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10900</v>
      </c>
      <c r="C9" t="s">
        <v>1</v>
      </c>
      <c r="D9" t="s">
        <v>168</v>
      </c>
      <c r="E9" t="s">
        <v>166</v>
      </c>
      <c r="F9" s="4" t="s">
        <v>167</v>
      </c>
      <c r="G9">
        <v>0</v>
      </c>
      <c r="H9">
        <v>2</v>
      </c>
      <c r="I9">
        <v>12</v>
      </c>
      <c r="J9">
        <v>31</v>
      </c>
      <c r="K9">
        <v>700</v>
      </c>
      <c r="L9">
        <v>3</v>
      </c>
      <c r="M9">
        <v>3</v>
      </c>
      <c r="N9">
        <v>3</v>
      </c>
      <c r="O9">
        <v>0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157</v>
      </c>
      <c r="W9" t="s">
        <v>112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144</v>
      </c>
      <c r="G10">
        <v>0</v>
      </c>
      <c r="H10">
        <v>3</v>
      </c>
      <c r="I10">
        <v>12</v>
      </c>
      <c r="J10">
        <v>31</v>
      </c>
      <c r="K10">
        <v>500</v>
      </c>
      <c r="L10">
        <v>4</v>
      </c>
      <c r="M10">
        <v>15</v>
      </c>
      <c r="N10">
        <v>3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108</v>
      </c>
      <c r="W10" t="s">
        <v>112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131</v>
      </c>
      <c r="G11">
        <v>0</v>
      </c>
      <c r="H11">
        <v>4</v>
      </c>
      <c r="I11">
        <v>12</v>
      </c>
      <c r="J11">
        <v>31</v>
      </c>
      <c r="K11">
        <v>500</v>
      </c>
      <c r="L11">
        <v>4</v>
      </c>
      <c r="M11">
        <v>0</v>
      </c>
      <c r="N11">
        <v>3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108</v>
      </c>
      <c r="W11" t="s">
        <v>112</v>
      </c>
      <c r="X11" t="s">
        <v>114</v>
      </c>
      <c r="Y11" s="4" t="s">
        <v>21</v>
      </c>
      <c r="Z11">
        <v>0</v>
      </c>
    </row>
    <row r="12" spans="1:26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149</v>
      </c>
      <c r="G12">
        <v>0</v>
      </c>
      <c r="H12">
        <v>5</v>
      </c>
      <c r="I12">
        <v>12</v>
      </c>
      <c r="J12">
        <v>31</v>
      </c>
      <c r="K12">
        <v>3000</v>
      </c>
      <c r="L12">
        <v>6</v>
      </c>
      <c r="M12">
        <v>20</v>
      </c>
      <c r="N12">
        <v>4</v>
      </c>
      <c r="O12">
        <v>1</v>
      </c>
      <c r="P12">
        <v>99</v>
      </c>
      <c r="Q12">
        <v>1</v>
      </c>
      <c r="R12">
        <v>0</v>
      </c>
      <c r="S12">
        <v>3</v>
      </c>
      <c r="T12">
        <v>0</v>
      </c>
      <c r="U12">
        <v>0</v>
      </c>
      <c r="V12" t="s">
        <v>108</v>
      </c>
      <c r="W12" t="s">
        <v>112</v>
      </c>
      <c r="X12" t="s">
        <v>114</v>
      </c>
      <c r="Y12" s="4" t="s">
        <v>21</v>
      </c>
      <c r="Z12">
        <v>0</v>
      </c>
    </row>
    <row r="13" spans="1:26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140</v>
      </c>
      <c r="G13">
        <v>0</v>
      </c>
      <c r="H13">
        <v>5</v>
      </c>
      <c r="I13">
        <v>12</v>
      </c>
      <c r="J13">
        <v>31</v>
      </c>
      <c r="K13">
        <v>0</v>
      </c>
      <c r="L13">
        <v>100</v>
      </c>
      <c r="M13">
        <v>5</v>
      </c>
      <c r="N13">
        <v>4</v>
      </c>
      <c r="O13">
        <v>1</v>
      </c>
      <c r="P13">
        <v>99</v>
      </c>
      <c r="Q13">
        <v>0</v>
      </c>
      <c r="R13">
        <v>0</v>
      </c>
      <c r="S13">
        <v>0</v>
      </c>
      <c r="T13">
        <v>0</v>
      </c>
      <c r="U13">
        <v>0</v>
      </c>
      <c r="V13" t="s">
        <v>108</v>
      </c>
      <c r="W13" t="s">
        <v>112</v>
      </c>
      <c r="X13" t="s">
        <v>113</v>
      </c>
      <c r="Y13" s="4" t="s">
        <v>20</v>
      </c>
      <c r="Z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3"/>
  <sheetViews>
    <sheetView workbookViewId="0">
      <selection activeCell="F8" sqref="F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11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129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115</v>
      </c>
      <c r="W2" t="s">
        <v>118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20900</v>
      </c>
      <c r="C3" t="s">
        <v>1</v>
      </c>
      <c r="D3" t="s">
        <v>161</v>
      </c>
      <c r="E3" t="s">
        <v>160</v>
      </c>
      <c r="F3" s="4" t="s">
        <v>162</v>
      </c>
      <c r="G3">
        <v>0</v>
      </c>
      <c r="H3">
        <v>2</v>
      </c>
      <c r="I3">
        <v>12</v>
      </c>
      <c r="J3">
        <v>31</v>
      </c>
      <c r="K3">
        <v>100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115</v>
      </c>
      <c r="W3" t="s">
        <v>118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101</v>
      </c>
      <c r="F4" s="4" t="s">
        <v>66</v>
      </c>
      <c r="G4">
        <v>0</v>
      </c>
      <c r="H4">
        <v>2</v>
      </c>
      <c r="I4">
        <v>12</v>
      </c>
      <c r="J4">
        <v>31</v>
      </c>
      <c r="K4">
        <v>200</v>
      </c>
      <c r="L4">
        <v>10</v>
      </c>
      <c r="M4">
        <v>3</v>
      </c>
      <c r="N4">
        <v>2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115</v>
      </c>
      <c r="W4" t="s">
        <v>118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99</v>
      </c>
      <c r="F5" s="4" t="s">
        <v>143</v>
      </c>
      <c r="G5">
        <v>0</v>
      </c>
      <c r="H5">
        <v>3</v>
      </c>
      <c r="I5">
        <v>12</v>
      </c>
      <c r="J5">
        <v>31</v>
      </c>
      <c r="K5">
        <v>300</v>
      </c>
      <c r="L5">
        <v>10</v>
      </c>
      <c r="M5">
        <v>5</v>
      </c>
      <c r="N5">
        <v>2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115</v>
      </c>
      <c r="W5" t="s">
        <v>118</v>
      </c>
      <c r="X5" t="s">
        <v>114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20800</v>
      </c>
      <c r="C6" t="s">
        <v>1</v>
      </c>
      <c r="D6" t="s">
        <v>155</v>
      </c>
      <c r="E6" t="s">
        <v>171</v>
      </c>
      <c r="F6" s="4" t="s">
        <v>156</v>
      </c>
      <c r="G6">
        <v>0</v>
      </c>
      <c r="H6">
        <v>4</v>
      </c>
      <c r="I6">
        <v>12</v>
      </c>
      <c r="J6">
        <v>31</v>
      </c>
      <c r="K6">
        <v>500</v>
      </c>
      <c r="L6">
        <v>10</v>
      </c>
      <c r="M6">
        <v>10</v>
      </c>
      <c r="N6">
        <v>3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115</v>
      </c>
      <c r="W6" t="s">
        <v>118</v>
      </c>
      <c r="X6" t="s">
        <v>114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148</v>
      </c>
      <c r="G7">
        <v>0</v>
      </c>
      <c r="H7">
        <v>3</v>
      </c>
      <c r="I7">
        <v>12</v>
      </c>
      <c r="J7">
        <v>31</v>
      </c>
      <c r="K7">
        <v>500</v>
      </c>
      <c r="L7">
        <v>11</v>
      </c>
      <c r="M7">
        <v>7</v>
      </c>
      <c r="N7">
        <v>3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115</v>
      </c>
      <c r="W7" t="s">
        <v>118</v>
      </c>
      <c r="X7" t="s">
        <v>114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s="4" t="s">
        <v>69</v>
      </c>
      <c r="G8">
        <v>0</v>
      </c>
      <c r="H8">
        <v>4</v>
      </c>
      <c r="I8">
        <v>12</v>
      </c>
      <c r="J8">
        <v>31</v>
      </c>
      <c r="K8">
        <v>700</v>
      </c>
      <c r="L8">
        <v>11</v>
      </c>
      <c r="M8">
        <v>10</v>
      </c>
      <c r="N8">
        <v>4</v>
      </c>
      <c r="O8">
        <v>1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115</v>
      </c>
      <c r="W8" t="s">
        <v>118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30400</v>
      </c>
      <c r="C9" t="s">
        <v>1</v>
      </c>
      <c r="D9" t="s">
        <v>52</v>
      </c>
      <c r="E9" t="s">
        <v>64</v>
      </c>
      <c r="F9" s="4" t="s">
        <v>150</v>
      </c>
      <c r="G9">
        <v>0</v>
      </c>
      <c r="H9">
        <v>3</v>
      </c>
      <c r="I9">
        <v>12</v>
      </c>
      <c r="J9">
        <v>31</v>
      </c>
      <c r="K9">
        <v>1000</v>
      </c>
      <c r="L9">
        <v>11</v>
      </c>
      <c r="M9">
        <v>10</v>
      </c>
      <c r="N9">
        <v>4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115</v>
      </c>
      <c r="W9" t="s">
        <v>118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0"/>
        <v>1008</v>
      </c>
      <c r="B10">
        <v>20500</v>
      </c>
      <c r="C10" t="s">
        <v>1</v>
      </c>
      <c r="D10" t="s">
        <v>43</v>
      </c>
      <c r="E10" t="s">
        <v>100</v>
      </c>
      <c r="F10" s="4" t="s">
        <v>102</v>
      </c>
      <c r="G10">
        <v>0</v>
      </c>
      <c r="H10">
        <v>4</v>
      </c>
      <c r="I10">
        <v>12</v>
      </c>
      <c r="J10">
        <v>31</v>
      </c>
      <c r="K10">
        <v>1500</v>
      </c>
      <c r="L10">
        <v>12</v>
      </c>
      <c r="M10">
        <v>10</v>
      </c>
      <c r="N10">
        <v>5</v>
      </c>
      <c r="O10">
        <v>1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115</v>
      </c>
      <c r="W10" t="s">
        <v>118</v>
      </c>
      <c r="X10" t="s">
        <v>114</v>
      </c>
      <c r="Y10" s="4" t="s">
        <v>21</v>
      </c>
      <c r="Z10">
        <v>0</v>
      </c>
    </row>
    <row r="11" spans="1:26" ht="35.25" customHeight="1" x14ac:dyDescent="0.4">
      <c r="A11">
        <f t="shared" si="0"/>
        <v>1009</v>
      </c>
      <c r="B11">
        <v>20600</v>
      </c>
      <c r="C11" t="s">
        <v>1</v>
      </c>
      <c r="D11" t="s">
        <v>44</v>
      </c>
      <c r="E11" t="s">
        <v>154</v>
      </c>
      <c r="F11" s="4" t="s">
        <v>103</v>
      </c>
      <c r="G11">
        <v>0</v>
      </c>
      <c r="H11">
        <v>3</v>
      </c>
      <c r="I11">
        <v>12</v>
      </c>
      <c r="J11">
        <v>31</v>
      </c>
      <c r="K11">
        <v>1500</v>
      </c>
      <c r="L11">
        <v>13</v>
      </c>
      <c r="M11">
        <v>15</v>
      </c>
      <c r="N11">
        <v>4</v>
      </c>
      <c r="O11">
        <v>1</v>
      </c>
      <c r="P11">
        <v>99</v>
      </c>
      <c r="Q11">
        <v>1</v>
      </c>
      <c r="R11">
        <v>0</v>
      </c>
      <c r="S11">
        <v>3</v>
      </c>
      <c r="T11">
        <v>0</v>
      </c>
      <c r="U11">
        <v>0</v>
      </c>
      <c r="V11" t="s">
        <v>115</v>
      </c>
      <c r="W11" t="s">
        <v>118</v>
      </c>
      <c r="X11" t="s">
        <v>114</v>
      </c>
      <c r="Y11" s="4" t="s">
        <v>21</v>
      </c>
      <c r="Z11">
        <v>0</v>
      </c>
    </row>
    <row r="12" spans="1:26" ht="35.25" customHeight="1" x14ac:dyDescent="0.4">
      <c r="A12">
        <f>ROW()-2+1000</f>
        <v>1010</v>
      </c>
      <c r="B12">
        <v>20700</v>
      </c>
      <c r="C12" t="s">
        <v>1</v>
      </c>
      <c r="D12" t="s">
        <v>45</v>
      </c>
      <c r="E12" t="s">
        <v>158</v>
      </c>
      <c r="F12" s="4" t="s">
        <v>159</v>
      </c>
      <c r="G12">
        <v>0</v>
      </c>
      <c r="H12">
        <v>5</v>
      </c>
      <c r="I12">
        <v>12</v>
      </c>
      <c r="J12">
        <v>31</v>
      </c>
      <c r="K12">
        <v>3000</v>
      </c>
      <c r="L12">
        <v>13</v>
      </c>
      <c r="M12">
        <v>18</v>
      </c>
      <c r="N12">
        <v>5</v>
      </c>
      <c r="O12">
        <v>1</v>
      </c>
      <c r="P12">
        <v>99</v>
      </c>
      <c r="Q12">
        <v>1</v>
      </c>
      <c r="R12">
        <v>0</v>
      </c>
      <c r="S12">
        <v>5</v>
      </c>
      <c r="T12">
        <v>0</v>
      </c>
      <c r="U12">
        <v>0</v>
      </c>
      <c r="V12" t="s">
        <v>115</v>
      </c>
      <c r="W12" t="s">
        <v>118</v>
      </c>
      <c r="X12" t="s">
        <v>114</v>
      </c>
      <c r="Y12" s="4" t="s">
        <v>21</v>
      </c>
      <c r="Z12">
        <v>0</v>
      </c>
    </row>
    <row r="13" spans="1:26" ht="30" customHeight="1" x14ac:dyDescent="0.4">
      <c r="A13">
        <f>ROW()-2+1000</f>
        <v>1011</v>
      </c>
      <c r="B13">
        <v>2000</v>
      </c>
      <c r="C13" t="s">
        <v>1</v>
      </c>
      <c r="D13" t="s">
        <v>37</v>
      </c>
      <c r="E13" t="s">
        <v>141</v>
      </c>
      <c r="F13" s="4" t="s">
        <v>145</v>
      </c>
      <c r="G13">
        <v>0</v>
      </c>
      <c r="H13">
        <v>5</v>
      </c>
      <c r="I13">
        <v>12</v>
      </c>
      <c r="J13">
        <v>31</v>
      </c>
      <c r="K13">
        <v>0</v>
      </c>
      <c r="L13">
        <v>200</v>
      </c>
      <c r="M13">
        <v>12</v>
      </c>
      <c r="N13">
        <v>5</v>
      </c>
      <c r="O13">
        <v>1</v>
      </c>
      <c r="P13">
        <v>99</v>
      </c>
      <c r="Q13">
        <v>0</v>
      </c>
      <c r="R13">
        <v>0</v>
      </c>
      <c r="S13">
        <v>4</v>
      </c>
      <c r="T13">
        <v>0</v>
      </c>
      <c r="U13">
        <v>0</v>
      </c>
      <c r="V13" t="s">
        <v>115</v>
      </c>
      <c r="W13" t="s">
        <v>118</v>
      </c>
      <c r="X13" t="s">
        <v>113</v>
      </c>
      <c r="Y13" s="4" t="s">
        <v>20</v>
      </c>
      <c r="Z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2"/>
  <sheetViews>
    <sheetView workbookViewId="0">
      <selection activeCell="K8" sqref="K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97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116</v>
      </c>
      <c r="W2" t="s">
        <v>120</v>
      </c>
      <c r="X2" t="s">
        <v>114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30900</v>
      </c>
      <c r="C3" t="s">
        <v>1</v>
      </c>
      <c r="D3" t="s">
        <v>163</v>
      </c>
      <c r="E3" t="s">
        <v>164</v>
      </c>
      <c r="F3" s="4" t="s">
        <v>165</v>
      </c>
      <c r="G3">
        <v>0</v>
      </c>
      <c r="H3">
        <v>1</v>
      </c>
      <c r="I3">
        <v>12</v>
      </c>
      <c r="J3">
        <v>31</v>
      </c>
      <c r="K3">
        <v>300</v>
      </c>
      <c r="L3">
        <v>1</v>
      </c>
      <c r="M3">
        <v>0</v>
      </c>
      <c r="N3">
        <v>2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116</v>
      </c>
      <c r="W3" t="s">
        <v>120</v>
      </c>
      <c r="X3" t="s">
        <v>114</v>
      </c>
      <c r="Y3" s="4" t="s">
        <v>21</v>
      </c>
      <c r="Z3">
        <v>0</v>
      </c>
    </row>
    <row r="4" spans="1:26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130</v>
      </c>
      <c r="G4">
        <v>0</v>
      </c>
      <c r="H4">
        <v>2</v>
      </c>
      <c r="I4">
        <v>12</v>
      </c>
      <c r="J4">
        <v>31</v>
      </c>
      <c r="K4">
        <v>500</v>
      </c>
      <c r="L4">
        <v>20</v>
      </c>
      <c r="M4">
        <v>10</v>
      </c>
      <c r="N4">
        <v>2</v>
      </c>
      <c r="O4">
        <v>1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116</v>
      </c>
      <c r="W4" t="s">
        <v>120</v>
      </c>
      <c r="X4" t="s">
        <v>114</v>
      </c>
      <c r="Y4" s="4" t="s">
        <v>24</v>
      </c>
      <c r="Z4">
        <v>0</v>
      </c>
    </row>
    <row r="5" spans="1:26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128</v>
      </c>
      <c r="G5">
        <v>0</v>
      </c>
      <c r="H5">
        <v>3</v>
      </c>
      <c r="I5">
        <v>12</v>
      </c>
      <c r="J5">
        <v>31</v>
      </c>
      <c r="K5">
        <v>500</v>
      </c>
      <c r="L5">
        <v>20</v>
      </c>
      <c r="M5">
        <v>15</v>
      </c>
      <c r="N5">
        <v>3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116</v>
      </c>
      <c r="W5" t="s">
        <v>120</v>
      </c>
      <c r="X5" t="s">
        <v>114</v>
      </c>
      <c r="Y5" s="4" t="s">
        <v>24</v>
      </c>
      <c r="Z5">
        <v>0</v>
      </c>
    </row>
    <row r="6" spans="1:26" ht="35.25" customHeight="1" x14ac:dyDescent="0.4">
      <c r="A6">
        <f>ROW()-2+2000</f>
        <v>2004</v>
      </c>
      <c r="B6">
        <v>30500</v>
      </c>
      <c r="C6" t="s">
        <v>1</v>
      </c>
      <c r="D6" t="s">
        <v>53</v>
      </c>
      <c r="E6" t="s">
        <v>85</v>
      </c>
      <c r="F6" s="4" t="s">
        <v>151</v>
      </c>
      <c r="G6">
        <v>0</v>
      </c>
      <c r="H6">
        <v>5</v>
      </c>
      <c r="I6">
        <v>12</v>
      </c>
      <c r="J6">
        <v>31</v>
      </c>
      <c r="K6">
        <v>1200</v>
      </c>
      <c r="L6">
        <v>21</v>
      </c>
      <c r="M6">
        <v>23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157</v>
      </c>
      <c r="W6" t="s">
        <v>120</v>
      </c>
      <c r="X6" t="s">
        <v>114</v>
      </c>
      <c r="Y6" s="4" t="s">
        <v>21</v>
      </c>
      <c r="Z6">
        <v>0</v>
      </c>
    </row>
    <row r="7" spans="1:26" s="7" customFormat="1" ht="35.25" customHeight="1" x14ac:dyDescent="0.4">
      <c r="A7" s="7">
        <f>ROW()-2+2000</f>
        <v>2005</v>
      </c>
      <c r="B7" s="7">
        <v>40300</v>
      </c>
      <c r="C7" s="7" t="s">
        <v>1</v>
      </c>
      <c r="D7" s="7" t="s">
        <v>59</v>
      </c>
      <c r="E7" s="7" t="s">
        <v>98</v>
      </c>
      <c r="F7" s="8" t="s">
        <v>169</v>
      </c>
      <c r="G7" s="7">
        <v>0</v>
      </c>
      <c r="H7" s="7">
        <v>2</v>
      </c>
      <c r="I7" s="7">
        <v>12</v>
      </c>
      <c r="J7" s="7">
        <v>31</v>
      </c>
      <c r="K7" s="7">
        <v>600</v>
      </c>
      <c r="L7" s="7">
        <v>21</v>
      </c>
      <c r="M7" s="7">
        <v>20</v>
      </c>
      <c r="N7" s="7">
        <v>3</v>
      </c>
      <c r="O7" s="7">
        <v>1</v>
      </c>
      <c r="P7" s="7">
        <v>99</v>
      </c>
      <c r="Q7" s="7">
        <v>1</v>
      </c>
      <c r="R7" s="7">
        <v>0</v>
      </c>
      <c r="S7" s="7">
        <v>3</v>
      </c>
      <c r="T7" s="7">
        <v>0</v>
      </c>
      <c r="U7" s="7">
        <v>0</v>
      </c>
      <c r="V7" s="7" t="s">
        <v>117</v>
      </c>
      <c r="W7" s="7" t="s">
        <v>119</v>
      </c>
      <c r="X7" s="7" t="s">
        <v>114</v>
      </c>
      <c r="Y7" s="8" t="s">
        <v>21</v>
      </c>
      <c r="Z7" s="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86</v>
      </c>
      <c r="F8" s="4" t="s">
        <v>152</v>
      </c>
      <c r="G8">
        <v>0</v>
      </c>
      <c r="H8">
        <v>3</v>
      </c>
      <c r="I8">
        <v>12</v>
      </c>
      <c r="J8">
        <v>31</v>
      </c>
      <c r="K8">
        <v>1500</v>
      </c>
      <c r="L8">
        <v>22</v>
      </c>
      <c r="M8">
        <v>30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116</v>
      </c>
      <c r="W8" t="s">
        <v>120</v>
      </c>
      <c r="X8" t="s">
        <v>114</v>
      </c>
      <c r="Y8" s="4" t="s">
        <v>21</v>
      </c>
      <c r="Z8">
        <v>0</v>
      </c>
    </row>
    <row r="9" spans="1:26" ht="35.25" customHeight="1" x14ac:dyDescent="0.4">
      <c r="A9">
        <f t="shared" ref="A9:A10" si="1">ROW()-2+2000</f>
        <v>2007</v>
      </c>
      <c r="B9">
        <v>10600</v>
      </c>
      <c r="C9" t="s">
        <v>1</v>
      </c>
      <c r="D9" t="s">
        <v>33</v>
      </c>
      <c r="E9" t="s">
        <v>84</v>
      </c>
      <c r="F9" s="4" t="s">
        <v>170</v>
      </c>
      <c r="G9">
        <v>0</v>
      </c>
      <c r="H9">
        <v>5</v>
      </c>
      <c r="I9">
        <v>12</v>
      </c>
      <c r="J9">
        <v>31</v>
      </c>
      <c r="K9">
        <v>2000</v>
      </c>
      <c r="L9">
        <v>22</v>
      </c>
      <c r="M9">
        <v>25</v>
      </c>
      <c r="N9">
        <v>4</v>
      </c>
      <c r="O9">
        <v>0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116</v>
      </c>
      <c r="W9" t="s">
        <v>120</v>
      </c>
      <c r="X9" t="s">
        <v>114</v>
      </c>
      <c r="Y9" s="4" t="s">
        <v>21</v>
      </c>
      <c r="Z9">
        <v>0</v>
      </c>
    </row>
    <row r="10" spans="1:26" ht="35.25" customHeight="1" x14ac:dyDescent="0.4">
      <c r="A10">
        <f t="shared" si="1"/>
        <v>2008</v>
      </c>
      <c r="B10">
        <v>10700</v>
      </c>
      <c r="C10" t="s">
        <v>1</v>
      </c>
      <c r="D10" t="s">
        <v>34</v>
      </c>
      <c r="E10" t="s">
        <v>91</v>
      </c>
      <c r="F10" s="4" t="s">
        <v>95</v>
      </c>
      <c r="G10">
        <v>0</v>
      </c>
      <c r="H10">
        <v>5</v>
      </c>
      <c r="I10">
        <v>12</v>
      </c>
      <c r="J10">
        <v>31</v>
      </c>
      <c r="K10">
        <v>3000</v>
      </c>
      <c r="L10">
        <v>22</v>
      </c>
      <c r="M10">
        <v>30</v>
      </c>
      <c r="N10">
        <v>5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116</v>
      </c>
      <c r="W10" t="s">
        <v>120</v>
      </c>
      <c r="X10" t="s">
        <v>114</v>
      </c>
      <c r="Y10" s="4" t="s">
        <v>21</v>
      </c>
      <c r="Z10">
        <v>0</v>
      </c>
    </row>
    <row r="11" spans="1:26" s="2" customFormat="1" ht="35.25" customHeight="1" x14ac:dyDescent="0.4">
      <c r="A11" s="2">
        <f>ROW()-2+2000</f>
        <v>2009</v>
      </c>
      <c r="B11" s="2">
        <v>30800</v>
      </c>
      <c r="C11" s="2" t="s">
        <v>1</v>
      </c>
      <c r="D11" s="2" t="s">
        <v>123</v>
      </c>
      <c r="E11" s="2" t="s">
        <v>124</v>
      </c>
      <c r="F11" s="3" t="s">
        <v>127</v>
      </c>
      <c r="G11" s="2">
        <v>0</v>
      </c>
      <c r="H11" s="2">
        <v>5</v>
      </c>
      <c r="I11" s="2">
        <v>12</v>
      </c>
      <c r="J11" s="2">
        <v>31</v>
      </c>
      <c r="K11" s="2">
        <v>3000</v>
      </c>
      <c r="L11" s="2">
        <v>9999</v>
      </c>
      <c r="M11" s="2">
        <v>25</v>
      </c>
      <c r="N11" s="2">
        <v>3</v>
      </c>
      <c r="O11" s="2">
        <v>0</v>
      </c>
      <c r="P11" s="2">
        <v>99</v>
      </c>
      <c r="Q11" s="2">
        <v>1</v>
      </c>
      <c r="R11" s="2">
        <v>0</v>
      </c>
      <c r="S11" s="2">
        <v>5</v>
      </c>
      <c r="T11" s="2">
        <v>0</v>
      </c>
      <c r="U11" s="2">
        <v>0</v>
      </c>
      <c r="V11" s="2" t="s">
        <v>116</v>
      </c>
      <c r="W11" s="2" t="s">
        <v>120</v>
      </c>
      <c r="X11" s="2" t="s">
        <v>114</v>
      </c>
      <c r="Y11" s="3" t="s">
        <v>21</v>
      </c>
      <c r="Z11" s="2">
        <v>0</v>
      </c>
    </row>
    <row r="12" spans="1:26" ht="30" customHeight="1" x14ac:dyDescent="0.4">
      <c r="A12">
        <f>ROW()-2+2000</f>
        <v>2010</v>
      </c>
      <c r="B12">
        <v>3000</v>
      </c>
      <c r="C12" t="s">
        <v>1</v>
      </c>
      <c r="D12" t="s">
        <v>46</v>
      </c>
      <c r="E12" t="s">
        <v>137</v>
      </c>
      <c r="F12" s="4" t="s">
        <v>153</v>
      </c>
      <c r="G12">
        <v>0</v>
      </c>
      <c r="H12">
        <v>5</v>
      </c>
      <c r="I12">
        <v>12</v>
      </c>
      <c r="J12">
        <v>31</v>
      </c>
      <c r="K12">
        <v>0</v>
      </c>
      <c r="L12">
        <v>300</v>
      </c>
      <c r="M12">
        <v>18</v>
      </c>
      <c r="N12">
        <v>5</v>
      </c>
      <c r="O12">
        <v>1</v>
      </c>
      <c r="P12">
        <v>99</v>
      </c>
      <c r="Q12">
        <v>0</v>
      </c>
      <c r="R12">
        <v>0</v>
      </c>
      <c r="S12">
        <v>4</v>
      </c>
      <c r="T12">
        <v>0</v>
      </c>
      <c r="U12">
        <v>0</v>
      </c>
      <c r="V12" t="s">
        <v>116</v>
      </c>
      <c r="W12" t="s">
        <v>120</v>
      </c>
      <c r="X12" t="s">
        <v>146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9"/>
  <sheetViews>
    <sheetView tabSelected="1" workbookViewId="0">
      <selection activeCell="E5" sqref="E5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104</v>
      </c>
      <c r="U1" s="1" t="s">
        <v>105</v>
      </c>
      <c r="V1" s="1" t="s">
        <v>109</v>
      </c>
      <c r="W1" s="1" t="s">
        <v>110</v>
      </c>
      <c r="X1" s="1" t="s">
        <v>111</v>
      </c>
      <c r="Y1" s="1" t="s">
        <v>19</v>
      </c>
      <c r="Z1" s="1" t="s">
        <v>26</v>
      </c>
    </row>
    <row r="2" spans="1:26" s="5" customFormat="1" ht="35.25" customHeight="1" x14ac:dyDescent="0.4">
      <c r="A2" s="5">
        <f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138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2</v>
      </c>
      <c r="T2" s="5">
        <v>0</v>
      </c>
      <c r="U2" s="5">
        <v>0</v>
      </c>
      <c r="V2" s="5" t="s">
        <v>117</v>
      </c>
      <c r="W2" s="5" t="s">
        <v>119</v>
      </c>
      <c r="X2" s="5" t="s">
        <v>114</v>
      </c>
      <c r="Y2" s="6" t="s">
        <v>21</v>
      </c>
      <c r="Z2" s="5">
        <v>0</v>
      </c>
    </row>
    <row r="3" spans="1:26" s="5" customFormat="1" ht="35.25" customHeight="1" x14ac:dyDescent="0.4">
      <c r="A3" s="5">
        <f>ROW()-2+3000</f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125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117</v>
      </c>
      <c r="W3" s="5" t="s">
        <v>119</v>
      </c>
      <c r="X3" s="5" t="s">
        <v>114</v>
      </c>
      <c r="Y3" s="6" t="s">
        <v>24</v>
      </c>
      <c r="Z3" s="5">
        <v>0</v>
      </c>
    </row>
    <row r="4" spans="1:26" s="5" customFormat="1" ht="35.25" customHeight="1" x14ac:dyDescent="0.4">
      <c r="A4" s="5">
        <f>ROW()-2+3000</f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117</v>
      </c>
      <c r="W4" s="5" t="s">
        <v>119</v>
      </c>
      <c r="X4" s="5" t="s">
        <v>114</v>
      </c>
      <c r="Y4" s="6" t="s">
        <v>21</v>
      </c>
      <c r="Z4" s="5">
        <v>0</v>
      </c>
    </row>
    <row r="5" spans="1:26" s="5" customFormat="1" ht="35.25" customHeight="1" x14ac:dyDescent="0.4">
      <c r="A5" s="5">
        <f>ROW()-2+3000</f>
        <v>3003</v>
      </c>
      <c r="B5" s="5">
        <v>40400</v>
      </c>
      <c r="C5" s="5" t="s">
        <v>1</v>
      </c>
      <c r="D5" s="5" t="s">
        <v>60</v>
      </c>
      <c r="E5" s="5" t="s">
        <v>132</v>
      </c>
      <c r="F5" s="6" t="s">
        <v>133</v>
      </c>
      <c r="G5" s="5">
        <v>0</v>
      </c>
      <c r="H5" s="5">
        <v>3</v>
      </c>
      <c r="I5" s="5">
        <v>12</v>
      </c>
      <c r="J5" s="5">
        <v>31</v>
      </c>
      <c r="K5" s="5">
        <v>700</v>
      </c>
      <c r="L5" s="5">
        <v>30</v>
      </c>
      <c r="M5" s="5">
        <v>25</v>
      </c>
      <c r="N5" s="5">
        <v>4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117</v>
      </c>
      <c r="W5" s="5" t="s">
        <v>119</v>
      </c>
      <c r="X5" s="5" t="s">
        <v>114</v>
      </c>
      <c r="Y5" s="6" t="s">
        <v>21</v>
      </c>
      <c r="Z5" s="5">
        <v>0</v>
      </c>
    </row>
    <row r="6" spans="1:26" s="5" customFormat="1" ht="35.25" customHeight="1" x14ac:dyDescent="0.4">
      <c r="A6" s="5">
        <f>ROW()-2+3000</f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6" t="s">
        <v>78</v>
      </c>
      <c r="G6" s="5">
        <v>0</v>
      </c>
      <c r="H6" s="5">
        <v>5</v>
      </c>
      <c r="I6" s="5">
        <v>12</v>
      </c>
      <c r="J6" s="5">
        <v>31</v>
      </c>
      <c r="K6" s="5">
        <v>1000</v>
      </c>
      <c r="L6" s="5">
        <v>31</v>
      </c>
      <c r="M6" s="5">
        <v>25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117</v>
      </c>
      <c r="W6" s="5" t="s">
        <v>119</v>
      </c>
      <c r="X6" s="5" t="s">
        <v>114</v>
      </c>
      <c r="Y6" s="6" t="s">
        <v>21</v>
      </c>
      <c r="Z6" s="5">
        <v>0</v>
      </c>
    </row>
    <row r="7" spans="1:26" s="5" customFormat="1" ht="35.25" customHeight="1" x14ac:dyDescent="0.4">
      <c r="A7" s="5">
        <f>ROW()-2+3000</f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134</v>
      </c>
      <c r="G7" s="5">
        <v>0</v>
      </c>
      <c r="H7" s="5">
        <v>5</v>
      </c>
      <c r="I7" s="5">
        <v>12</v>
      </c>
      <c r="J7" s="5">
        <v>31</v>
      </c>
      <c r="K7" s="5">
        <v>1500</v>
      </c>
      <c r="L7" s="5">
        <v>32</v>
      </c>
      <c r="M7" s="5">
        <v>35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3</v>
      </c>
      <c r="T7" s="5">
        <v>0</v>
      </c>
      <c r="U7" s="5">
        <v>0</v>
      </c>
      <c r="V7" s="5" t="s">
        <v>117</v>
      </c>
      <c r="W7" s="5" t="s">
        <v>119</v>
      </c>
      <c r="X7" s="5" t="s">
        <v>114</v>
      </c>
      <c r="Y7" s="6" t="s">
        <v>21</v>
      </c>
      <c r="Z7" s="5">
        <v>0</v>
      </c>
    </row>
    <row r="8" spans="1:26" s="5" customFormat="1" ht="35.25" customHeight="1" x14ac:dyDescent="0.4">
      <c r="A8" s="5">
        <f>ROW()-2+3000</f>
        <v>3006</v>
      </c>
      <c r="B8" s="5">
        <v>40700</v>
      </c>
      <c r="C8" s="5" t="s">
        <v>1</v>
      </c>
      <c r="D8" s="5" t="s">
        <v>63</v>
      </c>
      <c r="E8" s="5" t="s">
        <v>126</v>
      </c>
      <c r="F8" s="6" t="s">
        <v>135</v>
      </c>
      <c r="G8" s="5">
        <v>0</v>
      </c>
      <c r="H8" s="5">
        <v>6</v>
      </c>
      <c r="I8" s="5">
        <v>12</v>
      </c>
      <c r="J8" s="5">
        <v>31</v>
      </c>
      <c r="K8" s="5">
        <v>3000</v>
      </c>
      <c r="L8" s="5">
        <v>32</v>
      </c>
      <c r="M8" s="5">
        <v>45</v>
      </c>
      <c r="N8" s="5">
        <v>5</v>
      </c>
      <c r="O8" s="5">
        <v>1</v>
      </c>
      <c r="P8" s="5">
        <v>99</v>
      </c>
      <c r="Q8" s="5">
        <v>1</v>
      </c>
      <c r="R8" s="5">
        <v>0</v>
      </c>
      <c r="S8" s="5">
        <v>5</v>
      </c>
      <c r="T8" s="5">
        <v>0</v>
      </c>
      <c r="U8" s="5">
        <v>0</v>
      </c>
      <c r="V8" s="5" t="s">
        <v>117</v>
      </c>
      <c r="W8" s="5" t="s">
        <v>119</v>
      </c>
      <c r="X8" s="5" t="s">
        <v>114</v>
      </c>
      <c r="Y8" s="6" t="s">
        <v>21</v>
      </c>
      <c r="Z8" s="5">
        <v>0</v>
      </c>
    </row>
    <row r="9" spans="1:26" s="5" customFormat="1" ht="30" customHeight="1" x14ac:dyDescent="0.4">
      <c r="A9" s="5">
        <f>ROW()-2+3000</f>
        <v>3007</v>
      </c>
      <c r="B9" s="5">
        <v>4000</v>
      </c>
      <c r="C9" s="5" t="s">
        <v>1</v>
      </c>
      <c r="D9" s="5" t="s">
        <v>47</v>
      </c>
      <c r="E9" s="5" t="s">
        <v>136</v>
      </c>
      <c r="F9" s="6" t="s">
        <v>139</v>
      </c>
      <c r="G9" s="5">
        <v>0</v>
      </c>
      <c r="H9" s="5">
        <v>5</v>
      </c>
      <c r="I9" s="5">
        <v>12</v>
      </c>
      <c r="J9" s="5">
        <v>31</v>
      </c>
      <c r="K9" s="5">
        <v>0</v>
      </c>
      <c r="L9" s="5">
        <v>400</v>
      </c>
      <c r="M9" s="5">
        <v>50</v>
      </c>
      <c r="N9" s="5">
        <v>5</v>
      </c>
      <c r="O9" s="5">
        <v>1</v>
      </c>
      <c r="P9" s="5">
        <v>99</v>
      </c>
      <c r="Q9" s="5">
        <v>0</v>
      </c>
      <c r="R9" s="5">
        <v>0</v>
      </c>
      <c r="S9" s="5">
        <v>5</v>
      </c>
      <c r="T9" s="5">
        <v>0</v>
      </c>
      <c r="U9" s="5">
        <v>0</v>
      </c>
      <c r="V9" s="5" t="s">
        <v>117</v>
      </c>
      <c r="W9" s="5" t="s">
        <v>119</v>
      </c>
      <c r="X9" s="5" t="s">
        <v>113</v>
      </c>
      <c r="Y9" s="6" t="s">
        <v>20</v>
      </c>
      <c r="Z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2025-05-18T05:27:39Z</dcterms:modified>
</cp:coreProperties>
</file>