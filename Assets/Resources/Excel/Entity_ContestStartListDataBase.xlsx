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7B46D78-B08C-480B-800E-6072740C6720}" xr6:coauthVersionLast="47" xr6:coauthVersionMax="47" xr10:uidLastSave="{00000000-0000-0000-0000-000000000000}"/>
  <bookViews>
    <workbookView xWindow="2775" yWindow="900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<sst xmlns="http://schemas.openxmlformats.org/spreadsheetml/2006/main" count="416" uniqueCount="159">
  <si>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</si>
  <si>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</si>
  <si>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</si>
  <si>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</si>
  <si>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</si>
  <si>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</si>
  <si>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</si>
  <si>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</si>
  <si>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</si>
  <si>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</si>
  <si>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</si>
  <si>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</si>
  <si>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</si>
  <si>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</si>
  <si>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</si>
  <si>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</si>
  <si>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</si>
  <si>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</si>
  <si>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</si>
  <si>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</si>
  <si>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</si>
  <si>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</si>
  <si>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</si>
  <si>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</si>
  <si>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</si>
  <si>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</si>
  <si>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</si>
  <si>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</si>
  <si>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</si>
  <si>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</si>
  <si>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</si>
  <si>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</si>
  <si>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</si>
  <si>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</si>
  <si>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</si>
  <si>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</si>
  <si>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</si>
  <si>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</si>
  <si>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</si>
  <si>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</si>
  <si>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</si>
  <si>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</si>
  <si>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</si>
  <si>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</si>
  <si>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</si>
  <si>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</si>
  <si>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</si>
  <si>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</si>
  <si>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</si>
  <si>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</si>
  <si>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</si>
  <si>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</si>
  <si>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</si>
  <si>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</si>
  <si>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</si>
  <si>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</si>
  <si>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</si>
  <si>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</si>
  <si>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</si>
  <si>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</si>
  <si>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</si>
  <si>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</si>
  <si>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</si>
  <si>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</si>
  <si>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</si>
  <si>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</si>
  <si>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</si>
  <si>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</si>
  <si>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</si>
  <si>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</si>
  <si>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</si>
  <si>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</si>
  <si>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</si>
  <si>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</si>
  <si>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</si>
  <si>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</si>
  <si>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</si>
  <si>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</si>
  <si>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</si>
  <si>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</si>
  <si>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</si>
  <si>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</si>
  <si>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</si>
  <si>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</si>
  <si>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</si>
  <si>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</si>
  <si>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</si>
  <si>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</si>
  <si>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</si>
  <si>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</si>
  <si>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</si>
  <si>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</si>
  <si>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</si>
  <si>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</si>
  <si>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</si>
  <si>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</si>
  <si>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</si>
  <si>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</si>
  <si>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</si>
  <si>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</si>
  <si>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</si>
  <si>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</si>
  <si>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</si>
  <si>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</si>
  <si>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</si>
  <si>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</si>
  <si>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</si>
  <si>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</si>
  <si>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</si>
  <si>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</si>
  <si>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</si>
  <si>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</si>
  <si>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</si>
  <si>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</si>
  <si>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</si>
  <si>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</si>
  <si>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</si>
  <si>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</si>
  <si>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</si>
  <si>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</si>
  <si>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</si>
  <si>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</si>
  <si>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</si>
  <si>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</si>
  <si>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</si>
  <si>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</si>
  <si>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</si>
  <si>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</si>
  <si>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</si>
  <si>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</si>
  <si>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</si>
  <si>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</si>
  <si>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</si>
  <si>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</si>
  <si>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</si>
  <si>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</si>
  <si>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</si>
  <si>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</si>
  <si>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</si>
  <si>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</si>
  <si>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</si>
  <si>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</si>
  <si>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</si>
  <si>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</si>
  <si>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</si>
  <si>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</si>
  <si>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</si>
  <si>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</si>
  <si>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</si>
  <si>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</si>
  <si>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</si>
  <si>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見た目が派手なお菓子限定
名門ハイネ家の招待パーティーに飾るお菓子を募集しています。
パーティーの目玉になる、派手な見た目のお菓子が希望ですわ♪</t>
    <rPh sb="0" eb="1">
      <t>ミ</t>
    </rPh>
    <rPh sb="2" eb="3">
      <t>メ</t>
    </rPh>
    <rPh sb="4" eb="6">
      <t>ハデ</t>
    </rPh>
    <rPh sb="8" eb="10">
      <t>カシ</t>
    </rPh>
    <rPh sb="10" eb="12">
      <t>ゲンテイ</t>
    </rPh>
    <rPh sb="13" eb="15">
      <t>メイモン</t>
    </rPh>
    <rPh sb="18" eb="19">
      <t>ケ</t>
    </rPh>
    <rPh sb="20" eb="22">
      <t>ショウタイ</t>
    </rPh>
    <rPh sb="28" eb="29">
      <t>カザ</t>
    </rPh>
    <rPh sb="31" eb="33">
      <t>カシ</t>
    </rPh>
    <rPh sb="34" eb="36">
      <t>ボシュウ</t>
    </rPh>
    <rPh sb="49" eb="51">
      <t>メダマ</t>
    </rPh>
    <rPh sb="55" eb="57">
      <t>ハデ</t>
    </rPh>
    <rPh sb="58" eb="59">
      <t>ミ</t>
    </rPh>
    <rPh sb="60" eb="61">
      <t>メ</t>
    </rPh>
    <rPh sb="63" eb="65">
      <t>カシ</t>
    </rPh>
    <rPh sb="66" eb="68">
      <t>キボウ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</si>
  <si>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</si>
  <si>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</si>
  <si>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◆おかしの国際コンクール◆
テーマ：自由課題
優勝者には、特別レシピを進呈します。自信のあるお菓子で参加してください！</t>
    <rPh sb="5" eb="7">
      <t>コクサイ</t>
    </rPh>
    <rPh sb="23" eb="26">
      <t>ユウショウシャ</t>
    </rPh>
    <rPh sb="29" eb="31">
      <t>トクベツ</t>
    </rPh>
    <rPh sb="35" eb="37">
      <t>シンテイ</t>
    </rPh>
    <rPh sb="41" eb="43">
      <t>ジシン</t>
    </rPh>
    <rPh sb="47" eb="49">
      <t>カシ</t>
    </rPh>
    <rPh sb="50" eb="52">
      <t>サンカ</t>
    </rPh>
    <phoneticPr fontId="2"/>
  </si>
  <si>
    <t>sound73</t>
    <phoneticPr fontId="2"/>
  </si>
  <si>
    <t>ケーキ限定
春の大精霊様が年に一度開くケーキコンテストです。
自信のある豪華なケーキを見せてください！</t>
    <rPh sb="3" eb="5">
      <t>ゲンテイ</t>
    </rPh>
    <rPh sb="6" eb="7">
      <t>ハル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</si>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</sst>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workbookViewId="0">
      <selection activeCell="M10" sqref="M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149</v>
      </c>
      <c r="E2" s="2" t="s">
        <v>6</v>
      </c>
      <c r="F2" s="3" t="s">
        <v>157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110</v>
      </c>
      <c r="W2" s="2" t="s">
        <v>114</v>
      </c>
      <c r="X2" s="2" t="s">
        <v>115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108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110</v>
      </c>
      <c r="W3" t="s">
        <v>114</v>
      </c>
      <c r="X3" t="s">
        <v>116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110</v>
      </c>
      <c r="W4" t="s">
        <v>114</v>
      </c>
      <c r="X4" t="s">
        <v>116</v>
      </c>
      <c r="Y4" s="4" t="s">
        <v>109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110</v>
      </c>
      <c r="W5" t="s">
        <v>114</v>
      </c>
      <c r="X5" t="s">
        <v>116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131</v>
      </c>
      <c r="G6">
        <v>0</v>
      </c>
      <c r="H6">
        <v>3</v>
      </c>
      <c r="I6">
        <v>12</v>
      </c>
      <c r="J6">
        <v>31</v>
      </c>
      <c r="K6">
        <v>500</v>
      </c>
      <c r="L6">
        <v>4</v>
      </c>
      <c r="M6">
        <v>8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110</v>
      </c>
      <c r="W6" t="s">
        <v>114</v>
      </c>
      <c r="X6" t="s">
        <v>116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700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110</v>
      </c>
      <c r="W7" t="s">
        <v>114</v>
      </c>
      <c r="X7" t="s">
        <v>116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123</v>
      </c>
      <c r="G8">
        <v>0</v>
      </c>
      <c r="H8">
        <v>3</v>
      </c>
      <c r="I8">
        <v>12</v>
      </c>
      <c r="J8">
        <v>31</v>
      </c>
      <c r="K8">
        <v>400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110</v>
      </c>
      <c r="W8" t="s">
        <v>114</v>
      </c>
      <c r="X8" t="s">
        <v>116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124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110</v>
      </c>
      <c r="W9" t="s">
        <v>114</v>
      </c>
      <c r="X9" t="s">
        <v>116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156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6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110</v>
      </c>
      <c r="W10" t="s">
        <v>114</v>
      </c>
      <c r="X10" t="s">
        <v>116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6</v>
      </c>
      <c r="M11">
        <v>20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110</v>
      </c>
      <c r="W11" t="s">
        <v>114</v>
      </c>
      <c r="X11" t="s">
        <v>116</v>
      </c>
      <c r="Y11" s="4" t="s">
        <v>21</v>
      </c>
      <c r="Z11">
        <v>0</v>
      </c>
    </row>
    <row r="12" spans="1:26" ht="30" customHeight="1" x14ac:dyDescent="0.4">
      <c r="A12">
        <f>ROW()-2</f>
        <v>10</v>
      </c>
      <c r="B12">
        <v>1000</v>
      </c>
      <c r="C12" t="s">
        <v>1</v>
      </c>
      <c r="D12" t="s">
        <v>7</v>
      </c>
      <c r="E12" t="s">
        <v>29</v>
      </c>
      <c r="F12" s="4" t="s">
        <v>147</v>
      </c>
      <c r="G12">
        <v>0</v>
      </c>
      <c r="H12">
        <v>5</v>
      </c>
      <c r="I12">
        <v>12</v>
      </c>
      <c r="J12">
        <v>31</v>
      </c>
      <c r="K12">
        <v>0</v>
      </c>
      <c r="L12">
        <v>100</v>
      </c>
      <c r="M12">
        <v>5</v>
      </c>
      <c r="N12">
        <v>4</v>
      </c>
      <c r="O12">
        <v>1</v>
      </c>
      <c r="P12">
        <v>99</v>
      </c>
      <c r="Q12">
        <v>0</v>
      </c>
      <c r="R12">
        <v>0</v>
      </c>
      <c r="S12">
        <v>0</v>
      </c>
      <c r="T12">
        <v>0</v>
      </c>
      <c r="U12">
        <v>0</v>
      </c>
      <c r="V12" t="s">
        <v>110</v>
      </c>
      <c r="W12" t="s">
        <v>114</v>
      </c>
      <c r="X12" t="s">
        <v>115</v>
      </c>
      <c r="Y12" s="4" t="s">
        <v>20</v>
      </c>
      <c r="Z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workbookViewId="0">
      <selection activeCell="F6" sqref="F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132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117</v>
      </c>
      <c r="W2" t="s">
        <v>120</v>
      </c>
      <c r="X2" t="s">
        <v>116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3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117</v>
      </c>
      <c r="W3" t="s">
        <v>120</v>
      </c>
      <c r="X3" t="s">
        <v>116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150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117</v>
      </c>
      <c r="W4" t="s">
        <v>120</v>
      </c>
      <c r="X4" t="s">
        <v>116</v>
      </c>
      <c r="Y4" s="4" t="s">
        <v>21</v>
      </c>
      <c r="Z4">
        <v>0</v>
      </c>
    </row>
    <row r="5" spans="1:26" s="5" customFormat="1" ht="35.25" customHeight="1" x14ac:dyDescent="0.4">
      <c r="A5" s="5">
        <f t="shared" si="0"/>
        <v>1003</v>
      </c>
      <c r="B5" s="5">
        <v>20300</v>
      </c>
      <c r="C5" s="5" t="s">
        <v>1</v>
      </c>
      <c r="D5" s="5" t="s">
        <v>41</v>
      </c>
      <c r="E5" s="5" t="s">
        <v>67</v>
      </c>
      <c r="F5" s="6" t="s">
        <v>158</v>
      </c>
      <c r="G5" s="5">
        <v>0</v>
      </c>
      <c r="H5" s="5">
        <v>3</v>
      </c>
      <c r="I5" s="5">
        <v>12</v>
      </c>
      <c r="J5" s="5">
        <v>31</v>
      </c>
      <c r="K5" s="5">
        <v>500</v>
      </c>
      <c r="L5" s="5">
        <v>11</v>
      </c>
      <c r="M5" s="5">
        <v>7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117</v>
      </c>
      <c r="W5" s="5" t="s">
        <v>120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1004</v>
      </c>
      <c r="B6" s="5">
        <v>20400</v>
      </c>
      <c r="C6" s="5" t="s">
        <v>1</v>
      </c>
      <c r="D6" s="5" t="s">
        <v>42</v>
      </c>
      <c r="E6" s="5" t="s">
        <v>68</v>
      </c>
      <c r="F6" s="6" t="s">
        <v>69</v>
      </c>
      <c r="G6" s="5">
        <v>0</v>
      </c>
      <c r="H6" s="5">
        <v>4</v>
      </c>
      <c r="I6" s="5">
        <v>12</v>
      </c>
      <c r="J6" s="5">
        <v>31</v>
      </c>
      <c r="K6" s="5">
        <v>1000</v>
      </c>
      <c r="L6" s="5">
        <v>11</v>
      </c>
      <c r="M6" s="5">
        <v>10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5</v>
      </c>
      <c r="T6" s="5">
        <v>0</v>
      </c>
      <c r="U6" s="5">
        <v>0</v>
      </c>
      <c r="V6" s="5" t="s">
        <v>117</v>
      </c>
      <c r="W6" s="5" t="s">
        <v>120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1005</v>
      </c>
      <c r="B7" s="5">
        <v>20500</v>
      </c>
      <c r="C7" s="5" t="s">
        <v>1</v>
      </c>
      <c r="D7" s="5" t="s">
        <v>43</v>
      </c>
      <c r="E7" s="5" t="s">
        <v>102</v>
      </c>
      <c r="F7" s="6" t="s">
        <v>104</v>
      </c>
      <c r="G7" s="5">
        <v>0</v>
      </c>
      <c r="H7" s="5">
        <v>4</v>
      </c>
      <c r="I7" s="5">
        <v>12</v>
      </c>
      <c r="J7" s="5">
        <v>31</v>
      </c>
      <c r="K7" s="5">
        <v>1500</v>
      </c>
      <c r="L7" s="5">
        <v>10</v>
      </c>
      <c r="M7" s="5">
        <v>10</v>
      </c>
      <c r="N7" s="5">
        <v>4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117</v>
      </c>
      <c r="W7" s="5" t="s">
        <v>120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1006</v>
      </c>
      <c r="B8" s="5">
        <v>20600</v>
      </c>
      <c r="C8" s="5" t="s">
        <v>1</v>
      </c>
      <c r="D8" s="5" t="s">
        <v>44</v>
      </c>
      <c r="E8" s="5" t="s">
        <v>75</v>
      </c>
      <c r="F8" s="6" t="s">
        <v>105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12</v>
      </c>
      <c r="M8" s="5">
        <v>15</v>
      </c>
      <c r="N8" s="5">
        <v>4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117</v>
      </c>
      <c r="W8" s="5" t="s">
        <v>120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>ROW()-2+1000</f>
        <v>1007</v>
      </c>
      <c r="B9" s="5">
        <v>20700</v>
      </c>
      <c r="C9" s="5" t="s">
        <v>1</v>
      </c>
      <c r="D9" s="5" t="s">
        <v>45</v>
      </c>
      <c r="E9" s="5" t="s">
        <v>88</v>
      </c>
      <c r="F9" s="6" t="s">
        <v>133</v>
      </c>
      <c r="G9" s="5">
        <v>0</v>
      </c>
      <c r="H9" s="5">
        <v>5</v>
      </c>
      <c r="I9" s="5">
        <v>12</v>
      </c>
      <c r="J9" s="5">
        <v>31</v>
      </c>
      <c r="K9" s="5">
        <v>5000</v>
      </c>
      <c r="L9" s="5">
        <v>12</v>
      </c>
      <c r="M9" s="5">
        <v>18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117</v>
      </c>
      <c r="W9" s="5" t="s">
        <v>120</v>
      </c>
      <c r="X9" s="5" t="s">
        <v>116</v>
      </c>
      <c r="Y9" s="6" t="s">
        <v>21</v>
      </c>
      <c r="Z9" s="5">
        <v>0</v>
      </c>
    </row>
    <row r="10" spans="1:26" ht="30" customHeight="1" x14ac:dyDescent="0.4">
      <c r="A10">
        <f>ROW()-2+1000</f>
        <v>1008</v>
      </c>
      <c r="B10">
        <v>2000</v>
      </c>
      <c r="C10" t="s">
        <v>1</v>
      </c>
      <c r="D10" t="s">
        <v>37</v>
      </c>
      <c r="E10" t="s">
        <v>148</v>
      </c>
      <c r="F10" s="4" t="s">
        <v>153</v>
      </c>
      <c r="G10">
        <v>0</v>
      </c>
      <c r="H10">
        <v>5</v>
      </c>
      <c r="I10">
        <v>12</v>
      </c>
      <c r="J10">
        <v>31</v>
      </c>
      <c r="K10">
        <v>0</v>
      </c>
      <c r="L10">
        <v>200</v>
      </c>
      <c r="M10">
        <v>15</v>
      </c>
      <c r="N10">
        <v>5</v>
      </c>
      <c r="O10">
        <v>1</v>
      </c>
      <c r="P10">
        <v>99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117</v>
      </c>
      <c r="W10" t="s">
        <v>120</v>
      </c>
      <c r="X10" t="s">
        <v>115</v>
      </c>
      <c r="Y10" s="4" t="s">
        <v>20</v>
      </c>
      <c r="Z1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E2" sqref="E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10" si="0">ROW()-2+2000</f>
        <v>2000</v>
      </c>
      <c r="B2" s="5">
        <v>30000</v>
      </c>
      <c r="C2" s="5" t="s">
        <v>1</v>
      </c>
      <c r="D2" s="5" t="s">
        <v>48</v>
      </c>
      <c r="E2" s="5" t="s">
        <v>76</v>
      </c>
      <c r="F2" s="6" t="s">
        <v>99</v>
      </c>
      <c r="G2" s="5">
        <v>0</v>
      </c>
      <c r="H2" s="5">
        <v>1</v>
      </c>
      <c r="I2" s="5">
        <v>12</v>
      </c>
      <c r="J2" s="5">
        <v>31</v>
      </c>
      <c r="K2" s="5">
        <v>300</v>
      </c>
      <c r="L2" s="5">
        <v>1</v>
      </c>
      <c r="M2" s="5">
        <v>0</v>
      </c>
      <c r="N2" s="5">
        <v>2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118</v>
      </c>
      <c r="W2" s="5" t="s">
        <v>122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2001</v>
      </c>
      <c r="B3" s="5">
        <v>30100</v>
      </c>
      <c r="C3" s="5" t="s">
        <v>1</v>
      </c>
      <c r="D3" s="5" t="s">
        <v>49</v>
      </c>
      <c r="E3" s="5" t="s">
        <v>83</v>
      </c>
      <c r="F3" s="6" t="s">
        <v>134</v>
      </c>
      <c r="G3" s="5">
        <v>0</v>
      </c>
      <c r="H3" s="5">
        <v>2</v>
      </c>
      <c r="I3" s="5">
        <v>12</v>
      </c>
      <c r="J3" s="5">
        <v>31</v>
      </c>
      <c r="K3" s="5">
        <v>500</v>
      </c>
      <c r="L3" s="5">
        <v>20</v>
      </c>
      <c r="M3" s="5">
        <v>10</v>
      </c>
      <c r="N3" s="5">
        <v>2</v>
      </c>
      <c r="O3" s="5">
        <v>1</v>
      </c>
      <c r="P3" s="5">
        <v>99</v>
      </c>
      <c r="Q3" s="5">
        <v>1</v>
      </c>
      <c r="R3" s="5">
        <v>0</v>
      </c>
      <c r="S3" s="5">
        <v>3</v>
      </c>
      <c r="T3" s="5">
        <v>0</v>
      </c>
      <c r="U3" s="5">
        <v>0</v>
      </c>
      <c r="V3" s="5" t="s">
        <v>118</v>
      </c>
      <c r="W3" s="5" t="s">
        <v>122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2002</v>
      </c>
      <c r="B4" s="5">
        <v>30200</v>
      </c>
      <c r="C4" s="5" t="s">
        <v>1</v>
      </c>
      <c r="D4" s="5" t="s">
        <v>50</v>
      </c>
      <c r="E4" s="5" t="s">
        <v>73</v>
      </c>
      <c r="F4" s="6" t="s">
        <v>152</v>
      </c>
      <c r="G4" s="5">
        <v>0</v>
      </c>
      <c r="H4" s="5">
        <v>3</v>
      </c>
      <c r="I4" s="5">
        <v>12</v>
      </c>
      <c r="J4" s="5">
        <v>31</v>
      </c>
      <c r="K4" s="5">
        <v>1200</v>
      </c>
      <c r="L4" s="5">
        <v>20</v>
      </c>
      <c r="M4" s="5">
        <v>15</v>
      </c>
      <c r="N4" s="5">
        <v>3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118</v>
      </c>
      <c r="W4" s="5" t="s">
        <v>122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2003</v>
      </c>
      <c r="B5" s="5">
        <v>30300</v>
      </c>
      <c r="C5" s="5" t="s">
        <v>1</v>
      </c>
      <c r="D5" s="5" t="s">
        <v>51</v>
      </c>
      <c r="E5" s="5" t="s">
        <v>84</v>
      </c>
      <c r="F5" s="6" t="s">
        <v>135</v>
      </c>
      <c r="G5" s="5">
        <v>0</v>
      </c>
      <c r="H5" s="5">
        <v>4</v>
      </c>
      <c r="I5" s="5">
        <v>12</v>
      </c>
      <c r="J5" s="5">
        <v>31</v>
      </c>
      <c r="K5" s="5">
        <v>500</v>
      </c>
      <c r="L5" s="5">
        <v>20</v>
      </c>
      <c r="M5" s="5">
        <v>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3</v>
      </c>
      <c r="T5" s="5">
        <v>0</v>
      </c>
      <c r="U5" s="5">
        <v>0</v>
      </c>
      <c r="V5" s="5" t="s">
        <v>118</v>
      </c>
      <c r="W5" s="5" t="s">
        <v>122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2004</v>
      </c>
      <c r="B6" s="5">
        <v>30400</v>
      </c>
      <c r="C6" s="5" t="s">
        <v>1</v>
      </c>
      <c r="D6" s="5" t="s">
        <v>52</v>
      </c>
      <c r="E6" s="5" t="s">
        <v>64</v>
      </c>
      <c r="F6" s="6" t="s">
        <v>136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21</v>
      </c>
      <c r="M6" s="5">
        <v>20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3</v>
      </c>
      <c r="T6" s="5">
        <v>0</v>
      </c>
      <c r="U6" s="5">
        <v>0</v>
      </c>
      <c r="V6" s="5" t="s">
        <v>118</v>
      </c>
      <c r="W6" s="5" t="s">
        <v>122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2005</v>
      </c>
      <c r="B7" s="5">
        <v>30500</v>
      </c>
      <c r="C7" s="5" t="s">
        <v>1</v>
      </c>
      <c r="D7" s="5" t="s">
        <v>53</v>
      </c>
      <c r="E7" s="5" t="s">
        <v>86</v>
      </c>
      <c r="F7" s="6" t="s">
        <v>151</v>
      </c>
      <c r="G7" s="5">
        <v>0</v>
      </c>
      <c r="H7" s="5">
        <v>5</v>
      </c>
      <c r="I7" s="5">
        <v>12</v>
      </c>
      <c r="J7" s="5">
        <v>31</v>
      </c>
      <c r="K7" s="5">
        <v>2000</v>
      </c>
      <c r="L7" s="5">
        <v>21</v>
      </c>
      <c r="M7" s="5">
        <v>23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5</v>
      </c>
      <c r="T7" s="5">
        <v>0</v>
      </c>
      <c r="U7" s="5">
        <v>0</v>
      </c>
      <c r="V7" s="5" t="s">
        <v>118</v>
      </c>
      <c r="W7" s="5" t="s">
        <v>122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2006</v>
      </c>
      <c r="B8" s="5">
        <v>30600</v>
      </c>
      <c r="C8" s="5" t="s">
        <v>1</v>
      </c>
      <c r="D8" s="5" t="s">
        <v>54</v>
      </c>
      <c r="E8" s="5" t="s">
        <v>87</v>
      </c>
      <c r="F8" s="6" t="s">
        <v>137</v>
      </c>
      <c r="G8" s="5">
        <v>0</v>
      </c>
      <c r="H8" s="5">
        <v>3</v>
      </c>
      <c r="I8" s="5">
        <v>12</v>
      </c>
      <c r="J8" s="5">
        <v>31</v>
      </c>
      <c r="K8" s="5">
        <v>2000</v>
      </c>
      <c r="L8" s="5">
        <v>22</v>
      </c>
      <c r="M8" s="5">
        <v>30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5</v>
      </c>
      <c r="T8" s="5">
        <v>0</v>
      </c>
      <c r="U8" s="5">
        <v>0</v>
      </c>
      <c r="V8" s="5" t="s">
        <v>118</v>
      </c>
      <c r="W8" s="5" t="s">
        <v>122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2007</v>
      </c>
      <c r="B9" s="5">
        <v>30700</v>
      </c>
      <c r="C9" s="5" t="s">
        <v>1</v>
      </c>
      <c r="D9" s="5" t="s">
        <v>55</v>
      </c>
      <c r="E9" s="5" t="s">
        <v>74</v>
      </c>
      <c r="F9" s="6" t="s">
        <v>127</v>
      </c>
      <c r="G9" s="5">
        <v>0</v>
      </c>
      <c r="H9" s="5">
        <v>5</v>
      </c>
      <c r="I9" s="5">
        <v>12</v>
      </c>
      <c r="J9" s="5">
        <v>31</v>
      </c>
      <c r="K9" s="5">
        <v>3000</v>
      </c>
      <c r="L9" s="5">
        <v>22</v>
      </c>
      <c r="M9" s="5">
        <v>38</v>
      </c>
      <c r="N9" s="5">
        <v>4</v>
      </c>
      <c r="O9" s="5">
        <v>1</v>
      </c>
      <c r="P9" s="5">
        <v>99</v>
      </c>
      <c r="Q9" s="5">
        <v>1</v>
      </c>
      <c r="R9" s="5">
        <v>0</v>
      </c>
      <c r="S9" s="5">
        <v>5</v>
      </c>
      <c r="T9" s="5">
        <v>0</v>
      </c>
      <c r="U9" s="5">
        <v>0</v>
      </c>
      <c r="V9" s="5" t="s">
        <v>118</v>
      </c>
      <c r="W9" s="5" t="s">
        <v>122</v>
      </c>
      <c r="X9" s="5" t="s">
        <v>116</v>
      </c>
      <c r="Y9" s="6" t="s">
        <v>21</v>
      </c>
      <c r="Z9" s="5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125</v>
      </c>
      <c r="E10" s="2" t="s">
        <v>126</v>
      </c>
      <c r="F10" s="3" t="s">
        <v>130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118</v>
      </c>
      <c r="W10" s="2" t="s">
        <v>122</v>
      </c>
      <c r="X10" s="2" t="s">
        <v>116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144</v>
      </c>
      <c r="F11" s="6" t="s">
        <v>154</v>
      </c>
      <c r="G11" s="5">
        <v>0</v>
      </c>
      <c r="H11" s="5">
        <v>5</v>
      </c>
      <c r="I11" s="5">
        <v>12</v>
      </c>
      <c r="J11" s="5">
        <v>31</v>
      </c>
      <c r="K11" s="5">
        <v>0</v>
      </c>
      <c r="L11" s="5">
        <v>300</v>
      </c>
      <c r="M11" s="5">
        <v>25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118</v>
      </c>
      <c r="W11" s="5" t="s">
        <v>122</v>
      </c>
      <c r="X11" s="5" t="s">
        <v>155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E5" sqref="E5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106</v>
      </c>
      <c r="U1" s="1" t="s">
        <v>107</v>
      </c>
      <c r="V1" s="1" t="s">
        <v>111</v>
      </c>
      <c r="W1" s="1" t="s">
        <v>112</v>
      </c>
      <c r="X1" s="1" t="s">
        <v>113</v>
      </c>
      <c r="Y1" s="1" t="s">
        <v>19</v>
      </c>
      <c r="Z1" s="1" t="s">
        <v>26</v>
      </c>
    </row>
    <row r="2" spans="1:26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6" t="s">
        <v>145</v>
      </c>
      <c r="G2" s="5">
        <v>0</v>
      </c>
      <c r="H2" s="5">
        <v>1</v>
      </c>
      <c r="I2" s="5">
        <v>12</v>
      </c>
      <c r="J2" s="5">
        <v>31</v>
      </c>
      <c r="K2" s="5">
        <v>0</v>
      </c>
      <c r="L2" s="5">
        <v>1</v>
      </c>
      <c r="M2" s="5">
        <v>0</v>
      </c>
      <c r="N2" s="5">
        <v>1</v>
      </c>
      <c r="O2" s="5">
        <v>0</v>
      </c>
      <c r="P2" s="5">
        <v>99</v>
      </c>
      <c r="Q2" s="5">
        <v>1</v>
      </c>
      <c r="R2" s="5">
        <v>0</v>
      </c>
      <c r="S2" s="5">
        <v>3</v>
      </c>
      <c r="T2" s="5">
        <v>0</v>
      </c>
      <c r="U2" s="5">
        <v>0</v>
      </c>
      <c r="V2" s="5" t="s">
        <v>119</v>
      </c>
      <c r="W2" s="5" t="s">
        <v>121</v>
      </c>
      <c r="X2" s="5" t="s">
        <v>116</v>
      </c>
      <c r="Y2" s="6" t="s">
        <v>21</v>
      </c>
      <c r="Z2" s="5">
        <v>0</v>
      </c>
    </row>
    <row r="3" spans="1:26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82</v>
      </c>
      <c r="F3" s="6" t="s">
        <v>128</v>
      </c>
      <c r="G3" s="5">
        <v>0</v>
      </c>
      <c r="H3" s="5">
        <v>2</v>
      </c>
      <c r="I3" s="5">
        <v>12</v>
      </c>
      <c r="J3" s="5">
        <v>31</v>
      </c>
      <c r="K3" s="5">
        <v>800</v>
      </c>
      <c r="L3" s="5">
        <v>30</v>
      </c>
      <c r="M3" s="5">
        <v>15</v>
      </c>
      <c r="N3" s="5">
        <v>3</v>
      </c>
      <c r="O3" s="5">
        <v>1</v>
      </c>
      <c r="P3" s="5">
        <v>99</v>
      </c>
      <c r="Q3" s="5">
        <v>1</v>
      </c>
      <c r="R3" s="5">
        <v>0</v>
      </c>
      <c r="S3" s="5">
        <v>5</v>
      </c>
      <c r="T3" s="5">
        <v>0</v>
      </c>
      <c r="U3" s="5">
        <v>0</v>
      </c>
      <c r="V3" s="5" t="s">
        <v>119</v>
      </c>
      <c r="W3" s="5" t="s">
        <v>121</v>
      </c>
      <c r="X3" s="5" t="s">
        <v>116</v>
      </c>
      <c r="Y3" s="6" t="s">
        <v>24</v>
      </c>
      <c r="Z3" s="5">
        <v>0</v>
      </c>
    </row>
    <row r="4" spans="1:26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81</v>
      </c>
      <c r="F4" s="6" t="s">
        <v>71</v>
      </c>
      <c r="G4" s="5">
        <v>0</v>
      </c>
      <c r="H4" s="5">
        <v>3</v>
      </c>
      <c r="I4" s="5">
        <v>12</v>
      </c>
      <c r="J4" s="5">
        <v>31</v>
      </c>
      <c r="K4" s="5">
        <v>1000</v>
      </c>
      <c r="L4" s="5">
        <v>30</v>
      </c>
      <c r="M4" s="5">
        <v>20</v>
      </c>
      <c r="N4" s="5">
        <v>4</v>
      </c>
      <c r="O4" s="5">
        <v>1</v>
      </c>
      <c r="P4" s="5">
        <v>99</v>
      </c>
      <c r="Q4" s="5">
        <v>1</v>
      </c>
      <c r="R4" s="5">
        <v>0</v>
      </c>
      <c r="S4" s="5">
        <v>5</v>
      </c>
      <c r="T4" s="5">
        <v>0</v>
      </c>
      <c r="U4" s="5">
        <v>0</v>
      </c>
      <c r="V4" s="5" t="s">
        <v>119</v>
      </c>
      <c r="W4" s="5" t="s">
        <v>121</v>
      </c>
      <c r="X4" s="5" t="s">
        <v>116</v>
      </c>
      <c r="Y4" s="6" t="s">
        <v>21</v>
      </c>
      <c r="Z4" s="5">
        <v>0</v>
      </c>
    </row>
    <row r="5" spans="1:26" s="5" customFormat="1" ht="35.25" customHeight="1" x14ac:dyDescent="0.4">
      <c r="A5" s="5">
        <f t="shared" si="0"/>
        <v>3003</v>
      </c>
      <c r="B5" s="5">
        <v>40300</v>
      </c>
      <c r="C5" s="5" t="s">
        <v>1</v>
      </c>
      <c r="D5" s="5" t="s">
        <v>59</v>
      </c>
      <c r="E5" s="5" t="s">
        <v>100</v>
      </c>
      <c r="F5" s="6" t="s">
        <v>138</v>
      </c>
      <c r="G5" s="5">
        <v>0</v>
      </c>
      <c r="H5" s="5">
        <v>2</v>
      </c>
      <c r="I5" s="5">
        <v>12</v>
      </c>
      <c r="J5" s="5">
        <v>31</v>
      </c>
      <c r="K5" s="5">
        <v>1200</v>
      </c>
      <c r="L5" s="5">
        <v>31</v>
      </c>
      <c r="M5" s="5">
        <v>30</v>
      </c>
      <c r="N5" s="5">
        <v>3</v>
      </c>
      <c r="O5" s="5">
        <v>1</v>
      </c>
      <c r="P5" s="5">
        <v>99</v>
      </c>
      <c r="Q5" s="5">
        <v>1</v>
      </c>
      <c r="R5" s="5">
        <v>0</v>
      </c>
      <c r="S5" s="5">
        <v>7</v>
      </c>
      <c r="T5" s="5">
        <v>0</v>
      </c>
      <c r="U5" s="5">
        <v>0</v>
      </c>
      <c r="V5" s="5" t="s">
        <v>119</v>
      </c>
      <c r="W5" s="5" t="s">
        <v>121</v>
      </c>
      <c r="X5" s="5" t="s">
        <v>116</v>
      </c>
      <c r="Y5" s="6" t="s">
        <v>21</v>
      </c>
      <c r="Z5" s="5">
        <v>0</v>
      </c>
    </row>
    <row r="6" spans="1:26" s="5" customFormat="1" ht="35.25" customHeight="1" x14ac:dyDescent="0.4">
      <c r="A6" s="5">
        <f t="shared" si="0"/>
        <v>3004</v>
      </c>
      <c r="B6" s="5">
        <v>40400</v>
      </c>
      <c r="C6" s="5" t="s">
        <v>1</v>
      </c>
      <c r="D6" s="5" t="s">
        <v>60</v>
      </c>
      <c r="E6" s="5" t="s">
        <v>139</v>
      </c>
      <c r="F6" s="6" t="s">
        <v>140</v>
      </c>
      <c r="G6" s="5">
        <v>0</v>
      </c>
      <c r="H6" s="5">
        <v>3</v>
      </c>
      <c r="I6" s="5">
        <v>12</v>
      </c>
      <c r="J6" s="5">
        <v>31</v>
      </c>
      <c r="K6" s="5">
        <v>1000</v>
      </c>
      <c r="L6" s="5">
        <v>30</v>
      </c>
      <c r="M6" s="5">
        <v>40</v>
      </c>
      <c r="N6" s="5">
        <v>4</v>
      </c>
      <c r="O6" s="5">
        <v>1</v>
      </c>
      <c r="P6" s="5">
        <v>99</v>
      </c>
      <c r="Q6" s="5">
        <v>1</v>
      </c>
      <c r="R6" s="5">
        <v>0</v>
      </c>
      <c r="S6" s="5">
        <v>7</v>
      </c>
      <c r="T6" s="5">
        <v>0</v>
      </c>
      <c r="U6" s="5">
        <v>0</v>
      </c>
      <c r="V6" s="5" t="s">
        <v>119</v>
      </c>
      <c r="W6" s="5" t="s">
        <v>121</v>
      </c>
      <c r="X6" s="5" t="s">
        <v>116</v>
      </c>
      <c r="Y6" s="6" t="s">
        <v>21</v>
      </c>
      <c r="Z6" s="5">
        <v>0</v>
      </c>
    </row>
    <row r="7" spans="1:26" s="5" customFormat="1" ht="35.25" customHeight="1" x14ac:dyDescent="0.4">
      <c r="A7" s="5">
        <f t="shared" si="0"/>
        <v>3005</v>
      </c>
      <c r="B7" s="5">
        <v>40500</v>
      </c>
      <c r="C7" s="5" t="s">
        <v>1</v>
      </c>
      <c r="D7" s="5" t="s">
        <v>61</v>
      </c>
      <c r="E7" s="5" t="s">
        <v>78</v>
      </c>
      <c r="F7" s="6" t="s">
        <v>79</v>
      </c>
      <c r="G7" s="5">
        <v>0</v>
      </c>
      <c r="H7" s="5">
        <v>5</v>
      </c>
      <c r="I7" s="5">
        <v>12</v>
      </c>
      <c r="J7" s="5">
        <v>31</v>
      </c>
      <c r="K7" s="5">
        <v>700</v>
      </c>
      <c r="L7" s="5">
        <v>31</v>
      </c>
      <c r="M7" s="5">
        <v>45</v>
      </c>
      <c r="N7" s="5">
        <v>5</v>
      </c>
      <c r="O7" s="5">
        <v>1</v>
      </c>
      <c r="P7" s="5">
        <v>99</v>
      </c>
      <c r="Q7" s="5">
        <v>1</v>
      </c>
      <c r="R7" s="5">
        <v>0</v>
      </c>
      <c r="S7" s="5">
        <v>7</v>
      </c>
      <c r="T7" s="5">
        <v>0</v>
      </c>
      <c r="U7" s="5">
        <v>0</v>
      </c>
      <c r="V7" s="5" t="s">
        <v>119</v>
      </c>
      <c r="W7" s="5" t="s">
        <v>121</v>
      </c>
      <c r="X7" s="5" t="s">
        <v>116</v>
      </c>
      <c r="Y7" s="6" t="s">
        <v>21</v>
      </c>
      <c r="Z7" s="5">
        <v>0</v>
      </c>
    </row>
    <row r="8" spans="1:26" s="5" customFormat="1" ht="35.25" customHeight="1" x14ac:dyDescent="0.4">
      <c r="A8" s="5">
        <f t="shared" si="0"/>
        <v>3006</v>
      </c>
      <c r="B8" s="5">
        <v>40600</v>
      </c>
      <c r="C8" s="5" t="s">
        <v>1</v>
      </c>
      <c r="D8" s="5" t="s">
        <v>62</v>
      </c>
      <c r="E8" s="5" t="s">
        <v>80</v>
      </c>
      <c r="F8" s="6" t="s">
        <v>141</v>
      </c>
      <c r="G8" s="5">
        <v>0</v>
      </c>
      <c r="H8" s="5">
        <v>5</v>
      </c>
      <c r="I8" s="5">
        <v>12</v>
      </c>
      <c r="J8" s="5">
        <v>31</v>
      </c>
      <c r="K8" s="5">
        <v>1500</v>
      </c>
      <c r="L8" s="5">
        <v>32</v>
      </c>
      <c r="M8" s="5">
        <v>60</v>
      </c>
      <c r="N8" s="5">
        <v>5</v>
      </c>
      <c r="O8" s="5">
        <v>1</v>
      </c>
      <c r="P8" s="5">
        <v>99</v>
      </c>
      <c r="Q8" s="5">
        <v>1</v>
      </c>
      <c r="R8" s="5">
        <v>0</v>
      </c>
      <c r="S8" s="5">
        <v>7</v>
      </c>
      <c r="T8" s="5">
        <v>0</v>
      </c>
      <c r="U8" s="5">
        <v>0</v>
      </c>
      <c r="V8" s="5" t="s">
        <v>119</v>
      </c>
      <c r="W8" s="5" t="s">
        <v>121</v>
      </c>
      <c r="X8" s="5" t="s">
        <v>116</v>
      </c>
      <c r="Y8" s="6" t="s">
        <v>21</v>
      </c>
      <c r="Z8" s="5">
        <v>0</v>
      </c>
    </row>
    <row r="9" spans="1:26" s="5" customFormat="1" ht="35.25" customHeight="1" x14ac:dyDescent="0.4">
      <c r="A9" s="5">
        <f t="shared" si="0"/>
        <v>3007</v>
      </c>
      <c r="B9" s="5">
        <v>40700</v>
      </c>
      <c r="C9" s="5" t="s">
        <v>1</v>
      </c>
      <c r="D9" s="5" t="s">
        <v>63</v>
      </c>
      <c r="E9" s="5" t="s">
        <v>129</v>
      </c>
      <c r="F9" s="6" t="s">
        <v>142</v>
      </c>
      <c r="G9" s="5">
        <v>0</v>
      </c>
      <c r="H9" s="5">
        <v>6</v>
      </c>
      <c r="I9" s="5">
        <v>12</v>
      </c>
      <c r="J9" s="5">
        <v>31</v>
      </c>
      <c r="K9" s="5">
        <v>3000</v>
      </c>
      <c r="L9" s="5">
        <v>32</v>
      </c>
      <c r="M9" s="5">
        <v>65</v>
      </c>
      <c r="N9" s="5">
        <v>5</v>
      </c>
      <c r="O9" s="5">
        <v>1</v>
      </c>
      <c r="P9" s="5">
        <v>99</v>
      </c>
      <c r="Q9" s="5">
        <v>1</v>
      </c>
      <c r="R9" s="5">
        <v>0</v>
      </c>
      <c r="S9" s="5">
        <v>10</v>
      </c>
      <c r="T9" s="5">
        <v>0</v>
      </c>
      <c r="U9" s="5">
        <v>0</v>
      </c>
      <c r="V9" s="5" t="s">
        <v>119</v>
      </c>
      <c r="W9" s="5" t="s">
        <v>121</v>
      </c>
      <c r="X9" s="5" t="s">
        <v>116</v>
      </c>
      <c r="Y9" s="6" t="s">
        <v>21</v>
      </c>
      <c r="Z9" s="5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143</v>
      </c>
      <c r="F10" s="6" t="s">
        <v>146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400</v>
      </c>
      <c r="M10" s="5">
        <v>50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119</v>
      </c>
      <c r="W10" s="5" t="s">
        <v>121</v>
      </c>
      <c r="X10" s="5" t="s">
        <v>115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2025-03-03T12:48:37Z</dcterms:modified>
</cp:coreProperties>
</file>