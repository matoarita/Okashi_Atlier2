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2FFC14C-B079-4C73-A6A5-B1498BFFFAF1}" xr6:coauthVersionLast="47" xr6:coauthVersionMax="47" xr10:uidLastSave="{00000000-0000-0000-0000-000000000000}"/>
  <bookViews>
    <workbookView xWindow="2205" yWindow="1065" windowWidth="25560" windowHeight="14325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3" l="1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9" i="2"/>
  <c r="A8" i="2"/>
  <c r="A7" i="2"/>
  <c r="A6" i="2"/>
  <c r="A5" i="2"/>
  <c r="A4" i="2"/>
  <c r="A3" i="2"/>
  <c r="A2" i="2"/>
  <c r="A10" i="2"/>
  <c r="A11" i="1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<sst xmlns="http://schemas.openxmlformats.org/spreadsheetml/2006/main" count="408" uniqueCount="155">
  <si>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</si>
  <si>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</si>
  <si>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</si>
  <si>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</si>
  <si>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</si>
  <si>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</si>
  <si>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</si>
  <si>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</si>
  <si>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</si>
  <si>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</si>
  <si>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</si>
  <si>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</si>
  <si>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</si>
  <si>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</si>
  <si>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</si>
  <si>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</si>
  <si>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</si>
  <si>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</si>
  <si>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</si>
  <si>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</si>
  <si>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</si>
  <si>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</si>
  <si>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</si>
  <si>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</si>
  <si>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</si>
  <si>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</si>
  <si>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</si>
  <si>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</si>
  <si>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</si>
  <si>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</si>
  <si>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</si>
  <si>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</si>
  <si>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</si>
  <si>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</si>
  <si>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</si>
  <si>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</si>
  <si>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</si>
  <si>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</si>
  <si>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</si>
  <si>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</si>
  <si>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</si>
  <si>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</si>
  <si>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</si>
  <si>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</si>
  <si>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</si>
  <si>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</si>
  <si>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</si>
  <si>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</si>
  <si>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</si>
  <si>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</si>
  <si>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</si>
  <si>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</si>
  <si>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</si>
  <si>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</si>
  <si>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</si>
  <si>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</si>
  <si>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</si>
  <si>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</si>
  <si>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</si>
  <si>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</si>
  <si>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</si>
  <si>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</si>
  <si>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</si>
  <si>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</si>
  <si>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至高のお菓子の決定戦
主にチョコレートからランダムでお題が決められる</t>
    <rPh sb="0" eb="2">
      <t>シコウ</t>
    </rPh>
    <rPh sb="4" eb="6">
      <t>カシ</t>
    </rPh>
    <rPh sb="7" eb="10">
      <t>ケッテイセン</t>
    </rPh>
    <rPh sb="11" eb="12">
      <t>オモ</t>
    </rPh>
    <rPh sb="27" eb="28">
      <t>ダイ</t>
    </rPh>
    <rPh sb="29" eb="30">
      <t>キ</t>
    </rPh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</si>
  <si>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</si>
  <si>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</si>
  <si>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</si>
  <si>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</si>
  <si>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</si>
  <si>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</si>
  <si>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</si>
  <si>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</si>
  <si>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</si>
  <si>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</si>
  <si>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</si>
  <si>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</si>
  <si>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</si>
  <si>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</si>
  <si>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</si>
  <si>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</si>
  <si>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</si>
  <si>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</si>
  <si>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</si>
  <si>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</si>
  <si>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</si>
  <si>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</si>
  <si>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</si>
  <si>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</si>
  <si>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</si>
  <si>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</si>
  <si>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</si>
  <si>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</si>
  <si>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</si>
  <si>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</si>
  <si>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</si>
  <si>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</si>
  <si>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</si>
  <si>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</si>
  <si>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</si>
  <si>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</si>
  <si>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</si>
  <si>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</si>
  <si>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</si>
  <si>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</si>
  <si>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</si>
  <si>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</si>
  <si>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ジュース限定
ビーチで泳ぐ美女に、オシャレな飲み物を提供したいデース！
ゴージャス飲み物を募集してマス！</t>
    <rPh sb="4" eb="6">
      <t>ゲンテイ</t>
    </rPh>
    <rPh sb="11" eb="12">
      <t>オヨ</t>
    </rPh>
    <rPh sb="13" eb="15">
      <t>ビジョ</t>
    </rPh>
    <rPh sb="22" eb="23">
      <t>ノ</t>
    </rPh>
    <rPh sb="24" eb="25">
      <t>モノ</t>
    </rPh>
    <rPh sb="26" eb="28">
      <t>テイキョウ</t>
    </rPh>
    <rPh sb="41" eb="42">
      <t>ノ</t>
    </rPh>
    <rPh sb="43" eb="44">
      <t>モノ</t>
    </rPh>
    <rPh sb="45" eb="47">
      <t>ボシュウ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</si>
  <si>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</si>
  <si>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</si>
  <si>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</si>
  <si>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</si>
  <si>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</si>
  <si>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</si>
  <si>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</si>
  <si>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</si>
  <si>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</si>
  <si>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</si>
  <si>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</si>
  <si>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</si>
  <si>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</si>
  <si>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</si>
  <si>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</si>
  <si>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</si>
  <si>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</si>
  <si>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</si>
  <si>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</si>
  <si>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</si>
  <si>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</si>
  <si>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</si>
  <si>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</si>
  <si>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</si>
  <si>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</si>
  <si>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</si>
  <si>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</si>
  <si>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</si>
  <si>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</si>
  <si>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</si>
  <si>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</si>
  <si>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メルヘンでかわいいお菓子限定
メルヘンでかわいいお菓子を募集しています♪
食べた人に夢を見せるかわいいお菓子を持ってきてね☆</t>
    <rPh sb="10" eb="12">
      <t>カシ</t>
    </rPh>
    <rPh sb="12" eb="14">
      <t>ゲンテイ</t>
    </rPh>
    <rPh sb="25" eb="27">
      <t>カシ</t>
    </rPh>
    <rPh sb="28" eb="30">
      <t>ボシュウ</t>
    </rPh>
    <rPh sb="37" eb="38">
      <t>タ</t>
    </rPh>
    <rPh sb="40" eb="41">
      <t>ヒト</t>
    </rPh>
    <rPh sb="42" eb="43">
      <t>ユメ</t>
    </rPh>
    <rPh sb="44" eb="45">
      <t>ミ</t>
    </rPh>
    <rPh sb="52" eb="54">
      <t>カシ</t>
    </rPh>
    <rPh sb="55" eb="56">
      <t>モ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</si>
  <si>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</si>
  <si>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</si>
  <si>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彫刻お菓子限定
名門ハイネ家の招待パーティーに飾るお菓子を募集しています。
パーティーの目玉になる、派手な彫刻お菓子が希望ですわ♪</t>
    <rPh sb="0" eb="2">
      <t>チョウコク</t>
    </rPh>
    <rPh sb="3" eb="5">
      <t>カシ</t>
    </rPh>
    <rPh sb="5" eb="7">
      <t>ゲンテイ</t>
    </rPh>
    <rPh sb="8" eb="10">
      <t>メイモン</t>
    </rPh>
    <rPh sb="13" eb="14">
      <t>ケ</t>
    </rPh>
    <rPh sb="15" eb="17">
      <t>ショウタイ</t>
    </rPh>
    <rPh sb="23" eb="24">
      <t>カザ</t>
    </rPh>
    <rPh sb="26" eb="28">
      <t>カシ</t>
    </rPh>
    <rPh sb="29" eb="31">
      <t>ボシュウ</t>
    </rPh>
    <rPh sb="44" eb="46">
      <t>メダマ</t>
    </rPh>
    <rPh sb="50" eb="52">
      <t>ハデ</t>
    </rPh>
    <rPh sb="53" eb="55">
      <t>チョウコク</t>
    </rPh>
    <rPh sb="56" eb="58">
      <t>カシ</t>
    </rPh>
    <rPh sb="59" eb="61">
      <t>キボウ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</si>
  <si>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</si>
  <si>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</si>
  <si>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</si>
  <si>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</si>
  <si>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</si>
  <si>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</si>
  <si>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</si>
  <si>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</si>
  <si>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◆ケーキ・チョコレートの国際コンクール◆
優勝者には、エデンのレシピを進呈します。虹のように、様々なチョコレートとケーキで参加してください！</t>
    <rPh sb="12" eb="14">
      <t>コクサイ</t>
    </rPh>
    <rPh sb="21" eb="24">
      <t>ユウショウシャ</t>
    </rPh>
    <rPh sb="35" eb="37">
      <t>シンテイ</t>
    </rPh>
    <rPh sb="41" eb="42">
      <t>ニジ</t>
    </rPh>
    <rPh sb="47" eb="49">
      <t>サマザマ</t>
    </rPh>
    <rPh sb="61" eb="63">
      <t>サンカ</t>
    </rPh>
    <phoneticPr fontId="2"/>
  </si>
  <si>
    <t>◆アカデミー至高のお菓子の決定戦◆
トーナメント形式3回戦。各回ごとにお題があり。
優勝者には、エデンのレシピを進呈します。至高の一品をお待ちしております！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4" eb="26">
      <t>ケイシキ</t>
    </rPh>
    <rPh sb="27" eb="29">
      <t>カイセン</t>
    </rPh>
    <rPh sb="30" eb="32">
      <t>カクカイ</t>
    </rPh>
    <rPh sb="36" eb="37">
      <t>ダイ</t>
    </rPh>
    <rPh sb="42" eb="45">
      <t>ユウショウシャ</t>
    </rPh>
    <rPh sb="56" eb="58">
      <t>シンテイ</t>
    </rPh>
    <rPh sb="62" eb="64">
      <t>シコウ</t>
    </rPh>
    <rPh sb="65" eb="67">
      <t>イッピン</t>
    </rPh>
    <rPh sb="69" eb="70">
      <t>マ</t>
    </rPh>
    <phoneticPr fontId="2"/>
  </si>
  <si>
    <t>◆世界のお菓子コンクール◆
賞品には、エデンのレシピを進呈します。
オランジーナ国で古くから開催されている、パティシエのナンバーワンを決める大会です。</t>
    <rPh sb="1" eb="3">
      <t>セカイ</t>
    </rPh>
    <rPh sb="5" eb="7">
      <t>カシ</t>
    </rPh>
    <rPh sb="14" eb="16">
      <t>ショウヒン</t>
    </rPh>
    <rPh sb="27" eb="29">
      <t>シンテイ</t>
    </rPh>
    <rPh sb="40" eb="41">
      <t>コク</t>
    </rPh>
    <rPh sb="42" eb="43">
      <t>フル</t>
    </rPh>
    <rPh sb="46" eb="48">
      <t>カイサイ</t>
    </rPh>
    <rPh sb="67" eb="68">
      <t>キ</t>
    </rPh>
    <rPh sb="70" eb="72">
      <t>タイカイ</t>
    </rPh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</si>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</sst>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1"/>
  <sheetViews>
    <sheetView tabSelected="1" workbookViewId="0">
      <selection activeCell="K10" sqref="K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1000</v>
      </c>
      <c r="C2" s="2" t="s">
        <v>1</v>
      </c>
      <c r="D2" s="2" t="s">
        <v>7</v>
      </c>
      <c r="E2" s="2" t="s">
        <v>6</v>
      </c>
      <c r="F2" s="3" t="s">
        <v>64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112</v>
      </c>
      <c r="W2" s="2" t="s">
        <v>116</v>
      </c>
      <c r="X2" s="2" t="s">
        <v>117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110</v>
      </c>
      <c r="G3">
        <v>0</v>
      </c>
      <c r="H3">
        <v>1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112</v>
      </c>
      <c r="W3" t="s">
        <v>116</v>
      </c>
      <c r="X3" t="s">
        <v>118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95</v>
      </c>
      <c r="F4" s="4" t="s">
        <v>96</v>
      </c>
      <c r="G4">
        <v>0</v>
      </c>
      <c r="H4">
        <v>1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112</v>
      </c>
      <c r="W4" t="s">
        <v>116</v>
      </c>
      <c r="X4" t="s">
        <v>118</v>
      </c>
      <c r="Y4" s="4" t="s">
        <v>111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73</v>
      </c>
      <c r="E5" t="s">
        <v>78</v>
      </c>
      <c r="F5" s="4" t="s">
        <v>99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112</v>
      </c>
      <c r="W5" t="s">
        <v>116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90</v>
      </c>
      <c r="F6" s="4" t="s">
        <v>133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112</v>
      </c>
      <c r="W6" t="s">
        <v>116</v>
      </c>
      <c r="X6" t="s">
        <v>118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91</v>
      </c>
      <c r="F7" s="4" t="s">
        <v>97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112</v>
      </c>
      <c r="W7" t="s">
        <v>116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92</v>
      </c>
      <c r="F8" s="4" t="s">
        <v>125</v>
      </c>
      <c r="G8">
        <v>0</v>
      </c>
      <c r="H8">
        <v>3</v>
      </c>
      <c r="I8">
        <v>12</v>
      </c>
      <c r="J8">
        <v>31</v>
      </c>
      <c r="K8">
        <v>500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112</v>
      </c>
      <c r="W8" t="s">
        <v>116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93</v>
      </c>
      <c r="F9" s="4" t="s">
        <v>126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112</v>
      </c>
      <c r="W9" t="s">
        <v>116</v>
      </c>
      <c r="X9" t="s">
        <v>118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86</v>
      </c>
      <c r="F10" s="4" t="s">
        <v>134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112</v>
      </c>
      <c r="W10" t="s">
        <v>116</v>
      </c>
      <c r="X10" t="s">
        <v>118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94</v>
      </c>
      <c r="F11" s="4" t="s">
        <v>98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112</v>
      </c>
      <c r="W11" t="s">
        <v>116</v>
      </c>
      <c r="X11" t="s">
        <v>118</v>
      </c>
      <c r="Y11" s="4" t="s">
        <v>21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E10" sqref="E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ROW()-2+1000</f>
        <v>1000</v>
      </c>
      <c r="B2">
        <v>20000</v>
      </c>
      <c r="C2" t="s">
        <v>1</v>
      </c>
      <c r="D2" t="s">
        <v>38</v>
      </c>
      <c r="E2" t="s">
        <v>66</v>
      </c>
      <c r="F2" s="4" t="s">
        <v>135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119</v>
      </c>
      <c r="W2" t="s">
        <v>122</v>
      </c>
      <c r="X2" t="s">
        <v>118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104</v>
      </c>
      <c r="F3" s="4" t="s">
        <v>67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5</v>
      </c>
      <c r="N3">
        <v>2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119</v>
      </c>
      <c r="W3" t="s">
        <v>122</v>
      </c>
      <c r="X3" t="s">
        <v>118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102</v>
      </c>
      <c r="F4" s="4" t="s">
        <v>107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119</v>
      </c>
      <c r="W4" t="s">
        <v>122</v>
      </c>
      <c r="X4" t="s">
        <v>118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68</v>
      </c>
      <c r="F5" s="4" t="s">
        <v>136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10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122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69</v>
      </c>
      <c r="F6" s="4" t="s">
        <v>70</v>
      </c>
      <c r="G6">
        <v>0</v>
      </c>
      <c r="H6">
        <v>4</v>
      </c>
      <c r="I6">
        <v>12</v>
      </c>
      <c r="J6">
        <v>31</v>
      </c>
      <c r="K6">
        <v>1000</v>
      </c>
      <c r="L6">
        <v>11</v>
      </c>
      <c r="M6">
        <v>10</v>
      </c>
      <c r="N6">
        <v>4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119</v>
      </c>
      <c r="W6" t="s">
        <v>122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103</v>
      </c>
      <c r="F7" s="4" t="s">
        <v>105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15</v>
      </c>
      <c r="N7">
        <v>4</v>
      </c>
      <c r="O7">
        <v>0</v>
      </c>
      <c r="P7">
        <v>99</v>
      </c>
      <c r="Q7">
        <v>1</v>
      </c>
      <c r="R7">
        <v>0</v>
      </c>
      <c r="S7">
        <v>7</v>
      </c>
      <c r="T7">
        <v>0</v>
      </c>
      <c r="U7">
        <v>0</v>
      </c>
      <c r="V7" t="s">
        <v>119</v>
      </c>
      <c r="W7" t="s">
        <v>122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76</v>
      </c>
      <c r="F8" s="4" t="s">
        <v>106</v>
      </c>
      <c r="G8">
        <v>0</v>
      </c>
      <c r="H8">
        <v>3</v>
      </c>
      <c r="I8">
        <v>12</v>
      </c>
      <c r="J8">
        <v>31</v>
      </c>
      <c r="K8">
        <v>2000</v>
      </c>
      <c r="L8">
        <v>12</v>
      </c>
      <c r="M8">
        <v>20</v>
      </c>
      <c r="N8">
        <v>4</v>
      </c>
      <c r="O8">
        <v>0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119</v>
      </c>
      <c r="W8" t="s">
        <v>122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20700</v>
      </c>
      <c r="C9" t="s">
        <v>1</v>
      </c>
      <c r="D9" t="s">
        <v>45</v>
      </c>
      <c r="E9" t="s">
        <v>89</v>
      </c>
      <c r="F9" s="4" t="s">
        <v>137</v>
      </c>
      <c r="G9">
        <v>0</v>
      </c>
      <c r="H9">
        <v>5</v>
      </c>
      <c r="I9">
        <v>12</v>
      </c>
      <c r="J9">
        <v>31</v>
      </c>
      <c r="K9">
        <v>5000</v>
      </c>
      <c r="L9">
        <v>12</v>
      </c>
      <c r="M9">
        <v>35</v>
      </c>
      <c r="N9">
        <v>5</v>
      </c>
      <c r="O9">
        <v>0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119</v>
      </c>
      <c r="W9" t="s">
        <v>122</v>
      </c>
      <c r="X9" t="s">
        <v>118</v>
      </c>
      <c r="Y9" s="4" t="s">
        <v>21</v>
      </c>
      <c r="Z9">
        <v>0</v>
      </c>
    </row>
    <row r="10" spans="1:26" ht="30" customHeight="1" x14ac:dyDescent="0.4">
      <c r="A10">
        <f>ROW()-2+1000</f>
        <v>1008</v>
      </c>
      <c r="B10">
        <v>2000</v>
      </c>
      <c r="C10" t="s">
        <v>1</v>
      </c>
      <c r="D10" t="s">
        <v>37</v>
      </c>
      <c r="E10" t="s">
        <v>29</v>
      </c>
      <c r="F10" s="4" t="s">
        <v>152</v>
      </c>
      <c r="G10">
        <v>0</v>
      </c>
      <c r="H10">
        <v>5</v>
      </c>
      <c r="I10">
        <v>12</v>
      </c>
      <c r="J10">
        <v>31</v>
      </c>
      <c r="K10">
        <v>3000</v>
      </c>
      <c r="L10">
        <v>100</v>
      </c>
      <c r="M10">
        <v>15</v>
      </c>
      <c r="N10">
        <v>5</v>
      </c>
      <c r="O10">
        <v>0</v>
      </c>
      <c r="P10">
        <v>99</v>
      </c>
      <c r="Q10">
        <v>0</v>
      </c>
      <c r="R10">
        <v>0</v>
      </c>
      <c r="S10">
        <v>10</v>
      </c>
      <c r="T10">
        <v>0</v>
      </c>
      <c r="U10">
        <v>0</v>
      </c>
      <c r="V10" t="s">
        <v>119</v>
      </c>
      <c r="W10" t="s">
        <v>122</v>
      </c>
      <c r="X10" t="s">
        <v>117</v>
      </c>
      <c r="Y10" s="4" t="s">
        <v>20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F9" sqref="F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77</v>
      </c>
      <c r="F2" s="4" t="s">
        <v>100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120</v>
      </c>
      <c r="W2" t="s">
        <v>124</v>
      </c>
      <c r="X2" t="s">
        <v>118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84</v>
      </c>
      <c r="F3" s="4" t="s">
        <v>138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120</v>
      </c>
      <c r="W3" t="s">
        <v>124</v>
      </c>
      <c r="X3" t="s">
        <v>118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74</v>
      </c>
      <c r="F4" s="4" t="s">
        <v>139</v>
      </c>
      <c r="G4">
        <v>0</v>
      </c>
      <c r="H4">
        <v>3</v>
      </c>
      <c r="I4">
        <v>12</v>
      </c>
      <c r="J4">
        <v>31</v>
      </c>
      <c r="K4">
        <v>1200</v>
      </c>
      <c r="L4">
        <v>20</v>
      </c>
      <c r="M4">
        <v>20</v>
      </c>
      <c r="N4">
        <v>3</v>
      </c>
      <c r="O4">
        <v>0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120</v>
      </c>
      <c r="W4" t="s">
        <v>124</v>
      </c>
      <c r="X4" t="s">
        <v>118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85</v>
      </c>
      <c r="F5" s="4" t="s">
        <v>140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120</v>
      </c>
      <c r="W5" t="s">
        <v>124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65</v>
      </c>
      <c r="F6" s="4" t="s">
        <v>141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25</v>
      </c>
      <c r="N6">
        <v>4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120</v>
      </c>
      <c r="W6" t="s">
        <v>124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87</v>
      </c>
      <c r="F7" s="4" t="s">
        <v>142</v>
      </c>
      <c r="G7">
        <v>0</v>
      </c>
      <c r="H7">
        <v>5</v>
      </c>
      <c r="I7">
        <v>12</v>
      </c>
      <c r="J7">
        <v>31</v>
      </c>
      <c r="K7">
        <v>2000</v>
      </c>
      <c r="L7">
        <v>21</v>
      </c>
      <c r="M7">
        <v>30</v>
      </c>
      <c r="N7">
        <v>5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120</v>
      </c>
      <c r="W7" t="s">
        <v>124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88</v>
      </c>
      <c r="F8" s="4" t="s">
        <v>143</v>
      </c>
      <c r="G8">
        <v>0</v>
      </c>
      <c r="H8">
        <v>3</v>
      </c>
      <c r="I8">
        <v>12</v>
      </c>
      <c r="J8">
        <v>31</v>
      </c>
      <c r="K8">
        <v>2000</v>
      </c>
      <c r="L8">
        <v>22</v>
      </c>
      <c r="M8">
        <v>35</v>
      </c>
      <c r="N8">
        <v>5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120</v>
      </c>
      <c r="W8" t="s">
        <v>124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75</v>
      </c>
      <c r="F9" s="4" t="s">
        <v>129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120</v>
      </c>
      <c r="W9" t="s">
        <v>124</v>
      </c>
      <c r="X9" t="s">
        <v>118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127</v>
      </c>
      <c r="E10" s="2" t="s">
        <v>128</v>
      </c>
      <c r="F10" s="3" t="s">
        <v>132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120</v>
      </c>
      <c r="W10" s="2" t="s">
        <v>124</v>
      </c>
      <c r="X10" s="2" t="s">
        <v>118</v>
      </c>
      <c r="Y10" s="3" t="s">
        <v>21</v>
      </c>
      <c r="Z10" s="2">
        <v>0</v>
      </c>
    </row>
    <row r="11" spans="1:26" ht="30" customHeight="1" x14ac:dyDescent="0.4">
      <c r="A11">
        <f>ROW()-2+2000</f>
        <v>2009</v>
      </c>
      <c r="B11">
        <v>3000</v>
      </c>
      <c r="C11" t="s">
        <v>1</v>
      </c>
      <c r="D11" t="s">
        <v>46</v>
      </c>
      <c r="E11" t="s">
        <v>150</v>
      </c>
      <c r="F11" s="4" t="s">
        <v>151</v>
      </c>
      <c r="G11">
        <v>0</v>
      </c>
      <c r="H11">
        <v>5</v>
      </c>
      <c r="I11">
        <v>12</v>
      </c>
      <c r="J11">
        <v>31</v>
      </c>
      <c r="K11">
        <v>5000</v>
      </c>
      <c r="L11">
        <v>200</v>
      </c>
      <c r="M11">
        <v>30</v>
      </c>
      <c r="N11">
        <v>5</v>
      </c>
      <c r="O11">
        <v>0</v>
      </c>
      <c r="P11">
        <v>99</v>
      </c>
      <c r="Q11">
        <v>0</v>
      </c>
      <c r="R11">
        <v>0</v>
      </c>
      <c r="S11">
        <v>10</v>
      </c>
      <c r="T11">
        <v>0</v>
      </c>
      <c r="U11">
        <v>0</v>
      </c>
      <c r="V11" t="s">
        <v>120</v>
      </c>
      <c r="W11" t="s">
        <v>124</v>
      </c>
      <c r="X11" t="s">
        <v>117</v>
      </c>
      <c r="Y11" s="4" t="s">
        <v>20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Z7" sqref="Z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ROW()-2+3000</f>
        <v>3000</v>
      </c>
      <c r="B2">
        <v>40000</v>
      </c>
      <c r="C2" t="s">
        <v>1</v>
      </c>
      <c r="D2" t="s">
        <v>56</v>
      </c>
      <c r="E2" t="s">
        <v>71</v>
      </c>
      <c r="F2" s="4" t="s">
        <v>154</v>
      </c>
      <c r="G2">
        <v>0</v>
      </c>
      <c r="H2">
        <v>1</v>
      </c>
      <c r="I2">
        <v>12</v>
      </c>
      <c r="J2">
        <v>31</v>
      </c>
      <c r="K2">
        <v>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121</v>
      </c>
      <c r="W2" t="s">
        <v>123</v>
      </c>
      <c r="X2" t="s">
        <v>118</v>
      </c>
      <c r="Y2" s="4" t="s">
        <v>21</v>
      </c>
      <c r="Z2">
        <v>0</v>
      </c>
    </row>
    <row r="3" spans="1:26" ht="35.25" customHeight="1" x14ac:dyDescent="0.4">
      <c r="A3">
        <f t="shared" si="0"/>
        <v>3001</v>
      </c>
      <c r="B3">
        <v>40100</v>
      </c>
      <c r="C3" t="s">
        <v>1</v>
      </c>
      <c r="D3" t="s">
        <v>57</v>
      </c>
      <c r="E3" t="s">
        <v>83</v>
      </c>
      <c r="F3" s="4" t="s">
        <v>130</v>
      </c>
      <c r="G3">
        <v>0</v>
      </c>
      <c r="H3">
        <v>2</v>
      </c>
      <c r="I3">
        <v>12</v>
      </c>
      <c r="J3">
        <v>31</v>
      </c>
      <c r="K3">
        <v>800</v>
      </c>
      <c r="L3">
        <v>30</v>
      </c>
      <c r="M3">
        <v>20</v>
      </c>
      <c r="N3">
        <v>3</v>
      </c>
      <c r="O3">
        <v>0</v>
      </c>
      <c r="P3">
        <v>99</v>
      </c>
      <c r="Q3">
        <v>1</v>
      </c>
      <c r="R3">
        <v>0</v>
      </c>
      <c r="S3">
        <v>5</v>
      </c>
      <c r="T3">
        <v>0</v>
      </c>
      <c r="U3">
        <v>0</v>
      </c>
      <c r="V3" t="s">
        <v>121</v>
      </c>
      <c r="W3" t="s">
        <v>123</v>
      </c>
      <c r="X3" t="s">
        <v>118</v>
      </c>
      <c r="Y3" s="4" t="s">
        <v>24</v>
      </c>
      <c r="Z3">
        <v>0</v>
      </c>
    </row>
    <row r="4" spans="1:26" ht="35.25" customHeight="1" x14ac:dyDescent="0.4">
      <c r="A4">
        <f t="shared" si="0"/>
        <v>3002</v>
      </c>
      <c r="B4">
        <v>40200</v>
      </c>
      <c r="C4" t="s">
        <v>1</v>
      </c>
      <c r="D4" t="s">
        <v>58</v>
      </c>
      <c r="E4" t="s">
        <v>82</v>
      </c>
      <c r="F4" s="4" t="s">
        <v>72</v>
      </c>
      <c r="G4">
        <v>0</v>
      </c>
      <c r="H4">
        <v>3</v>
      </c>
      <c r="I4">
        <v>12</v>
      </c>
      <c r="J4">
        <v>31</v>
      </c>
      <c r="K4">
        <v>1000</v>
      </c>
      <c r="L4">
        <v>30</v>
      </c>
      <c r="M4">
        <v>30</v>
      </c>
      <c r="N4">
        <v>4</v>
      </c>
      <c r="O4">
        <v>0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121</v>
      </c>
      <c r="W4" t="s">
        <v>123</v>
      </c>
      <c r="X4" t="s">
        <v>118</v>
      </c>
      <c r="Y4" s="4" t="s">
        <v>21</v>
      </c>
      <c r="Z4">
        <v>0</v>
      </c>
    </row>
    <row r="5" spans="1:26" ht="35.25" customHeight="1" x14ac:dyDescent="0.4">
      <c r="A5">
        <f t="shared" si="0"/>
        <v>3003</v>
      </c>
      <c r="B5">
        <v>40300</v>
      </c>
      <c r="C5" t="s">
        <v>1</v>
      </c>
      <c r="D5" t="s">
        <v>59</v>
      </c>
      <c r="E5" t="s">
        <v>101</v>
      </c>
      <c r="F5" s="4" t="s">
        <v>144</v>
      </c>
      <c r="G5">
        <v>0</v>
      </c>
      <c r="H5">
        <v>2</v>
      </c>
      <c r="I5">
        <v>12</v>
      </c>
      <c r="J5">
        <v>31</v>
      </c>
      <c r="K5">
        <v>1200</v>
      </c>
      <c r="L5">
        <v>31</v>
      </c>
      <c r="M5">
        <v>40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121</v>
      </c>
      <c r="W5" t="s">
        <v>123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40400</v>
      </c>
      <c r="C6" t="s">
        <v>1</v>
      </c>
      <c r="D6" t="s">
        <v>60</v>
      </c>
      <c r="E6" t="s">
        <v>145</v>
      </c>
      <c r="F6" s="4" t="s">
        <v>146</v>
      </c>
      <c r="G6">
        <v>0</v>
      </c>
      <c r="H6">
        <v>3</v>
      </c>
      <c r="I6">
        <v>12</v>
      </c>
      <c r="J6">
        <v>31</v>
      </c>
      <c r="K6">
        <v>1000</v>
      </c>
      <c r="L6">
        <v>30</v>
      </c>
      <c r="M6">
        <v>50</v>
      </c>
      <c r="N6">
        <v>4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121</v>
      </c>
      <c r="W6" t="s">
        <v>123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40500</v>
      </c>
      <c r="C7" t="s">
        <v>1</v>
      </c>
      <c r="D7" t="s">
        <v>61</v>
      </c>
      <c r="E7" t="s">
        <v>79</v>
      </c>
      <c r="F7" s="4" t="s">
        <v>80</v>
      </c>
      <c r="G7">
        <v>0</v>
      </c>
      <c r="H7">
        <v>5</v>
      </c>
      <c r="I7">
        <v>12</v>
      </c>
      <c r="J7">
        <v>31</v>
      </c>
      <c r="K7">
        <v>700</v>
      </c>
      <c r="L7">
        <v>31</v>
      </c>
      <c r="M7">
        <v>55</v>
      </c>
      <c r="N7">
        <v>5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121</v>
      </c>
      <c r="W7" t="s">
        <v>123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40600</v>
      </c>
      <c r="C8" t="s">
        <v>1</v>
      </c>
      <c r="D8" t="s">
        <v>62</v>
      </c>
      <c r="E8" t="s">
        <v>81</v>
      </c>
      <c r="F8" s="4" t="s">
        <v>147</v>
      </c>
      <c r="G8">
        <v>0</v>
      </c>
      <c r="H8">
        <v>5</v>
      </c>
      <c r="I8">
        <v>12</v>
      </c>
      <c r="J8">
        <v>31</v>
      </c>
      <c r="K8">
        <v>1500</v>
      </c>
      <c r="L8">
        <v>32</v>
      </c>
      <c r="M8">
        <v>60</v>
      </c>
      <c r="N8">
        <v>5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121</v>
      </c>
      <c r="W8" t="s">
        <v>123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40700</v>
      </c>
      <c r="C9" t="s">
        <v>1</v>
      </c>
      <c r="D9" t="s">
        <v>63</v>
      </c>
      <c r="E9" t="s">
        <v>131</v>
      </c>
      <c r="F9" s="4" t="s">
        <v>148</v>
      </c>
      <c r="G9">
        <v>0</v>
      </c>
      <c r="H9">
        <v>6</v>
      </c>
      <c r="I9">
        <v>12</v>
      </c>
      <c r="J9">
        <v>31</v>
      </c>
      <c r="K9">
        <v>3000</v>
      </c>
      <c r="L9">
        <v>32</v>
      </c>
      <c r="M9">
        <v>65</v>
      </c>
      <c r="N9">
        <v>5</v>
      </c>
      <c r="O9">
        <v>0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121</v>
      </c>
      <c r="W9" t="s">
        <v>123</v>
      </c>
      <c r="X9" t="s">
        <v>118</v>
      </c>
      <c r="Y9" s="4" t="s">
        <v>21</v>
      </c>
      <c r="Z9">
        <v>0</v>
      </c>
    </row>
    <row r="10" spans="1:26" ht="30" customHeight="1" x14ac:dyDescent="0.4">
      <c r="A10">
        <f>ROW()-2+3000</f>
        <v>3008</v>
      </c>
      <c r="B10">
        <v>4000</v>
      </c>
      <c r="C10" t="s">
        <v>1</v>
      </c>
      <c r="D10" t="s">
        <v>47</v>
      </c>
      <c r="E10" t="s">
        <v>149</v>
      </c>
      <c r="F10" s="4" t="s">
        <v>153</v>
      </c>
      <c r="G10">
        <v>0</v>
      </c>
      <c r="H10">
        <v>5</v>
      </c>
      <c r="I10">
        <v>12</v>
      </c>
      <c r="J10">
        <v>31</v>
      </c>
      <c r="K10">
        <v>7000</v>
      </c>
      <c r="L10">
        <v>300</v>
      </c>
      <c r="M10">
        <v>30</v>
      </c>
      <c r="N10">
        <v>5</v>
      </c>
      <c r="O10">
        <v>0</v>
      </c>
      <c r="P10">
        <v>99</v>
      </c>
      <c r="Q10">
        <v>0</v>
      </c>
      <c r="R10">
        <v>0</v>
      </c>
      <c r="S10">
        <v>10</v>
      </c>
      <c r="T10">
        <v>0</v>
      </c>
      <c r="U10">
        <v>0</v>
      </c>
      <c r="V10" t="s">
        <v>121</v>
      </c>
      <c r="W10" t="s">
        <v>123</v>
      </c>
      <c r="X10" t="s">
        <v>117</v>
      </c>
      <c r="Y10" s="4" t="s">
        <v>20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2024-12-03T13:47:30Z</dcterms:modified>
</cp:coreProperties>
</file>