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b85b1299b9076c2/ドキュメント/Unity/Okashi_Atlier2/Assets/Resources/Excel/"/>
    </mc:Choice>
  </mc:AlternateContent>
  <xr:revisionPtr revIDLastSave="1" documentId="13_ncr:1_{FC52975D-EC6A-4E84-BC3F-EA25A9DDD27A}" xr6:coauthVersionLast="47" xr6:coauthVersionMax="47" xr10:uidLastSave="{120FB917-76AD-4A95-902F-B704C0522CEF}"/>
  <bookViews>
    <workbookView xWindow="3270" yWindow="1650" windowWidth="23295" windowHeight="13305" activeTab="1" xr2:uid="{1DCE2773-8A3B-4011-B3F4-E2EABC03DB8B}"/>
  </bookViews>
  <sheets>
    <sheet name="Or_Contest_001" sheetId="1" r:id="rId1"/>
    <sheet name="Or_Contest_002" sheetId="2" r:id="rId2"/>
    <sheet name="Or_Contest_003" sheetId="3" r:id="rId3"/>
    <sheet name="Or_Contest_004" sheetId="4" r:id="rId4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6" i="3" l="1"/>
  <c r="A8" i="3"/>
  <c r="A7" i="3"/>
  <c r="A11" i="1"/>
  <c r="A3" i="3"/>
  <c r="A3" i="2"/>
  <c r="A6" i="2"/>
  <c r="A11" i="3"/>
  <c r="A10" i="3"/>
  <c r="A12" i="1"/>
  <c r="A9" i="1"/>
  <c r="A8" i="1"/>
  <c r="A5" i="3"/>
  <c r="A12" i="2"/>
  <c r="A11" i="2"/>
  <c r="A13" i="1"/>
  <c r="A12" i="3"/>
  <c r="A5" i="1"/>
  <c r="A8" i="4"/>
  <c r="A7" i="4"/>
  <c r="A6" i="4"/>
  <c r="A5" i="4"/>
  <c r="A4" i="4"/>
  <c r="A3" i="4"/>
  <c r="A2" i="4"/>
  <c r="A9" i="4"/>
  <c r="A9" i="3"/>
  <c r="A4" i="3"/>
  <c r="A2" i="3"/>
  <c r="A13" i="3"/>
  <c r="A10" i="2"/>
  <c r="A9" i="2"/>
  <c r="A8" i="2"/>
  <c r="A7" i="2"/>
  <c r="A5" i="2"/>
  <c r="A4" i="2"/>
  <c r="A2" i="2"/>
  <c r="A10" i="1"/>
  <c r="A7" i="1"/>
  <c r="A4" i="1"/>
  <c r="A6" i="1"/>
  <c r="A3" i="1"/>
  <c r="A2" i="1"/>
</calcChain>
</file>

<file path=xl/sharedStrings.xml><?xml version="1.0" encoding="utf-8"?>
<sst xmlns="http://schemas.openxmlformats.org/spreadsheetml/2006/main" count="499" uniqueCount="228">
  <si>
    <t>file_name</t>
    <phoneticPr fontId="2"/>
  </si>
  <si>
    <t>skill_icon_001</t>
    <phoneticPr fontId="2"/>
  </si>
  <si>
    <t>ContestID</t>
    <phoneticPr fontId="3"/>
  </si>
  <si>
    <t>Contest_Name</t>
    <phoneticPr fontId="3"/>
  </si>
  <si>
    <t>Contest_Name_Hyouji</t>
    <phoneticPr fontId="2"/>
  </si>
  <si>
    <t>Contest_placeNum</t>
    <phoneticPr fontId="3"/>
  </si>
  <si>
    <t>クープ・デュ・モンド</t>
    <phoneticPr fontId="2"/>
  </si>
  <si>
    <t>Or_Contest_001</t>
    <phoneticPr fontId="2"/>
  </si>
  <si>
    <t>Or_Contest_010</t>
    <phoneticPr fontId="2"/>
  </si>
  <si>
    <t>クッキーノービスカップ</t>
    <phoneticPr fontId="2"/>
  </si>
  <si>
    <t>Contest_Pday</t>
    <phoneticPr fontId="2"/>
  </si>
  <si>
    <t>Contest_cost</t>
    <phoneticPr fontId="3"/>
  </si>
  <si>
    <t>Contest_flag</t>
    <phoneticPr fontId="2"/>
  </si>
  <si>
    <t>Contest_Lv</t>
    <phoneticPr fontId="2"/>
  </si>
  <si>
    <t>Contest_Pmonth</t>
    <phoneticPr fontId="2"/>
  </si>
  <si>
    <t>theme_comment</t>
    <phoneticPr fontId="2"/>
  </si>
  <si>
    <t>Contest_BringType</t>
    <phoneticPr fontId="2"/>
  </si>
  <si>
    <t>Contest_RankingType</t>
    <phoneticPr fontId="2"/>
  </si>
  <si>
    <t>Contest_PatissierRank</t>
    <phoneticPr fontId="2"/>
  </si>
  <si>
    <t>comment_out</t>
    <phoneticPr fontId="2"/>
  </si>
  <si>
    <t>エデンコンテスト1 星のレシピゲット</t>
    <rPh sb="10" eb="11">
      <t>ホシ</t>
    </rPh>
    <phoneticPr fontId="2"/>
  </si>
  <si>
    <t>序盤のコンテスト</t>
    <rPh sb="0" eb="2">
      <t>ジョバン</t>
    </rPh>
    <phoneticPr fontId="2"/>
  </si>
  <si>
    <t>Or_Contest_020</t>
    <phoneticPr fontId="2"/>
  </si>
  <si>
    <t>Or_Contest_030</t>
    <phoneticPr fontId="2"/>
  </si>
  <si>
    <t>魔法の属性ごとに最低2種類ずつ、クリアできるようにコンテスト設定しておく</t>
    <rPh sb="0" eb="2">
      <t>マホウ</t>
    </rPh>
    <rPh sb="3" eb="5">
      <t>ゾクセイ</t>
    </rPh>
    <rPh sb="8" eb="10">
      <t>サイテイ</t>
    </rPh>
    <rPh sb="11" eb="13">
      <t>シュルイ</t>
    </rPh>
    <rPh sb="30" eb="32">
      <t>セッテイ</t>
    </rPh>
    <phoneticPr fontId="2"/>
  </si>
  <si>
    <t>Contest_BringMax</t>
    <phoneticPr fontId="2"/>
  </si>
  <si>
    <t>read_endflag</t>
    <phoneticPr fontId="2"/>
  </si>
  <si>
    <t>Contest_Accepted</t>
    <phoneticPr fontId="2"/>
  </si>
  <si>
    <t>GetPatissierPoint</t>
    <phoneticPr fontId="2"/>
  </si>
  <si>
    <t>プラトンアカデミーコンテスト</t>
    <phoneticPr fontId="2"/>
  </si>
  <si>
    <t>Or_Contest_050</t>
    <phoneticPr fontId="2"/>
  </si>
  <si>
    <t>Or_Contest_060</t>
    <phoneticPr fontId="2"/>
  </si>
  <si>
    <t>Or_Contest_070</t>
    <phoneticPr fontId="2"/>
  </si>
  <si>
    <t>Or_Contest_080</t>
    <phoneticPr fontId="2"/>
  </si>
  <si>
    <t>Or_Contest_090</t>
    <phoneticPr fontId="2"/>
  </si>
  <si>
    <t>Contest_Endmonth</t>
    <phoneticPr fontId="2"/>
  </si>
  <si>
    <t>Contest_Endday</t>
    <phoneticPr fontId="2"/>
  </si>
  <si>
    <t>Or_Contest_002</t>
    <phoneticPr fontId="2"/>
  </si>
  <si>
    <t>Or_Contest_200</t>
    <phoneticPr fontId="2"/>
  </si>
  <si>
    <t>Or_Contest_210</t>
    <phoneticPr fontId="2"/>
  </si>
  <si>
    <t>Or_Contest_220</t>
    <phoneticPr fontId="2"/>
  </si>
  <si>
    <t>Or_Contest_230</t>
    <phoneticPr fontId="2"/>
  </si>
  <si>
    <t>Or_Contest_240</t>
    <phoneticPr fontId="2"/>
  </si>
  <si>
    <t>Or_Contest_250</t>
    <phoneticPr fontId="2"/>
  </si>
  <si>
    <t>Or_Contest_260</t>
    <phoneticPr fontId="2"/>
  </si>
  <si>
    <t>Or_Contest_270</t>
    <phoneticPr fontId="2"/>
  </si>
  <si>
    <t>Or_Contest_003</t>
    <phoneticPr fontId="2"/>
  </si>
  <si>
    <t>Or_Contest_004</t>
    <phoneticPr fontId="2"/>
  </si>
  <si>
    <t>Or_Contest_400</t>
    <phoneticPr fontId="2"/>
  </si>
  <si>
    <t>Or_Contest_410</t>
    <phoneticPr fontId="2"/>
  </si>
  <si>
    <t>Or_Contest_420</t>
    <phoneticPr fontId="2"/>
  </si>
  <si>
    <t>Or_Contest_430</t>
    <phoneticPr fontId="2"/>
  </si>
  <si>
    <t>Or_Contest_440</t>
    <phoneticPr fontId="2"/>
  </si>
  <si>
    <t>Or_Contest_450</t>
    <phoneticPr fontId="2"/>
  </si>
  <si>
    <t>Or_Contest_460</t>
    <phoneticPr fontId="2"/>
  </si>
  <si>
    <t>Or_Contest_470</t>
    <phoneticPr fontId="2"/>
  </si>
  <si>
    <t>Or_Contest_600</t>
    <phoneticPr fontId="2"/>
  </si>
  <si>
    <t>Or_Contest_610</t>
    <phoneticPr fontId="2"/>
  </si>
  <si>
    <t>Or_Contest_620</t>
    <phoneticPr fontId="2"/>
  </si>
  <si>
    <t>Or_Contest_630</t>
    <phoneticPr fontId="2"/>
  </si>
  <si>
    <t>Or_Contest_640</t>
    <phoneticPr fontId="2"/>
  </si>
  <si>
    <t>Or_Contest_650</t>
    <phoneticPr fontId="2"/>
  </si>
  <si>
    <t>Or_Contest_660</t>
    <phoneticPr fontId="2"/>
  </si>
  <si>
    <t>Or_Contest_670</t>
    <phoneticPr fontId="2"/>
  </si>
  <si>
    <t>英国ティータイムコンテスト</t>
    <rPh sb="0" eb="2">
      <t>エイコク</t>
    </rPh>
    <phoneticPr fontId="2"/>
  </si>
  <si>
    <t>ひんやりお菓子コンテスト</t>
    <rPh sb="5" eb="7">
      <t>カシ</t>
    </rPh>
    <phoneticPr fontId="2"/>
  </si>
  <si>
    <t>おみやげおかしコンテスト</t>
    <phoneticPr fontId="2"/>
  </si>
  <si>
    <t>スカーレットマイスター</t>
    <phoneticPr fontId="2"/>
  </si>
  <si>
    <t>クワイットスノウ</t>
    <phoneticPr fontId="2"/>
  </si>
  <si>
    <t>Or_Contest_100</t>
    <phoneticPr fontId="2"/>
  </si>
  <si>
    <t>メルヘンランド♪カップ</t>
    <phoneticPr fontId="2"/>
  </si>
  <si>
    <t>ビジョウ・パティスリー・カップ</t>
    <phoneticPr fontId="2"/>
  </si>
  <si>
    <t>クレープ・ドゥ・シャノワール</t>
    <phoneticPr fontId="2"/>
  </si>
  <si>
    <t>フィナンシェ・バタ～ズカップ</t>
    <phoneticPr fontId="2"/>
  </si>
  <si>
    <t>チーズケーキ・パティスリーアワード</t>
    <phoneticPr fontId="2"/>
  </si>
  <si>
    <t>ネオユニバース・カップ</t>
    <phoneticPr fontId="2"/>
  </si>
  <si>
    <t>アムール・チョコレイト・コンテスト</t>
    <phoneticPr fontId="2"/>
  </si>
  <si>
    <t>アデュルティ・ガトー</t>
    <phoneticPr fontId="2"/>
  </si>
  <si>
    <t>キラキラ・ボンボンズ</t>
    <phoneticPr fontId="2"/>
  </si>
  <si>
    <t>ガレット・デ・ロワ</t>
    <phoneticPr fontId="2"/>
  </si>
  <si>
    <t>ピエスモンテ</t>
    <phoneticPr fontId="2"/>
  </si>
  <si>
    <t>コンチェルティーノ・イン・ブルー</t>
    <phoneticPr fontId="2"/>
  </si>
  <si>
    <t>オランジーナ・パティスリーアワード</t>
    <phoneticPr fontId="2"/>
  </si>
  <si>
    <t>ベオルブ家のディナー</t>
    <rPh sb="4" eb="5">
      <t>イエ</t>
    </rPh>
    <phoneticPr fontId="2"/>
  </si>
  <si>
    <t>ルミエール・エピファニア</t>
    <phoneticPr fontId="2"/>
  </si>
  <si>
    <t>ルミエール・カンデラ</t>
    <phoneticPr fontId="2"/>
  </si>
  <si>
    <t>ディオ・ショコラ・チャンピオンシップ</t>
    <phoneticPr fontId="2"/>
  </si>
  <si>
    <t>ラスク・ブロカント</t>
    <phoneticPr fontId="2"/>
  </si>
  <si>
    <t>フェド・フルラージュ</t>
    <phoneticPr fontId="2"/>
  </si>
  <si>
    <t>ボンボヤージュ・カップ</t>
    <phoneticPr fontId="2"/>
  </si>
  <si>
    <t>遥かなる蒼賞</t>
    <rPh sb="0" eb="1">
      <t>ハル</t>
    </rPh>
    <rPh sb="4" eb="5">
      <t>アオ</t>
    </rPh>
    <rPh sb="5" eb="6">
      <t>ショウ</t>
    </rPh>
    <phoneticPr fontId="2"/>
  </si>
  <si>
    <t>フライング・ソーダコンテスト</t>
    <phoneticPr fontId="2"/>
  </si>
  <si>
    <t>ContestVictory</t>
    <phoneticPr fontId="2"/>
  </si>
  <si>
    <t>ContestFightsCount</t>
    <phoneticPr fontId="2"/>
  </si>
  <si>
    <t>オレンジ色は、調整済のやつ</t>
    <rPh sb="4" eb="5">
      <t>イロ</t>
    </rPh>
    <rPh sb="7" eb="9">
      <t>チョウセイ</t>
    </rPh>
    <rPh sb="9" eb="10">
      <t>スミ</t>
    </rPh>
    <phoneticPr fontId="2"/>
  </si>
  <si>
    <t>h01</t>
    <phoneticPr fontId="2"/>
  </si>
  <si>
    <t>ContestBGName</t>
    <phoneticPr fontId="2"/>
  </si>
  <si>
    <t>ContestBGChubouName</t>
    <phoneticPr fontId="2"/>
  </si>
  <si>
    <t>ContestBGMSelect</t>
    <phoneticPr fontId="2"/>
  </si>
  <si>
    <t>t01</t>
    <phoneticPr fontId="2"/>
  </si>
  <si>
    <t>sound38</t>
    <phoneticPr fontId="2"/>
  </si>
  <si>
    <t>sound46</t>
    <phoneticPr fontId="2"/>
  </si>
  <si>
    <t>t20</t>
    <phoneticPr fontId="2"/>
  </si>
  <si>
    <t>Or_Contest_480</t>
    <phoneticPr fontId="2"/>
  </si>
  <si>
    <t>デザインお菓子コンテスト</t>
    <rPh sb="5" eb="7">
      <t>カシ</t>
    </rPh>
    <phoneticPr fontId="2"/>
  </si>
  <si>
    <t>夢見るチョコレート選手権</t>
    <rPh sb="0" eb="2">
      <t>ユメミ</t>
    </rPh>
    <rPh sb="9" eb="12">
      <t>センシュケン</t>
    </rPh>
    <phoneticPr fontId="2"/>
  </si>
  <si>
    <t>自由課題
至高のデザインお菓子の決定戦
見た目が洗練された、美しいお菓子を募集致します。</t>
    <rPh sb="0" eb="2">
      <t>ジユウ</t>
    </rPh>
    <rPh sb="2" eb="4">
      <t>カダイ</t>
    </rPh>
    <rPh sb="5" eb="7">
      <t>シコウ</t>
    </rPh>
    <rPh sb="13" eb="15">
      <t>カシ</t>
    </rPh>
    <rPh sb="16" eb="19">
      <t>ケッテイセン</t>
    </rPh>
    <rPh sb="20" eb="21">
      <t>ミ</t>
    </rPh>
    <rPh sb="22" eb="23">
      <t>メ</t>
    </rPh>
    <rPh sb="24" eb="26">
      <t>センレン</t>
    </rPh>
    <rPh sb="30" eb="31">
      <t>ウツク</t>
    </rPh>
    <rPh sb="34" eb="36">
      <t>カシ</t>
    </rPh>
    <rPh sb="37" eb="39">
      <t>ボシュウ</t>
    </rPh>
    <rPh sb="39" eb="40">
      <t>イタ</t>
    </rPh>
    <phoneticPr fontId="2"/>
  </si>
  <si>
    <t>ルミエール・ドゥ・ソレイユ</t>
    <phoneticPr fontId="2"/>
  </si>
  <si>
    <t>パティスリー・デュ・モンド</t>
    <phoneticPr fontId="2"/>
  </si>
  <si>
    <t>アルク・アン・シエル</t>
    <phoneticPr fontId="2"/>
  </si>
  <si>
    <t>◆世界のお菓子コンクール◆
オランジーナ国で古くから開催されている、パティシエのナンバーワンを決める大会です。
誉れを求めて、ぜひ優勝を勝ち取ってください。</t>
    <rPh sb="1" eb="3">
      <t>セカイ</t>
    </rPh>
    <rPh sb="5" eb="7">
      <t>カシ</t>
    </rPh>
    <rPh sb="20" eb="21">
      <t>コク</t>
    </rPh>
    <rPh sb="22" eb="23">
      <t>フル</t>
    </rPh>
    <rPh sb="26" eb="28">
      <t>カイサイ</t>
    </rPh>
    <rPh sb="47" eb="48">
      <t>キ</t>
    </rPh>
    <rPh sb="50" eb="52">
      <t>タイカイ</t>
    </rPh>
    <rPh sb="56" eb="57">
      <t>ホマレ</t>
    </rPh>
    <rPh sb="59" eb="60">
      <t>モト</t>
    </rPh>
    <rPh sb="65" eb="67">
      <t>ユウショウ</t>
    </rPh>
    <rPh sb="68" eb="69">
      <t>カ</t>
    </rPh>
    <rPh sb="70" eb="71">
      <t>ト</t>
    </rPh>
    <phoneticPr fontId="2"/>
  </si>
  <si>
    <t>サマードリームスフェスティバル</t>
    <phoneticPr fontId="2"/>
  </si>
  <si>
    <t>Or_Contest_999</t>
    <phoneticPr fontId="2"/>
  </si>
  <si>
    <t>黄色は、まだ判定の未調整</t>
    <rPh sb="0" eb="2">
      <t>キイロ</t>
    </rPh>
    <rPh sb="6" eb="8">
      <t>ハンテイ</t>
    </rPh>
    <rPh sb="9" eb="12">
      <t>ミチョウセイ</t>
    </rPh>
    <phoneticPr fontId="2"/>
  </si>
  <si>
    <t>マジカル・パティスリー・アワード</t>
    <phoneticPr fontId="2"/>
  </si>
  <si>
    <t>Or_Contest_280</t>
    <phoneticPr fontId="2"/>
  </si>
  <si>
    <t>h02</t>
    <phoneticPr fontId="2"/>
  </si>
  <si>
    <t>パティシエの森</t>
    <rPh sb="6" eb="7">
      <t>モリ</t>
    </rPh>
    <phoneticPr fontId="2"/>
  </si>
  <si>
    <t>Or_Contest_290</t>
    <phoneticPr fontId="2"/>
  </si>
  <si>
    <t>Or_Contest_490</t>
    <phoneticPr fontId="2"/>
  </si>
  <si>
    <t>春のおかし大祭典</t>
    <rPh sb="0" eb="1">
      <t>ハル</t>
    </rPh>
    <rPh sb="5" eb="8">
      <t>ダイサイテン</t>
    </rPh>
    <phoneticPr fontId="2"/>
  </si>
  <si>
    <t>Or_Contest_110</t>
    <phoneticPr fontId="2"/>
  </si>
  <si>
    <t>エレメンタリー・ショコラティエ</t>
    <phoneticPr fontId="2"/>
  </si>
  <si>
    <t>h100</t>
    <phoneticPr fontId="2"/>
  </si>
  <si>
    <t>h200</t>
    <phoneticPr fontId="2"/>
  </si>
  <si>
    <t>h300</t>
    <phoneticPr fontId="2"/>
  </si>
  <si>
    <t>t100</t>
    <phoneticPr fontId="2"/>
  </si>
  <si>
    <t>t200</t>
    <phoneticPr fontId="2"/>
  </si>
  <si>
    <t>t300</t>
    <phoneticPr fontId="2"/>
  </si>
  <si>
    <t>h09</t>
    <phoneticPr fontId="2"/>
  </si>
  <si>
    <t>h101</t>
    <phoneticPr fontId="2"/>
  </si>
  <si>
    <t>t101</t>
    <phoneticPr fontId="2"/>
  </si>
  <si>
    <t>Contest_EnshutuName</t>
    <phoneticPr fontId="2"/>
  </si>
  <si>
    <t>ラスク
ブロカント</t>
    <phoneticPr fontId="2"/>
  </si>
  <si>
    <t>フィナンシェ
バタ～ズカップ</t>
    <phoneticPr fontId="2"/>
  </si>
  <si>
    <t>ルミエール
エピファニア</t>
    <phoneticPr fontId="2"/>
  </si>
  <si>
    <t>ルミエール
カンデラ</t>
    <phoneticPr fontId="2"/>
  </si>
  <si>
    <t>メルヘンランド♪
カップ</t>
    <phoneticPr fontId="2"/>
  </si>
  <si>
    <t>キラキラ
ボンボンズ</t>
    <phoneticPr fontId="2"/>
  </si>
  <si>
    <t>ビジョウ・パティスリー
カップ</t>
    <phoneticPr fontId="2"/>
  </si>
  <si>
    <t>プラトンアカデミー
コンテスト</t>
    <phoneticPr fontId="2"/>
  </si>
  <si>
    <t>クッキーノービス
カップ</t>
    <phoneticPr fontId="2"/>
  </si>
  <si>
    <t>ひんやりお菓子
コンテスト</t>
    <rPh sb="5" eb="7">
      <t>カシ</t>
    </rPh>
    <phoneticPr fontId="2"/>
  </si>
  <si>
    <t>フライング・ソーダ
コンテスト</t>
    <phoneticPr fontId="2"/>
  </si>
  <si>
    <t>ボンボヤージュ
カップ</t>
    <phoneticPr fontId="2"/>
  </si>
  <si>
    <t>エレメンタリー
ショコラティエ</t>
    <phoneticPr fontId="2"/>
  </si>
  <si>
    <t>おみやげおかし
コンテスト</t>
    <phoneticPr fontId="2"/>
  </si>
  <si>
    <t>英国ティータイム
コンテスト</t>
    <rPh sb="0" eb="2">
      <t>エイコク</t>
    </rPh>
    <phoneticPr fontId="2"/>
  </si>
  <si>
    <t>マジカルパティスリー
アワード</t>
    <phoneticPr fontId="2"/>
  </si>
  <si>
    <t>サマードリームス
フェスティバル</t>
    <phoneticPr fontId="2"/>
  </si>
  <si>
    <t>クレープ・ドゥ
シャノワール</t>
    <phoneticPr fontId="2"/>
  </si>
  <si>
    <t>アデュルティ
ガトー</t>
    <phoneticPr fontId="2"/>
  </si>
  <si>
    <t>オランジーナ
パティスリーアワード</t>
    <phoneticPr fontId="2"/>
  </si>
  <si>
    <t>コンチェルティーノ
イン・ブルー</t>
    <phoneticPr fontId="2"/>
  </si>
  <si>
    <t>ディオ・ショコラ
チャンピオンシップ</t>
    <phoneticPr fontId="2"/>
  </si>
  <si>
    <t>アムールチョコレイト
コンテスト</t>
    <phoneticPr fontId="2"/>
  </si>
  <si>
    <t>ネオユニバース
カップ</t>
    <phoneticPr fontId="2"/>
  </si>
  <si>
    <t>ルミエール・ドゥ
ソレイユ</t>
    <phoneticPr fontId="2"/>
  </si>
  <si>
    <t>チーズケーキ
パティスリーアワード</t>
    <phoneticPr fontId="2"/>
  </si>
  <si>
    <t>パティスリー
デュ・モンド</t>
    <phoneticPr fontId="2"/>
  </si>
  <si>
    <t>夢見るチョコレート
選手権</t>
    <rPh sb="0" eb="2">
      <t>ユメミ</t>
    </rPh>
    <rPh sb="10" eb="13">
      <t>センシュケン</t>
    </rPh>
    <phoneticPr fontId="2"/>
  </si>
  <si>
    <t>ContestBGMSelectHall</t>
    <phoneticPr fontId="2"/>
  </si>
  <si>
    <t>h109</t>
    <phoneticPr fontId="2"/>
  </si>
  <si>
    <t>t109</t>
    <phoneticPr fontId="2"/>
  </si>
  <si>
    <t>h209</t>
    <phoneticPr fontId="2"/>
  </si>
  <si>
    <t>t209</t>
    <phoneticPr fontId="2"/>
  </si>
  <si>
    <t>オータムリーヴス鐘の音</t>
    <rPh sb="8" eb="9">
      <t>カネ</t>
    </rPh>
    <rPh sb="10" eb="11">
      <t>オト</t>
    </rPh>
    <phoneticPr fontId="2"/>
  </si>
  <si>
    <t>オータムリーヴス
鐘の音</t>
    <phoneticPr fontId="2"/>
  </si>
  <si>
    <t>◆クッキー限定◆
クッキーの初級コンテスト
新米パティシエ達の登竜門。ゆけぃ！パティシエのたまごたちよ！！</t>
    <rPh sb="5" eb="7">
      <t>ゲンテイ</t>
    </rPh>
    <rPh sb="14" eb="16">
      <t>ショキュウ</t>
    </rPh>
    <rPh sb="22" eb="24">
      <t>シンマイ</t>
    </rPh>
    <rPh sb="29" eb="30">
      <t>タチ</t>
    </rPh>
    <rPh sb="31" eb="34">
      <t>トウリュウモン</t>
    </rPh>
    <phoneticPr fontId="2"/>
  </si>
  <si>
    <t>◆ラスク限定◆
ラスクのおいしさを決めるコンテスト
お手軽で、小さなアンティーク市で食べるおやつとして募集します。</t>
    <rPh sb="4" eb="6">
      <t>ゲンテイ</t>
    </rPh>
    <rPh sb="17" eb="18">
      <t>キ</t>
    </rPh>
    <rPh sb="27" eb="29">
      <t>テガル</t>
    </rPh>
    <rPh sb="31" eb="32">
      <t>チイ</t>
    </rPh>
    <rPh sb="40" eb="41">
      <t>イチ</t>
    </rPh>
    <rPh sb="42" eb="43">
      <t>タ</t>
    </rPh>
    <rPh sb="51" eb="53">
      <t>ボシュウ</t>
    </rPh>
    <phoneticPr fontId="2"/>
  </si>
  <si>
    <t>◆フィナンシェ限定◆
あたたかい出来立てフィナンシェを募集。
各地のフィナンシェ好きが集まり、審査致します。</t>
    <rPh sb="7" eb="9">
      <t>ゲンテイ</t>
    </rPh>
    <rPh sb="16" eb="19">
      <t>デキタ</t>
    </rPh>
    <rPh sb="27" eb="29">
      <t>ボシュウ</t>
    </rPh>
    <rPh sb="40" eb="41">
      <t>ス</t>
    </rPh>
    <rPh sb="43" eb="44">
      <t>アツ</t>
    </rPh>
    <rPh sb="47" eb="49">
      <t>シンサ</t>
    </rPh>
    <rPh sb="49" eb="50">
      <t>イタ</t>
    </rPh>
    <phoneticPr fontId="2"/>
  </si>
  <si>
    <t>◆自由課題※飲み物は対象外◆
貴族ベオルブ家が、ディナー招待客をもてなすお菓子を、毎年募集しています。
種類は問いません。華やかなお菓子を希望。</t>
    <rPh sb="1" eb="5">
      <t>ジユウカダイ</t>
    </rPh>
    <rPh sb="6" eb="7">
      <t>ノ</t>
    </rPh>
    <rPh sb="8" eb="9">
      <t>モノ</t>
    </rPh>
    <rPh sb="10" eb="13">
      <t>タイショウガイ</t>
    </rPh>
    <rPh sb="15" eb="17">
      <t>キゾク</t>
    </rPh>
    <rPh sb="21" eb="22">
      <t>イエ</t>
    </rPh>
    <rPh sb="28" eb="31">
      <t>ショウタイキャク</t>
    </rPh>
    <rPh sb="37" eb="39">
      <t>カシ</t>
    </rPh>
    <rPh sb="41" eb="43">
      <t>マイトシ</t>
    </rPh>
    <rPh sb="43" eb="45">
      <t>ボシュウ</t>
    </rPh>
    <rPh sb="52" eb="54">
      <t>シュルイ</t>
    </rPh>
    <rPh sb="55" eb="56">
      <t>ト</t>
    </rPh>
    <rPh sb="61" eb="62">
      <t>ハナ</t>
    </rPh>
    <rPh sb="66" eb="68">
      <t>カシ</t>
    </rPh>
    <rPh sb="69" eb="71">
      <t>キボウ</t>
    </rPh>
    <phoneticPr fontId="2"/>
  </si>
  <si>
    <t>◆光お菓子限定◆
国の豊穣を祝うお菓子のお祭りです。
光をイメージした、ファンタジックなお菓子を募集してます。</t>
    <rPh sb="1" eb="2">
      <t>ヒカ</t>
    </rPh>
    <rPh sb="3" eb="5">
      <t>カシ</t>
    </rPh>
    <rPh sb="5" eb="7">
      <t>ゲンテイ</t>
    </rPh>
    <rPh sb="9" eb="10">
      <t>クニ</t>
    </rPh>
    <rPh sb="11" eb="13">
      <t>ホウジョウ</t>
    </rPh>
    <rPh sb="14" eb="15">
      <t>イワ</t>
    </rPh>
    <rPh sb="17" eb="19">
      <t>カシ</t>
    </rPh>
    <rPh sb="21" eb="22">
      <t>マツ</t>
    </rPh>
    <rPh sb="27" eb="28">
      <t>ヒカ</t>
    </rPh>
    <rPh sb="45" eb="47">
      <t>カシ</t>
    </rPh>
    <rPh sb="48" eb="50">
      <t>ボシュウ</t>
    </rPh>
    <phoneticPr fontId="2"/>
  </si>
  <si>
    <t>◆光お菓子限定◆
アフロディーテ様の生誕を祝うお祭りです。
神々しい光をイメージしたお菓子を募集します！</t>
    <rPh sb="16" eb="17">
      <t>サマ</t>
    </rPh>
    <rPh sb="18" eb="20">
      <t>セイタン</t>
    </rPh>
    <rPh sb="21" eb="22">
      <t>イワ</t>
    </rPh>
    <rPh sb="24" eb="25">
      <t>マツ</t>
    </rPh>
    <rPh sb="30" eb="32">
      <t>コウゴウ</t>
    </rPh>
    <rPh sb="34" eb="35">
      <t>ヒカリ</t>
    </rPh>
    <rPh sb="43" eb="45">
      <t>カシ</t>
    </rPh>
    <rPh sb="46" eb="48">
      <t>ボシュウ</t>
    </rPh>
    <phoneticPr fontId="2"/>
  </si>
  <si>
    <t>◆自由課題◆
メルヘンでかわいいお菓子を募集しています♪
食べた人に夢を見せるかわいいお菓子を見せてくださ～い！</t>
    <rPh sb="1" eb="5">
      <t>ジユウカダイ</t>
    </rPh>
    <rPh sb="17" eb="19">
      <t>カシ</t>
    </rPh>
    <rPh sb="20" eb="22">
      <t>ボシュウ</t>
    </rPh>
    <rPh sb="29" eb="30">
      <t>タ</t>
    </rPh>
    <rPh sb="32" eb="33">
      <t>ヒト</t>
    </rPh>
    <rPh sb="34" eb="35">
      <t>ユメ</t>
    </rPh>
    <rPh sb="36" eb="37">
      <t>ミ</t>
    </rPh>
    <rPh sb="44" eb="46">
      <t>カシ</t>
    </rPh>
    <rPh sb="47" eb="48">
      <t>ミ</t>
    </rPh>
    <phoneticPr fontId="2"/>
  </si>
  <si>
    <t>◆ひんやりお菓子限定◆
暑さを吹き飛ばす！
つめた～いお菓子を募集シテマース！
アイス・ゼリー・パフェなどなど..。</t>
    <rPh sb="6" eb="8">
      <t>カシ</t>
    </rPh>
    <rPh sb="8" eb="10">
      <t>ゲンテイ</t>
    </rPh>
    <rPh sb="12" eb="13">
      <t>アツ</t>
    </rPh>
    <rPh sb="15" eb="16">
      <t>フ</t>
    </rPh>
    <rPh sb="17" eb="18">
      <t>ト</t>
    </rPh>
    <rPh sb="28" eb="30">
      <t>カシ</t>
    </rPh>
    <rPh sb="31" eb="33">
      <t>ボシュウ</t>
    </rPh>
    <phoneticPr fontId="2"/>
  </si>
  <si>
    <t>◆自由課題◆
夏エリアで行われる初級パティシエ向けのコンテスト。遊園地そばのソーダの森で開催。
森にくるお客さんを喜ばせよう！！</t>
    <rPh sb="1" eb="5">
      <t>ジユウカダイ</t>
    </rPh>
    <rPh sb="7" eb="8">
      <t>ナツ</t>
    </rPh>
    <rPh sb="12" eb="13">
      <t>オコナ</t>
    </rPh>
    <rPh sb="16" eb="18">
      <t>ショキュウ</t>
    </rPh>
    <rPh sb="23" eb="24">
      <t>ム</t>
    </rPh>
    <rPh sb="32" eb="35">
      <t>ユウエンチ</t>
    </rPh>
    <rPh sb="42" eb="43">
      <t>モリ</t>
    </rPh>
    <rPh sb="44" eb="46">
      <t>カイサイ</t>
    </rPh>
    <rPh sb="48" eb="49">
      <t>モリ</t>
    </rPh>
    <rPh sb="53" eb="54">
      <t>キャク</t>
    </rPh>
    <rPh sb="57" eb="58">
      <t>ヨロコ</t>
    </rPh>
    <phoneticPr fontId="2"/>
  </si>
  <si>
    <t>◆ソーダ限定◆
シュワシュワなソーダは、夏の定番！！
おいしくてオシャレなソーダでトップを目指せ！</t>
    <rPh sb="4" eb="6">
      <t>ゲンテイ</t>
    </rPh>
    <rPh sb="20" eb="21">
      <t>ナツ</t>
    </rPh>
    <rPh sb="22" eb="24">
      <t>テイバン</t>
    </rPh>
    <rPh sb="45" eb="47">
      <t>メザ</t>
    </rPh>
    <phoneticPr fontId="2"/>
  </si>
  <si>
    <t>◆自由課題◆
オランジーナビーチを象徴する、オシャレなおかしを募集してます！
腕によりをかけたお菓子を見せてください！</t>
    <rPh sb="1" eb="5">
      <t>ジユウカダイ</t>
    </rPh>
    <rPh sb="17" eb="19">
      <t>ショウチョウ</t>
    </rPh>
    <rPh sb="31" eb="33">
      <t>ボシュウ</t>
    </rPh>
    <rPh sb="39" eb="40">
      <t>ウデ</t>
    </rPh>
    <rPh sb="48" eb="50">
      <t>カシ</t>
    </rPh>
    <rPh sb="51" eb="52">
      <t>ミ</t>
    </rPh>
    <phoneticPr fontId="2"/>
  </si>
  <si>
    <t>◆自由課題＜クッキー・ラスク除く＞◆
パパがおみやげに持って帰れるお菓子を募集しますじゃ。
小さめで子供が喜ぶお菓子がいいのお。</t>
    <rPh sb="1" eb="5">
      <t>ジユウカダイ</t>
    </rPh>
    <rPh sb="14" eb="15">
      <t>ノゾ</t>
    </rPh>
    <rPh sb="27" eb="28">
      <t>モ</t>
    </rPh>
    <rPh sb="30" eb="31">
      <t>カエ</t>
    </rPh>
    <rPh sb="34" eb="36">
      <t>カシ</t>
    </rPh>
    <rPh sb="37" eb="39">
      <t>ボシュウ</t>
    </rPh>
    <rPh sb="46" eb="47">
      <t>チイ</t>
    </rPh>
    <rPh sb="50" eb="52">
      <t>コドモ</t>
    </rPh>
    <rPh sb="53" eb="54">
      <t>ヨロコ</t>
    </rPh>
    <rPh sb="56" eb="58">
      <t>カシ</t>
    </rPh>
    <phoneticPr fontId="2"/>
  </si>
  <si>
    <t>◆いちごのお菓子限定◆
お菓子の主役といえば、やはりいちご..！
いちご好きをうならせるおいしいお菓子を見せてくださいな♪</t>
    <rPh sb="6" eb="8">
      <t>カシ</t>
    </rPh>
    <rPh sb="8" eb="10">
      <t>ゲンテイ</t>
    </rPh>
    <rPh sb="13" eb="15">
      <t>カシ</t>
    </rPh>
    <rPh sb="16" eb="18">
      <t>シュヤク</t>
    </rPh>
    <rPh sb="36" eb="37">
      <t>ス</t>
    </rPh>
    <rPh sb="49" eb="51">
      <t>カシ</t>
    </rPh>
    <rPh sb="52" eb="53">
      <t>ミ</t>
    </rPh>
    <phoneticPr fontId="2"/>
  </si>
  <si>
    <t>◆海をテーマにしたチョコレート◆
美しい海を讃えるチョコレートを募集します。
青や白、砂浜の色合い、波の表現.. 地球の海の美しさを表現してください。</t>
    <rPh sb="1" eb="2">
      <t>ウミ</t>
    </rPh>
    <rPh sb="17" eb="18">
      <t>ウツク</t>
    </rPh>
    <rPh sb="20" eb="21">
      <t>ウミ</t>
    </rPh>
    <rPh sb="22" eb="23">
      <t>タタ</t>
    </rPh>
    <rPh sb="32" eb="34">
      <t>ボシュウ</t>
    </rPh>
    <rPh sb="39" eb="40">
      <t>アオ</t>
    </rPh>
    <rPh sb="41" eb="42">
      <t>シロ</t>
    </rPh>
    <rPh sb="43" eb="45">
      <t>スナハマ</t>
    </rPh>
    <rPh sb="46" eb="48">
      <t>イロア</t>
    </rPh>
    <rPh sb="50" eb="51">
      <t>ナミ</t>
    </rPh>
    <rPh sb="52" eb="54">
      <t>ヒョウゲン</t>
    </rPh>
    <rPh sb="57" eb="59">
      <t>チキュウ</t>
    </rPh>
    <rPh sb="60" eb="61">
      <t>ウミ</t>
    </rPh>
    <rPh sb="62" eb="63">
      <t>ウツク</t>
    </rPh>
    <rPh sb="66" eb="68">
      <t>ヒョウゲン</t>
    </rPh>
    <phoneticPr fontId="2"/>
  </si>
  <si>
    <t>◆クレープ限定◆
黒猫達も好むおいしくて甘いクレープを募集
権威ある上流黒猫たちも注目しています♪</t>
    <rPh sb="5" eb="7">
      <t>ゲンテイ</t>
    </rPh>
    <rPh sb="9" eb="11">
      <t>クロネコ</t>
    </rPh>
    <rPh sb="11" eb="12">
      <t>タチ</t>
    </rPh>
    <rPh sb="13" eb="14">
      <t>コノ</t>
    </rPh>
    <rPh sb="20" eb="21">
      <t>アマ</t>
    </rPh>
    <rPh sb="27" eb="29">
      <t>ボシュウ</t>
    </rPh>
    <rPh sb="30" eb="32">
      <t>ケンイ</t>
    </rPh>
    <rPh sb="34" eb="36">
      <t>ジョウリュウ</t>
    </rPh>
    <rPh sb="36" eb="38">
      <t>クロネコ</t>
    </rPh>
    <rPh sb="41" eb="43">
      <t>チュウモク</t>
    </rPh>
    <phoneticPr fontId="2"/>
  </si>
  <si>
    <t>◆自由課題◆
秋エリアの風物詩的パティシエコンテストです。木枯らしを感じる季節・・いかがおすごしですか？
幅広くいろんなお菓子を募集しております！</t>
    <rPh sb="1" eb="5">
      <t>ジユウカダイ</t>
    </rPh>
    <rPh sb="7" eb="8">
      <t>アキ</t>
    </rPh>
    <rPh sb="12" eb="15">
      <t>フウブツシ</t>
    </rPh>
    <rPh sb="15" eb="16">
      <t>テキ</t>
    </rPh>
    <rPh sb="29" eb="31">
      <t>コガ</t>
    </rPh>
    <rPh sb="34" eb="35">
      <t>カン</t>
    </rPh>
    <rPh sb="37" eb="39">
      <t>キセツ</t>
    </rPh>
    <rPh sb="53" eb="55">
      <t>ハバヒロ</t>
    </rPh>
    <rPh sb="61" eb="63">
      <t>カシ</t>
    </rPh>
    <rPh sb="64" eb="66">
      <t>ボシュウ</t>
    </rPh>
    <phoneticPr fontId="2"/>
  </si>
  <si>
    <t>◆大人な雰囲気のお菓子限定◆
アダルトな雰囲気で、紳士向けのお菓子を募集しております。
ブラックなお菓子を見せてくださいませ。</t>
    <rPh sb="1" eb="3">
      <t>オトナ</t>
    </rPh>
    <rPh sb="4" eb="7">
      <t>フンイキ</t>
    </rPh>
    <rPh sb="9" eb="11">
      <t>カシ</t>
    </rPh>
    <rPh sb="11" eb="13">
      <t>ゲンテイ</t>
    </rPh>
    <rPh sb="20" eb="23">
      <t>フンイキ</t>
    </rPh>
    <rPh sb="25" eb="27">
      <t>シンシ</t>
    </rPh>
    <rPh sb="27" eb="28">
      <t>ム</t>
    </rPh>
    <rPh sb="31" eb="33">
      <t>カシ</t>
    </rPh>
    <rPh sb="34" eb="36">
      <t>ボシュウ</t>
    </rPh>
    <rPh sb="50" eb="52">
      <t>カシ</t>
    </rPh>
    <rPh sb="53" eb="54">
      <t>ミ</t>
    </rPh>
    <phoneticPr fontId="2"/>
  </si>
  <si>
    <t>◆ケーキ系orクリームブリュレ◆
オランジーナ国の準パティシエ達が競うコンペ
腕によりをかけた自慢のお菓子を見せてください！</t>
    <rPh sb="4" eb="5">
      <t>ケイ</t>
    </rPh>
    <rPh sb="23" eb="24">
      <t>コク</t>
    </rPh>
    <rPh sb="25" eb="26">
      <t>ジュン</t>
    </rPh>
    <rPh sb="31" eb="32">
      <t>タチ</t>
    </rPh>
    <rPh sb="33" eb="34">
      <t>キソ</t>
    </rPh>
    <rPh sb="39" eb="40">
      <t>ウデ</t>
    </rPh>
    <rPh sb="47" eb="49">
      <t>ジマン</t>
    </rPh>
    <rPh sb="51" eb="53">
      <t>カシ</t>
    </rPh>
    <rPh sb="54" eb="55">
      <t>ミ</t>
    </rPh>
    <phoneticPr fontId="2"/>
  </si>
  <si>
    <t xml:space="preserve">◆紅茶限定◆
ティータイムを彩る香り高い紅茶を募集。
お菓子を引き立てる大切な名脇役のティー。その誇り高さを競い合ってもらいたい。
</t>
    <rPh sb="1" eb="3">
      <t>コウチャ</t>
    </rPh>
    <rPh sb="3" eb="5">
      <t>ゲンテイ</t>
    </rPh>
    <rPh sb="14" eb="15">
      <t>イロド</t>
    </rPh>
    <rPh sb="16" eb="17">
      <t>カオ</t>
    </rPh>
    <rPh sb="18" eb="19">
      <t>ダカ</t>
    </rPh>
    <rPh sb="20" eb="22">
      <t>コウチャ</t>
    </rPh>
    <rPh sb="23" eb="25">
      <t>ボシュウ</t>
    </rPh>
    <rPh sb="28" eb="30">
      <t>カシ</t>
    </rPh>
    <rPh sb="31" eb="32">
      <t>ヒ</t>
    </rPh>
    <rPh sb="33" eb="34">
      <t>タ</t>
    </rPh>
    <rPh sb="36" eb="38">
      <t>タイセツ</t>
    </rPh>
    <rPh sb="39" eb="40">
      <t>メイ</t>
    </rPh>
    <rPh sb="40" eb="42">
      <t>ワキヤク</t>
    </rPh>
    <rPh sb="49" eb="50">
      <t>ホコ</t>
    </rPh>
    <rPh sb="51" eb="52">
      <t>タカ</t>
    </rPh>
    <rPh sb="54" eb="55">
      <t>キソ</t>
    </rPh>
    <rPh sb="56" eb="57">
      <t>ア</t>
    </rPh>
    <phoneticPr fontId="2"/>
  </si>
  <si>
    <t>◆芸術的なおかしお菓子限定◆
名門ハイネン家の招待パーティーに飾るお菓子を募集しています。パーティーの目玉になる、芸術的なお菓子が希望ですわ♪</t>
    <rPh sb="9" eb="11">
      <t>カシ</t>
    </rPh>
    <rPh sb="11" eb="13">
      <t>ゲンテイ</t>
    </rPh>
    <rPh sb="15" eb="17">
      <t>メイモン</t>
    </rPh>
    <rPh sb="21" eb="22">
      <t>ケ</t>
    </rPh>
    <rPh sb="23" eb="25">
      <t>ショウタイ</t>
    </rPh>
    <rPh sb="31" eb="32">
      <t>カザ</t>
    </rPh>
    <rPh sb="34" eb="36">
      <t>カシ</t>
    </rPh>
    <rPh sb="37" eb="39">
      <t>ボシュウ</t>
    </rPh>
    <rPh sb="51" eb="53">
      <t>メダマ</t>
    </rPh>
    <rPh sb="57" eb="59">
      <t>ゲイジュツ</t>
    </rPh>
    <rPh sb="59" eb="60">
      <t>テキ</t>
    </rPh>
    <rPh sb="62" eb="64">
      <t>カシ</t>
    </rPh>
    <rPh sb="65" eb="67">
      <t>キボウ</t>
    </rPh>
    <phoneticPr fontId="2"/>
  </si>
  <si>
    <t>◆自由課題◆
冬の名物となる、雪国のお菓子を募集しています。
どんな種類でも結構です！お気軽にご応募ください。</t>
    <rPh sb="1" eb="5">
      <t>ジユウカダイ</t>
    </rPh>
    <rPh sb="7" eb="8">
      <t>フユ</t>
    </rPh>
    <rPh sb="9" eb="11">
      <t>メイブツ</t>
    </rPh>
    <rPh sb="15" eb="17">
      <t>ユキクニ</t>
    </rPh>
    <rPh sb="19" eb="21">
      <t>カシ</t>
    </rPh>
    <rPh sb="22" eb="24">
      <t>ボシュウ</t>
    </rPh>
    <rPh sb="34" eb="36">
      <t>シュルイ</t>
    </rPh>
    <rPh sb="38" eb="40">
      <t>ケッコウ</t>
    </rPh>
    <rPh sb="44" eb="46">
      <t>キガル</t>
    </rPh>
    <rPh sb="48" eb="50">
      <t>オウボ</t>
    </rPh>
    <phoneticPr fontId="2"/>
  </si>
  <si>
    <t>◆愛をテーマにしたチョコレート限定◆
心あたたまる、愛にあふれたチョコレートを、お届けください。</t>
    <rPh sb="1" eb="2">
      <t>アイ</t>
    </rPh>
    <rPh sb="15" eb="17">
      <t>ゲンテイ</t>
    </rPh>
    <rPh sb="19" eb="20">
      <t>ココロ</t>
    </rPh>
    <rPh sb="26" eb="27">
      <t>アイ</t>
    </rPh>
    <rPh sb="41" eb="42">
      <t>トド</t>
    </rPh>
    <phoneticPr fontId="2"/>
  </si>
  <si>
    <t>◆宇宙をテーマにしたお菓子◆
宇宙・星にちなんだ、ロマンチックなお菓子を募集</t>
    <rPh sb="1" eb="3">
      <t>ウチュウ</t>
    </rPh>
    <rPh sb="11" eb="13">
      <t>カシ</t>
    </rPh>
    <rPh sb="15" eb="17">
      <t>ウチュウ</t>
    </rPh>
    <rPh sb="18" eb="19">
      <t>ホシ</t>
    </rPh>
    <rPh sb="33" eb="35">
      <t>カシ</t>
    </rPh>
    <rPh sb="36" eb="38">
      <t>ボシュウ</t>
    </rPh>
    <phoneticPr fontId="2"/>
  </si>
  <si>
    <t>◆温かいお菓子限定※焼き菓子は除く◆
アフォガード・アップルパイ・パンケーキなど..
冷えた体とこころを癒やす、温かいお菓子を募集いたします。</t>
    <rPh sb="1" eb="2">
      <t>アタタ</t>
    </rPh>
    <rPh sb="5" eb="7">
      <t>カシ</t>
    </rPh>
    <rPh sb="7" eb="9">
      <t>ゲンテイ</t>
    </rPh>
    <rPh sb="10" eb="11">
      <t>ヤ</t>
    </rPh>
    <rPh sb="12" eb="14">
      <t>ガシ</t>
    </rPh>
    <rPh sb="15" eb="16">
      <t>ノゾ</t>
    </rPh>
    <rPh sb="43" eb="44">
      <t>ヒ</t>
    </rPh>
    <rPh sb="46" eb="47">
      <t>カラダ</t>
    </rPh>
    <rPh sb="52" eb="53">
      <t>イヤ</t>
    </rPh>
    <rPh sb="56" eb="57">
      <t>アタタ</t>
    </rPh>
    <rPh sb="60" eb="62">
      <t>カシ</t>
    </rPh>
    <rPh sb="63" eb="65">
      <t>ボシュウ</t>
    </rPh>
    <phoneticPr fontId="2"/>
  </si>
  <si>
    <t>◆ミルフイユ限定◆
さくさくパリパリのおいしいミルフイユ限定のコンテスト。
自信のあるミルフイユを見せてください。</t>
    <rPh sb="6" eb="8">
      <t>ゲンテイ</t>
    </rPh>
    <rPh sb="28" eb="30">
      <t>ゲンテイ</t>
    </rPh>
    <rPh sb="38" eb="40">
      <t>ジシン</t>
    </rPh>
    <rPh sb="49" eb="50">
      <t>ミ</t>
    </rPh>
    <phoneticPr fontId="2"/>
  </si>
  <si>
    <t>ミルフイユ・ドゥ・オランジーナ</t>
    <phoneticPr fontId="2"/>
  </si>
  <si>
    <t>◆チーズケーキ限定◆
おいしいチーズケーキを募集しますわ♪
香しく、口の中でねっとりとろける.. 至福のチーズケーキお待ちしてますわ♪</t>
    <rPh sb="7" eb="9">
      <t>ゲンテイ</t>
    </rPh>
    <rPh sb="22" eb="24">
      <t>ボシュウ</t>
    </rPh>
    <rPh sb="30" eb="31">
      <t>カグワ</t>
    </rPh>
    <rPh sb="34" eb="35">
      <t>クチ</t>
    </rPh>
    <rPh sb="36" eb="37">
      <t>ナカ</t>
    </rPh>
    <rPh sb="49" eb="51">
      <t>シフク</t>
    </rPh>
    <rPh sb="59" eb="60">
      <t>マ</t>
    </rPh>
    <phoneticPr fontId="2"/>
  </si>
  <si>
    <t>◆愛・メルヘンが高いチョコレート限定◆
とろける、夢見るチョコレートのコンテスト。
はたして、夢を見せてくれるのか・・？※チョコケーキも可</t>
    <rPh sb="8" eb="9">
      <t>タカ</t>
    </rPh>
    <rPh sb="16" eb="18">
      <t>ゲンテイ</t>
    </rPh>
    <rPh sb="25" eb="27">
      <t>ユメミ</t>
    </rPh>
    <rPh sb="47" eb="48">
      <t>ユメ</t>
    </rPh>
    <rPh sb="49" eb="50">
      <t>ミ</t>
    </rPh>
    <rPh sb="68" eb="69">
      <t>カ</t>
    </rPh>
    <phoneticPr fontId="2"/>
  </si>
  <si>
    <t>◆ケーキ限定◆
秋の大収穫祭を祝うケーキコンテストです。
お祝いのための豪華なケーキを見せてください！</t>
    <rPh sb="4" eb="6">
      <t>ゲンテイ</t>
    </rPh>
    <rPh sb="8" eb="9">
      <t>アキ</t>
    </rPh>
    <rPh sb="10" eb="14">
      <t>ダイシュウカクサイ</t>
    </rPh>
    <rPh sb="15" eb="16">
      <t>イワ</t>
    </rPh>
    <rPh sb="30" eb="31">
      <t>イワ</t>
    </rPh>
    <rPh sb="36" eb="38">
      <t>ゴウカ</t>
    </rPh>
    <rPh sb="43" eb="44">
      <t>ミ</t>
    </rPh>
    <phoneticPr fontId="2"/>
  </si>
  <si>
    <t>プラム洋菓子技術コンテスト</t>
    <rPh sb="6" eb="8">
      <t>ギジュツ</t>
    </rPh>
    <phoneticPr fontId="2"/>
  </si>
  <si>
    <t>プラム洋菓子技術
コンテスト</t>
    <rPh sb="6" eb="8">
      <t>ギジュツ</t>
    </rPh>
    <phoneticPr fontId="2"/>
  </si>
  <si>
    <t>◆パティシエアカデミーの登竜門◆
テーマ：焼き菓子と自由課題
来たれ！パティシエのたまごたちよ！
至高の一品をお待ちしております！</t>
    <rPh sb="12" eb="15">
      <t>トウリュウモン</t>
    </rPh>
    <rPh sb="21" eb="22">
      <t>ヤ</t>
    </rPh>
    <rPh sb="23" eb="25">
      <t>ガシ</t>
    </rPh>
    <rPh sb="26" eb="30">
      <t>ジユウカダイ</t>
    </rPh>
    <rPh sb="31" eb="32">
      <t>キ</t>
    </rPh>
    <rPh sb="49" eb="51">
      <t>シコウ</t>
    </rPh>
    <rPh sb="52" eb="54">
      <t>イッピン</t>
    </rPh>
    <rPh sb="56" eb="57">
      <t>マ</t>
    </rPh>
    <phoneticPr fontId="2"/>
  </si>
  <si>
    <t>h03</t>
    <phoneticPr fontId="2"/>
  </si>
  <si>
    <t>t03</t>
    <phoneticPr fontId="2"/>
  </si>
  <si>
    <t>h04</t>
    <phoneticPr fontId="2"/>
  </si>
  <si>
    <t>sound81</t>
    <phoneticPr fontId="2"/>
  </si>
  <si>
    <t>◆お花をモチーフにしたお菓子限定◆
お花をメインに使った華やかなお菓子を募集しています。クッキー・チョコレート・ケーキ・チーズケーキ・ゼリー限定。</t>
    <rPh sb="2" eb="3">
      <t>ハナ</t>
    </rPh>
    <rPh sb="12" eb="14">
      <t>カシ</t>
    </rPh>
    <rPh sb="14" eb="16">
      <t>ゲンテイ</t>
    </rPh>
    <rPh sb="19" eb="20">
      <t>ハナ</t>
    </rPh>
    <rPh sb="25" eb="26">
      <t>ツカ</t>
    </rPh>
    <rPh sb="28" eb="29">
      <t>ハナ</t>
    </rPh>
    <rPh sb="33" eb="35">
      <t>カシ</t>
    </rPh>
    <rPh sb="36" eb="38">
      <t>ボシュウ</t>
    </rPh>
    <rPh sb="70" eb="72">
      <t>ゲンテイ</t>
    </rPh>
    <phoneticPr fontId="2"/>
  </si>
  <si>
    <t>sound55</t>
    <phoneticPr fontId="2"/>
  </si>
  <si>
    <t>◆チョコレート限定◆
夏エリアで開催のチョコレートコンテスト。
初級～中級までのパティシエの方ぜひご参加ください！</t>
    <rPh sb="7" eb="9">
      <t>ゲンテイ</t>
    </rPh>
    <rPh sb="11" eb="12">
      <t>ナツ</t>
    </rPh>
    <rPh sb="16" eb="18">
      <t>カイサイ</t>
    </rPh>
    <rPh sb="32" eb="34">
      <t>ショキュウ</t>
    </rPh>
    <rPh sb="35" eb="37">
      <t>チュウキュウ</t>
    </rPh>
    <rPh sb="46" eb="47">
      <t>カタ</t>
    </rPh>
    <rPh sb="50" eb="52">
      <t>サンカ</t>
    </rPh>
    <phoneticPr fontId="2"/>
  </si>
  <si>
    <t>◆自由課題◆
隣国プラムで行われる伝統的な洋菓子コンテストです。各界隈の著名人が注目するトップレベルのコンテストです。</t>
    <rPh sb="1" eb="5">
      <t>ジユウカダイ</t>
    </rPh>
    <rPh sb="7" eb="9">
      <t>リンコク</t>
    </rPh>
    <rPh sb="13" eb="14">
      <t>オコナ</t>
    </rPh>
    <rPh sb="17" eb="20">
      <t>デントウテキ</t>
    </rPh>
    <rPh sb="21" eb="24">
      <t>ヨウガシ</t>
    </rPh>
    <rPh sb="32" eb="35">
      <t>カクカイワイ</t>
    </rPh>
    <rPh sb="36" eb="38">
      <t>チョメイ</t>
    </rPh>
    <rPh sb="38" eb="39">
      <t>ジン</t>
    </rPh>
    <rPh sb="40" eb="42">
      <t>チュウモク</t>
    </rPh>
    <rPh sb="42" eb="44">
      <t>ダイチュウモク</t>
    </rPh>
    <phoneticPr fontId="2"/>
  </si>
  <si>
    <t>t04</t>
    <phoneticPr fontId="2"/>
  </si>
  <si>
    <t>◆自由課題◆
春エリアで行われるパティシエ中～上級向けのコンテスト。難易度高め。
春の大妖精様を讃えるお菓子を希望します。</t>
    <rPh sb="1" eb="5">
      <t>ジユウカダイ</t>
    </rPh>
    <rPh sb="7" eb="8">
      <t>ハル</t>
    </rPh>
    <rPh sb="12" eb="13">
      <t>オコナ</t>
    </rPh>
    <rPh sb="21" eb="22">
      <t>チュウ</t>
    </rPh>
    <rPh sb="23" eb="25">
      <t>ジョウキュウ</t>
    </rPh>
    <rPh sb="25" eb="26">
      <t>ム</t>
    </rPh>
    <rPh sb="34" eb="37">
      <t>ナンイド</t>
    </rPh>
    <rPh sb="37" eb="38">
      <t>タカ</t>
    </rPh>
    <rPh sb="41" eb="42">
      <t>ハル</t>
    </rPh>
    <rPh sb="43" eb="44">
      <t>ダイ</t>
    </rPh>
    <rPh sb="44" eb="46">
      <t>ヨウセイ</t>
    </rPh>
    <rPh sb="46" eb="47">
      <t>サマ</t>
    </rPh>
    <rPh sb="48" eb="49">
      <t>タタ</t>
    </rPh>
    <rPh sb="52" eb="54">
      <t>カシ</t>
    </rPh>
    <rPh sb="55" eb="57">
      <t>キボウ</t>
    </rPh>
    <phoneticPr fontId="2"/>
  </si>
  <si>
    <t>◆青色をテーマにしたお菓子◆
ブルー・・それはとても美しい色。
美しい青をテーマにした最高のお菓子を募集します。難易度高。</t>
    <rPh sb="1" eb="3">
      <t>アオイロ</t>
    </rPh>
    <rPh sb="11" eb="13">
      <t>カシ</t>
    </rPh>
    <rPh sb="26" eb="27">
      <t>ウツク</t>
    </rPh>
    <rPh sb="29" eb="30">
      <t>イロ</t>
    </rPh>
    <rPh sb="32" eb="33">
      <t>ウツク</t>
    </rPh>
    <rPh sb="35" eb="36">
      <t>アオ</t>
    </rPh>
    <rPh sb="43" eb="45">
      <t>サイコウ</t>
    </rPh>
    <rPh sb="47" eb="49">
      <t>カシ</t>
    </rPh>
    <rPh sb="50" eb="52">
      <t>ボシュウ</t>
    </rPh>
    <rPh sb="56" eb="59">
      <t>ナンイド</t>
    </rPh>
    <rPh sb="59" eb="60">
      <t>タカ</t>
    </rPh>
    <phoneticPr fontId="2"/>
  </si>
  <si>
    <t>◆チョコレート限定◆
とろける、夢見るチョコレートのコンテスト
はたして、夢を見せてくれるのか・・？
※王者級の難易度なので、心してかかるべし。</t>
    <rPh sb="7" eb="9">
      <t>ゲンテイ</t>
    </rPh>
    <rPh sb="16" eb="18">
      <t>ユメミ</t>
    </rPh>
    <rPh sb="37" eb="38">
      <t>ユメ</t>
    </rPh>
    <rPh sb="39" eb="40">
      <t>ミ</t>
    </rPh>
    <rPh sb="52" eb="54">
      <t>オウジャ</t>
    </rPh>
    <rPh sb="54" eb="55">
      <t>キュウ</t>
    </rPh>
    <rPh sb="56" eb="59">
      <t>ナンイド</t>
    </rPh>
    <rPh sb="63" eb="64">
      <t>ココロ</t>
    </rPh>
    <phoneticPr fontId="2"/>
  </si>
  <si>
    <t>h201</t>
    <phoneticPr fontId="2"/>
  </si>
  <si>
    <t>h202</t>
    <phoneticPr fontId="2"/>
  </si>
  <si>
    <t>h203</t>
    <phoneticPr fontId="2"/>
  </si>
  <si>
    <t>t203</t>
    <phoneticPr fontId="2"/>
  </si>
  <si>
    <t>h102</t>
    <phoneticPr fontId="2"/>
  </si>
  <si>
    <t>t102</t>
    <phoneticPr fontId="2"/>
  </si>
  <si>
    <t>sound82</t>
    <phoneticPr fontId="2"/>
  </si>
  <si>
    <t>h05</t>
    <phoneticPr fontId="2"/>
  </si>
  <si>
    <t>◆夏エリア最大のお菓子エキシビジョン◆
テーマ：焼き菓子・自由課題ほか
ソーダアイランドで行われるお菓子の一大イベント！自慢のお菓子でお客さんを喜ばせよう！！</t>
    <rPh sb="1" eb="2">
      <t>ナツ</t>
    </rPh>
    <rPh sb="5" eb="7">
      <t>サイダイ</t>
    </rPh>
    <rPh sb="9" eb="11">
      <t>カシ</t>
    </rPh>
    <rPh sb="24" eb="25">
      <t>ヤ</t>
    </rPh>
    <rPh sb="26" eb="28">
      <t>ガシ</t>
    </rPh>
    <rPh sb="29" eb="33">
      <t>ジユウカダイ</t>
    </rPh>
    <rPh sb="45" eb="46">
      <t>オコナ</t>
    </rPh>
    <rPh sb="50" eb="52">
      <t>カシ</t>
    </rPh>
    <rPh sb="53" eb="55">
      <t>イチダイ</t>
    </rPh>
    <rPh sb="60" eb="62">
      <t>ジマン</t>
    </rPh>
    <rPh sb="64" eb="66">
      <t>カシ</t>
    </rPh>
    <rPh sb="68" eb="69">
      <t>キャク</t>
    </rPh>
    <rPh sb="72" eb="73">
      <t>ヨロコ</t>
    </rPh>
    <phoneticPr fontId="2"/>
  </si>
  <si>
    <t>◆秋の伝統的なお菓子コンクール◆
テーマ：自由課題
秋エリアの伝統的で由緒あるコンクールです。自信作をお待ちしております。</t>
    <rPh sb="1" eb="2">
      <t>アキ</t>
    </rPh>
    <rPh sb="3" eb="6">
      <t>デントウテキ</t>
    </rPh>
    <rPh sb="8" eb="10">
      <t>カシ</t>
    </rPh>
    <rPh sb="26" eb="27">
      <t>アキ</t>
    </rPh>
    <rPh sb="31" eb="33">
      <t>デントウ</t>
    </rPh>
    <rPh sb="33" eb="34">
      <t>テキ</t>
    </rPh>
    <rPh sb="35" eb="37">
      <t>ユイショ</t>
    </rPh>
    <rPh sb="47" eb="50">
      <t>ジシンサク</t>
    </rPh>
    <rPh sb="52" eb="53">
      <t>マ</t>
    </rPh>
    <phoneticPr fontId="2"/>
  </si>
  <si>
    <t>◆お子様向けのお菓子限定◆
お子様が喜ぶ色々なお菓子を募集しています！
キャンディや不思議なお菓子など.. ぜひ応募お待ちしてます！</t>
    <rPh sb="2" eb="4">
      <t>コサマ</t>
    </rPh>
    <rPh sb="4" eb="5">
      <t>ム</t>
    </rPh>
    <rPh sb="8" eb="10">
      <t>カシ</t>
    </rPh>
    <rPh sb="10" eb="12">
      <t>ゲンテイ</t>
    </rPh>
    <rPh sb="15" eb="17">
      <t>コサマ</t>
    </rPh>
    <rPh sb="18" eb="19">
      <t>ヨロコ</t>
    </rPh>
    <rPh sb="20" eb="22">
      <t>イロイロ</t>
    </rPh>
    <rPh sb="24" eb="26">
      <t>カシ</t>
    </rPh>
    <rPh sb="27" eb="29">
      <t>ボシュウ</t>
    </rPh>
    <rPh sb="42" eb="45">
      <t>フシギ</t>
    </rPh>
    <rPh sb="47" eb="49">
      <t>カシ</t>
    </rPh>
    <rPh sb="56" eb="58">
      <t>オウボ</t>
    </rPh>
    <rPh sb="59" eb="60">
      <t>マ</t>
    </rPh>
    <phoneticPr fontId="2"/>
  </si>
  <si>
    <t>t202</t>
    <phoneticPr fontId="2"/>
  </si>
  <si>
    <t>◆キラキラお菓子限定◆
エメラルド・サファイア.. 美しい石は、私たちを魅了してやみません。
キラもの好きの大富豪が待っています。</t>
    <rPh sb="6" eb="8">
      <t>カシ</t>
    </rPh>
    <rPh sb="8" eb="10">
      <t>ゲンテイ</t>
    </rPh>
    <rPh sb="26" eb="27">
      <t>ウツク</t>
    </rPh>
    <rPh sb="29" eb="30">
      <t>イシ</t>
    </rPh>
    <rPh sb="32" eb="33">
      <t>ワタシ</t>
    </rPh>
    <rPh sb="36" eb="38">
      <t>ミリョウ</t>
    </rPh>
    <rPh sb="51" eb="52">
      <t>ス</t>
    </rPh>
    <rPh sb="54" eb="57">
      <t>ダイフゴウ</t>
    </rPh>
    <rPh sb="58" eb="59">
      <t>マ</t>
    </rPh>
    <phoneticPr fontId="2"/>
  </si>
  <si>
    <t>h204</t>
    <phoneticPr fontId="2"/>
  </si>
  <si>
    <t>t204</t>
    <phoneticPr fontId="2"/>
  </si>
  <si>
    <t>◆魔法のお菓子限定◆
魔法で仕上げた、一風変わったオシャレなお菓子を募集♪
フシギで芸術的なおかしを見せてください！</t>
    <rPh sb="1" eb="3">
      <t>マホウ</t>
    </rPh>
    <rPh sb="5" eb="7">
      <t>カシ</t>
    </rPh>
    <rPh sb="7" eb="9">
      <t>ゲンテイ</t>
    </rPh>
    <rPh sb="11" eb="13">
      <t>マホウ</t>
    </rPh>
    <rPh sb="14" eb="16">
      <t>シア</t>
    </rPh>
    <rPh sb="19" eb="22">
      <t>イップウカ</t>
    </rPh>
    <rPh sb="31" eb="33">
      <t>カシ</t>
    </rPh>
    <rPh sb="34" eb="36">
      <t>ボシュウ</t>
    </rPh>
    <rPh sb="42" eb="44">
      <t>ゲイジュツ</t>
    </rPh>
    <rPh sb="44" eb="45">
      <t>テキ</t>
    </rPh>
    <rPh sb="50" eb="51">
      <t>ミ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</si>
</sst>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10"/>
      <color rgb="FF000000"/>
      <name val="Arial"/>
      <family val="2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 applyAlignment="1"/>
    <xf numFmtId="0" fontId="0" fillId="3" borderId="0" xfId="0" applyFill="1">
      <alignment vertical="center"/>
    </xf>
    <xf numFmtId="0" fontId="0" fillId="3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4" borderId="0" xfId="0" applyFill="1">
      <alignment vertical="center"/>
    </xf>
    <xf numFmtId="0" fontId="0" fillId="4" borderId="0" xfId="0" applyFill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D94E9-DB74-4E9B-8C36-2C34A645DC43}">
  <dimension ref="A1:AB13"/>
  <sheetViews>
    <sheetView topLeftCell="E1" workbookViewId="0">
      <selection activeCell="G11" sqref="G11"/>
    </sheetView>
  </sheetViews>
  <sheetFormatPr defaultRowHeight="18.75" x14ac:dyDescent="0.4"/>
  <cols>
    <col min="3" max="3" width="13.25" customWidth="1"/>
    <col min="4" max="4" width="18" customWidth="1"/>
    <col min="5" max="6" width="20.625" customWidth="1"/>
    <col min="7" max="7" width="19.75" customWidth="1"/>
    <col min="8" max="11" width="7.5" customWidth="1"/>
    <col min="12" max="12" width="8.125" customWidth="1"/>
    <col min="13" max="24" width="6.75" customWidth="1"/>
    <col min="25" max="25" width="9.625" customWidth="1"/>
    <col min="26" max="26" width="6.75" customWidth="1"/>
    <col min="27" max="27" width="25.125" customWidth="1"/>
  </cols>
  <sheetData>
    <row r="1" spans="1:28" x14ac:dyDescent="0.2">
      <c r="A1" s="1" t="s">
        <v>2</v>
      </c>
      <c r="B1" s="1" t="s">
        <v>5</v>
      </c>
      <c r="C1" s="1" t="s">
        <v>0</v>
      </c>
      <c r="D1" s="1" t="s">
        <v>3</v>
      </c>
      <c r="E1" s="1" t="s">
        <v>4</v>
      </c>
      <c r="F1" s="1" t="s">
        <v>132</v>
      </c>
      <c r="G1" s="1" t="s">
        <v>15</v>
      </c>
      <c r="H1" s="1" t="s">
        <v>14</v>
      </c>
      <c r="I1" s="1" t="s">
        <v>10</v>
      </c>
      <c r="J1" s="1" t="s">
        <v>35</v>
      </c>
      <c r="K1" s="1" t="s">
        <v>36</v>
      </c>
      <c r="L1" s="1" t="s">
        <v>11</v>
      </c>
      <c r="M1" s="1" t="s">
        <v>12</v>
      </c>
      <c r="N1" s="1" t="s">
        <v>18</v>
      </c>
      <c r="O1" s="1" t="s">
        <v>13</v>
      </c>
      <c r="P1" s="1" t="s">
        <v>16</v>
      </c>
      <c r="Q1" s="1" t="s">
        <v>25</v>
      </c>
      <c r="R1" s="1" t="s">
        <v>17</v>
      </c>
      <c r="S1" s="1" t="s">
        <v>27</v>
      </c>
      <c r="T1" s="1" t="s">
        <v>28</v>
      </c>
      <c r="U1" s="1" t="s">
        <v>92</v>
      </c>
      <c r="V1" s="1" t="s">
        <v>93</v>
      </c>
      <c r="W1" s="1" t="s">
        <v>96</v>
      </c>
      <c r="X1" s="1" t="s">
        <v>97</v>
      </c>
      <c r="Y1" s="1" t="s">
        <v>98</v>
      </c>
      <c r="Z1" s="1" t="s">
        <v>161</v>
      </c>
      <c r="AA1" s="1" t="s">
        <v>19</v>
      </c>
      <c r="AB1" s="1" t="s">
        <v>26</v>
      </c>
    </row>
    <row r="2" spans="1:28" s="2" customFormat="1" ht="30" customHeight="1" x14ac:dyDescent="0.4">
      <c r="A2" s="2">
        <f t="shared" ref="A2:A13" si="0">ROW()-2</f>
        <v>0</v>
      </c>
      <c r="B2" s="2">
        <v>9999</v>
      </c>
      <c r="C2" s="2" t="s">
        <v>1</v>
      </c>
      <c r="D2" s="2" t="s">
        <v>112</v>
      </c>
      <c r="E2" s="2" t="s">
        <v>6</v>
      </c>
      <c r="F2" s="2" t="s">
        <v>6</v>
      </c>
      <c r="G2" s="3" t="s">
        <v>113</v>
      </c>
      <c r="H2" s="2">
        <v>0</v>
      </c>
      <c r="I2" s="2">
        <v>7</v>
      </c>
      <c r="J2" s="2">
        <v>12</v>
      </c>
      <c r="K2" s="2">
        <v>31</v>
      </c>
      <c r="L2" s="2">
        <v>5000</v>
      </c>
      <c r="M2" s="2">
        <v>9999</v>
      </c>
      <c r="N2" s="2">
        <v>50</v>
      </c>
      <c r="O2" s="2">
        <v>5</v>
      </c>
      <c r="P2" s="2">
        <v>0</v>
      </c>
      <c r="Q2" s="2">
        <v>99</v>
      </c>
      <c r="R2" s="2">
        <v>0</v>
      </c>
      <c r="S2" s="2">
        <v>0</v>
      </c>
      <c r="T2" s="2">
        <v>10</v>
      </c>
      <c r="U2" s="2">
        <v>0</v>
      </c>
      <c r="V2" s="2">
        <v>0</v>
      </c>
      <c r="W2" s="2" t="s">
        <v>95</v>
      </c>
      <c r="X2" s="2" t="s">
        <v>99</v>
      </c>
      <c r="Y2" s="2" t="s">
        <v>100</v>
      </c>
      <c r="Z2" s="2">
        <v>0</v>
      </c>
      <c r="AA2" s="3" t="s">
        <v>20</v>
      </c>
      <c r="AB2" s="2">
        <v>0</v>
      </c>
    </row>
    <row r="3" spans="1:28" ht="35.25" customHeight="1" x14ac:dyDescent="0.4">
      <c r="A3">
        <f t="shared" si="0"/>
        <v>1</v>
      </c>
      <c r="B3">
        <v>10000</v>
      </c>
      <c r="C3" t="s">
        <v>1</v>
      </c>
      <c r="D3" t="s">
        <v>8</v>
      </c>
      <c r="E3" t="s">
        <v>9</v>
      </c>
      <c r="F3" s="4" t="s">
        <v>141</v>
      </c>
      <c r="G3" s="4" t="s">
        <v>168</v>
      </c>
      <c r="H3">
        <v>0</v>
      </c>
      <c r="I3">
        <v>1</v>
      </c>
      <c r="J3">
        <v>12</v>
      </c>
      <c r="K3">
        <v>31</v>
      </c>
      <c r="L3">
        <v>0</v>
      </c>
      <c r="M3">
        <v>1</v>
      </c>
      <c r="N3">
        <v>0</v>
      </c>
      <c r="O3">
        <v>1</v>
      </c>
      <c r="P3">
        <v>0</v>
      </c>
      <c r="Q3">
        <v>99</v>
      </c>
      <c r="R3">
        <v>1</v>
      </c>
      <c r="S3">
        <v>0</v>
      </c>
      <c r="T3">
        <v>2</v>
      </c>
      <c r="U3">
        <v>0</v>
      </c>
      <c r="V3">
        <v>0</v>
      </c>
      <c r="W3" t="s">
        <v>95</v>
      </c>
      <c r="X3" t="s">
        <v>99</v>
      </c>
      <c r="Y3" t="s">
        <v>101</v>
      </c>
      <c r="Z3">
        <v>0</v>
      </c>
      <c r="AA3" s="4" t="s">
        <v>21</v>
      </c>
      <c r="AB3">
        <v>0</v>
      </c>
    </row>
    <row r="4" spans="1:28" ht="35.25" customHeight="1" x14ac:dyDescent="0.4">
      <c r="A4">
        <f t="shared" si="0"/>
        <v>2</v>
      </c>
      <c r="B4">
        <v>10300</v>
      </c>
      <c r="C4" t="s">
        <v>1</v>
      </c>
      <c r="D4" t="s">
        <v>30</v>
      </c>
      <c r="E4" t="s">
        <v>87</v>
      </c>
      <c r="F4" s="4" t="s">
        <v>133</v>
      </c>
      <c r="G4" s="4" t="s">
        <v>169</v>
      </c>
      <c r="H4">
        <v>0</v>
      </c>
      <c r="I4">
        <v>1</v>
      </c>
      <c r="J4">
        <v>12</v>
      </c>
      <c r="K4">
        <v>31</v>
      </c>
      <c r="L4">
        <v>0</v>
      </c>
      <c r="M4">
        <v>2</v>
      </c>
      <c r="N4">
        <v>1</v>
      </c>
      <c r="O4">
        <v>1</v>
      </c>
      <c r="P4">
        <v>0</v>
      </c>
      <c r="Q4">
        <v>99</v>
      </c>
      <c r="R4">
        <v>1</v>
      </c>
      <c r="S4">
        <v>0</v>
      </c>
      <c r="T4">
        <v>2</v>
      </c>
      <c r="U4">
        <v>0</v>
      </c>
      <c r="V4">
        <v>0</v>
      </c>
      <c r="W4" t="s">
        <v>200</v>
      </c>
      <c r="X4" t="s">
        <v>201</v>
      </c>
      <c r="Y4" t="s">
        <v>101</v>
      </c>
      <c r="Z4">
        <v>0</v>
      </c>
      <c r="AA4" s="4" t="s">
        <v>94</v>
      </c>
      <c r="AB4">
        <v>0</v>
      </c>
    </row>
    <row r="5" spans="1:28" ht="35.25" customHeight="1" x14ac:dyDescent="0.4">
      <c r="A5">
        <f t="shared" si="0"/>
        <v>3</v>
      </c>
      <c r="B5">
        <v>10800</v>
      </c>
      <c r="C5" t="s">
        <v>1</v>
      </c>
      <c r="D5" t="s">
        <v>69</v>
      </c>
      <c r="E5" t="s">
        <v>73</v>
      </c>
      <c r="F5" s="4" t="s">
        <v>134</v>
      </c>
      <c r="G5" s="4" t="s">
        <v>170</v>
      </c>
      <c r="H5">
        <v>0</v>
      </c>
      <c r="I5">
        <v>1</v>
      </c>
      <c r="J5">
        <v>12</v>
      </c>
      <c r="K5">
        <v>31</v>
      </c>
      <c r="L5">
        <v>0</v>
      </c>
      <c r="M5">
        <v>2</v>
      </c>
      <c r="N5">
        <v>1</v>
      </c>
      <c r="O5">
        <v>2</v>
      </c>
      <c r="P5">
        <v>0</v>
      </c>
      <c r="Q5">
        <v>99</v>
      </c>
      <c r="R5">
        <v>1</v>
      </c>
      <c r="S5">
        <v>0</v>
      </c>
      <c r="T5">
        <v>2</v>
      </c>
      <c r="U5">
        <v>0</v>
      </c>
      <c r="V5">
        <v>0</v>
      </c>
      <c r="W5" t="s">
        <v>95</v>
      </c>
      <c r="X5" t="s">
        <v>99</v>
      </c>
      <c r="Y5" t="s">
        <v>101</v>
      </c>
      <c r="Z5">
        <v>0</v>
      </c>
      <c r="AA5" s="4" t="s">
        <v>21</v>
      </c>
      <c r="AB5">
        <v>0</v>
      </c>
    </row>
    <row r="6" spans="1:28" ht="35.25" customHeight="1" x14ac:dyDescent="0.4">
      <c r="A6">
        <f t="shared" si="0"/>
        <v>4</v>
      </c>
      <c r="B6">
        <v>10200</v>
      </c>
      <c r="C6" t="s">
        <v>1</v>
      </c>
      <c r="D6" t="s">
        <v>23</v>
      </c>
      <c r="E6" t="s">
        <v>83</v>
      </c>
      <c r="F6" t="s">
        <v>83</v>
      </c>
      <c r="G6" s="4" t="s">
        <v>171</v>
      </c>
      <c r="H6">
        <v>0</v>
      </c>
      <c r="I6">
        <v>1</v>
      </c>
      <c r="J6">
        <v>12</v>
      </c>
      <c r="K6">
        <v>31</v>
      </c>
      <c r="L6">
        <v>500</v>
      </c>
      <c r="M6">
        <v>3</v>
      </c>
      <c r="N6">
        <v>2</v>
      </c>
      <c r="O6">
        <v>3</v>
      </c>
      <c r="P6">
        <v>1</v>
      </c>
      <c r="Q6">
        <v>99</v>
      </c>
      <c r="R6">
        <v>1</v>
      </c>
      <c r="S6">
        <v>0</v>
      </c>
      <c r="T6">
        <v>3</v>
      </c>
      <c r="U6">
        <v>0</v>
      </c>
      <c r="V6">
        <v>0</v>
      </c>
      <c r="W6" t="s">
        <v>219</v>
      </c>
      <c r="X6" t="s">
        <v>99</v>
      </c>
      <c r="Y6" t="s">
        <v>101</v>
      </c>
      <c r="Z6">
        <v>7</v>
      </c>
      <c r="AA6" s="4" t="s">
        <v>21</v>
      </c>
      <c r="AB6">
        <v>0</v>
      </c>
    </row>
    <row r="7" spans="1:28" ht="35.25" customHeight="1" x14ac:dyDescent="0.4">
      <c r="A7">
        <f t="shared" si="0"/>
        <v>5</v>
      </c>
      <c r="B7">
        <v>10400</v>
      </c>
      <c r="C7" t="s">
        <v>1</v>
      </c>
      <c r="D7" t="s">
        <v>31</v>
      </c>
      <c r="E7" t="s">
        <v>84</v>
      </c>
      <c r="F7" s="4" t="s">
        <v>135</v>
      </c>
      <c r="G7" s="4" t="s">
        <v>172</v>
      </c>
      <c r="H7">
        <v>0</v>
      </c>
      <c r="I7">
        <v>1</v>
      </c>
      <c r="J7">
        <v>12</v>
      </c>
      <c r="K7">
        <v>31</v>
      </c>
      <c r="L7">
        <v>200</v>
      </c>
      <c r="M7">
        <v>3</v>
      </c>
      <c r="N7">
        <v>2</v>
      </c>
      <c r="O7">
        <v>2</v>
      </c>
      <c r="P7">
        <v>0</v>
      </c>
      <c r="Q7">
        <v>99</v>
      </c>
      <c r="R7">
        <v>1</v>
      </c>
      <c r="S7">
        <v>0</v>
      </c>
      <c r="T7">
        <v>3</v>
      </c>
      <c r="U7">
        <v>0</v>
      </c>
      <c r="V7">
        <v>0</v>
      </c>
      <c r="W7" t="s">
        <v>202</v>
      </c>
      <c r="X7" t="s">
        <v>208</v>
      </c>
      <c r="Y7" t="s">
        <v>203</v>
      </c>
      <c r="Z7">
        <v>3</v>
      </c>
      <c r="AA7" s="4" t="s">
        <v>21</v>
      </c>
      <c r="AB7">
        <v>0</v>
      </c>
    </row>
    <row r="8" spans="1:28" ht="35.25" customHeight="1" x14ac:dyDescent="0.4">
      <c r="A8">
        <f t="shared" si="0"/>
        <v>6</v>
      </c>
      <c r="B8">
        <v>30200</v>
      </c>
      <c r="C8" t="s">
        <v>1</v>
      </c>
      <c r="D8" t="s">
        <v>50</v>
      </c>
      <c r="E8" t="s">
        <v>70</v>
      </c>
      <c r="F8" s="4" t="s">
        <v>137</v>
      </c>
      <c r="G8" s="4" t="s">
        <v>174</v>
      </c>
      <c r="H8">
        <v>0</v>
      </c>
      <c r="I8">
        <v>1</v>
      </c>
      <c r="J8">
        <v>12</v>
      </c>
      <c r="K8">
        <v>31</v>
      </c>
      <c r="L8">
        <v>500</v>
      </c>
      <c r="M8">
        <v>4</v>
      </c>
      <c r="N8">
        <v>15</v>
      </c>
      <c r="O8">
        <v>3</v>
      </c>
      <c r="P8">
        <v>1</v>
      </c>
      <c r="Q8">
        <v>99</v>
      </c>
      <c r="R8">
        <v>1</v>
      </c>
      <c r="S8">
        <v>0</v>
      </c>
      <c r="T8">
        <v>3</v>
      </c>
      <c r="U8">
        <v>0</v>
      </c>
      <c r="V8">
        <v>0</v>
      </c>
      <c r="W8" t="s">
        <v>95</v>
      </c>
      <c r="X8" t="s">
        <v>99</v>
      </c>
      <c r="Y8" t="s">
        <v>101</v>
      </c>
      <c r="Z8">
        <v>0</v>
      </c>
      <c r="AA8" s="4" t="s">
        <v>21</v>
      </c>
      <c r="AB8">
        <v>0</v>
      </c>
    </row>
    <row r="9" spans="1:28" ht="35.25" customHeight="1" x14ac:dyDescent="0.4">
      <c r="A9">
        <f t="shared" si="0"/>
        <v>7</v>
      </c>
      <c r="B9">
        <v>30300</v>
      </c>
      <c r="C9" t="s">
        <v>1</v>
      </c>
      <c r="D9" t="s">
        <v>51</v>
      </c>
      <c r="E9" t="s">
        <v>78</v>
      </c>
      <c r="F9" s="4" t="s">
        <v>138</v>
      </c>
      <c r="G9" s="4" t="s">
        <v>222</v>
      </c>
      <c r="H9">
        <v>0</v>
      </c>
      <c r="I9">
        <v>1</v>
      </c>
      <c r="J9">
        <v>12</v>
      </c>
      <c r="K9">
        <v>31</v>
      </c>
      <c r="L9">
        <v>500</v>
      </c>
      <c r="M9">
        <v>4</v>
      </c>
      <c r="N9">
        <v>0</v>
      </c>
      <c r="O9">
        <v>3</v>
      </c>
      <c r="P9">
        <v>1</v>
      </c>
      <c r="Q9">
        <v>99</v>
      </c>
      <c r="R9">
        <v>1</v>
      </c>
      <c r="S9">
        <v>0</v>
      </c>
      <c r="T9">
        <v>3</v>
      </c>
      <c r="U9">
        <v>0</v>
      </c>
      <c r="V9">
        <v>0</v>
      </c>
      <c r="W9" t="s">
        <v>95</v>
      </c>
      <c r="X9" t="s">
        <v>99</v>
      </c>
      <c r="Y9" t="s">
        <v>101</v>
      </c>
      <c r="Z9">
        <v>0</v>
      </c>
      <c r="AA9" s="4" t="s">
        <v>21</v>
      </c>
      <c r="AB9">
        <v>0</v>
      </c>
    </row>
    <row r="10" spans="1:28" ht="35.25" customHeight="1" x14ac:dyDescent="0.4">
      <c r="A10">
        <f t="shared" si="0"/>
        <v>8</v>
      </c>
      <c r="B10">
        <v>10500</v>
      </c>
      <c r="C10" t="s">
        <v>1</v>
      </c>
      <c r="D10" t="s">
        <v>32</v>
      </c>
      <c r="E10" t="s">
        <v>85</v>
      </c>
      <c r="F10" s="4" t="s">
        <v>136</v>
      </c>
      <c r="G10" s="4" t="s">
        <v>173</v>
      </c>
      <c r="H10">
        <v>0</v>
      </c>
      <c r="I10">
        <v>1</v>
      </c>
      <c r="J10">
        <v>12</v>
      </c>
      <c r="K10">
        <v>31</v>
      </c>
      <c r="L10">
        <v>700</v>
      </c>
      <c r="M10">
        <v>5</v>
      </c>
      <c r="N10">
        <v>10</v>
      </c>
      <c r="O10">
        <v>4</v>
      </c>
      <c r="P10">
        <v>1</v>
      </c>
      <c r="Q10">
        <v>99</v>
      </c>
      <c r="R10">
        <v>1</v>
      </c>
      <c r="S10">
        <v>0</v>
      </c>
      <c r="T10">
        <v>3</v>
      </c>
      <c r="U10">
        <v>0</v>
      </c>
      <c r="V10">
        <v>0</v>
      </c>
      <c r="W10" t="s">
        <v>202</v>
      </c>
      <c r="X10" t="s">
        <v>208</v>
      </c>
      <c r="Y10" t="s">
        <v>203</v>
      </c>
      <c r="Z10">
        <v>3</v>
      </c>
      <c r="AA10" s="4" t="s">
        <v>21</v>
      </c>
      <c r="AB10">
        <v>0</v>
      </c>
    </row>
    <row r="11" spans="1:28" ht="35.25" customHeight="1" x14ac:dyDescent="0.4">
      <c r="A11">
        <f t="shared" si="0"/>
        <v>9</v>
      </c>
      <c r="B11">
        <v>10900</v>
      </c>
      <c r="C11" t="s">
        <v>1</v>
      </c>
      <c r="D11" t="s">
        <v>121</v>
      </c>
      <c r="E11" t="s">
        <v>120</v>
      </c>
      <c r="F11" t="s">
        <v>120</v>
      </c>
      <c r="G11" s="4" t="s">
        <v>209</v>
      </c>
      <c r="H11">
        <v>0</v>
      </c>
      <c r="I11">
        <v>1</v>
      </c>
      <c r="J11">
        <v>12</v>
      </c>
      <c r="K11">
        <v>31</v>
      </c>
      <c r="L11">
        <v>700</v>
      </c>
      <c r="M11">
        <v>3</v>
      </c>
      <c r="N11">
        <v>3</v>
      </c>
      <c r="O11">
        <v>5</v>
      </c>
      <c r="P11">
        <v>1</v>
      </c>
      <c r="Q11">
        <v>99</v>
      </c>
      <c r="R11">
        <v>1</v>
      </c>
      <c r="S11">
        <v>0</v>
      </c>
      <c r="T11">
        <v>3</v>
      </c>
      <c r="U11">
        <v>0</v>
      </c>
      <c r="V11">
        <v>0</v>
      </c>
      <c r="W11" t="s">
        <v>116</v>
      </c>
      <c r="X11" t="s">
        <v>99</v>
      </c>
      <c r="Y11" t="s">
        <v>203</v>
      </c>
      <c r="Z11">
        <v>3</v>
      </c>
      <c r="AA11" s="4" t="s">
        <v>21</v>
      </c>
      <c r="AB11">
        <v>0</v>
      </c>
    </row>
    <row r="12" spans="1:28" ht="35.25" customHeight="1" x14ac:dyDescent="0.4">
      <c r="A12">
        <f t="shared" si="0"/>
        <v>10</v>
      </c>
      <c r="B12">
        <v>30700</v>
      </c>
      <c r="C12" t="s">
        <v>1</v>
      </c>
      <c r="D12" t="s">
        <v>55</v>
      </c>
      <c r="E12" t="s">
        <v>71</v>
      </c>
      <c r="F12" s="4" t="s">
        <v>139</v>
      </c>
      <c r="G12" s="4" t="s">
        <v>224</v>
      </c>
      <c r="H12">
        <v>0</v>
      </c>
      <c r="I12">
        <v>1</v>
      </c>
      <c r="J12">
        <v>12</v>
      </c>
      <c r="K12">
        <v>31</v>
      </c>
      <c r="L12">
        <v>2000</v>
      </c>
      <c r="M12">
        <v>6</v>
      </c>
      <c r="N12">
        <v>30</v>
      </c>
      <c r="O12">
        <v>5</v>
      </c>
      <c r="P12">
        <v>1</v>
      </c>
      <c r="Q12">
        <v>99</v>
      </c>
      <c r="R12">
        <v>1</v>
      </c>
      <c r="S12">
        <v>0</v>
      </c>
      <c r="T12">
        <v>3</v>
      </c>
      <c r="U12">
        <v>0</v>
      </c>
      <c r="V12">
        <v>0</v>
      </c>
      <c r="W12" t="s">
        <v>95</v>
      </c>
      <c r="X12" t="s">
        <v>99</v>
      </c>
      <c r="Y12" t="s">
        <v>101</v>
      </c>
      <c r="Z12">
        <v>0</v>
      </c>
      <c r="AA12" s="4" t="s">
        <v>21</v>
      </c>
      <c r="AB12">
        <v>0</v>
      </c>
    </row>
    <row r="13" spans="1:28" ht="30" customHeight="1" x14ac:dyDescent="0.4">
      <c r="A13">
        <f t="shared" si="0"/>
        <v>11</v>
      </c>
      <c r="B13">
        <v>1000</v>
      </c>
      <c r="C13" t="s">
        <v>1</v>
      </c>
      <c r="D13" t="s">
        <v>7</v>
      </c>
      <c r="E13" t="s">
        <v>29</v>
      </c>
      <c r="F13" s="4" t="s">
        <v>140</v>
      </c>
      <c r="G13" s="4" t="s">
        <v>199</v>
      </c>
      <c r="H13">
        <v>0</v>
      </c>
      <c r="I13">
        <v>3</v>
      </c>
      <c r="J13">
        <v>12</v>
      </c>
      <c r="K13">
        <v>31</v>
      </c>
      <c r="L13">
        <v>0</v>
      </c>
      <c r="M13">
        <v>100</v>
      </c>
      <c r="N13">
        <v>5</v>
      </c>
      <c r="O13">
        <v>4</v>
      </c>
      <c r="P13">
        <v>1</v>
      </c>
      <c r="Q13">
        <v>99</v>
      </c>
      <c r="R13">
        <v>0</v>
      </c>
      <c r="S13">
        <v>0</v>
      </c>
      <c r="T13">
        <v>0</v>
      </c>
      <c r="U13">
        <v>0</v>
      </c>
      <c r="V13">
        <v>0</v>
      </c>
      <c r="W13" t="s">
        <v>129</v>
      </c>
      <c r="X13" t="s">
        <v>99</v>
      </c>
      <c r="Y13" t="s">
        <v>101</v>
      </c>
      <c r="Z13">
        <v>0</v>
      </c>
      <c r="AA13" s="4" t="s">
        <v>20</v>
      </c>
      <c r="AB13">
        <v>1</v>
      </c>
    </row>
  </sheetData>
  <phoneticPr fontId="2"/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5D1EB-7EB0-40A6-B71A-0773034D7CD2}">
  <dimension ref="A1:AB12"/>
  <sheetViews>
    <sheetView tabSelected="1" topLeftCell="F1" workbookViewId="0">
      <selection activeCell="G9" sqref="G9"/>
    </sheetView>
  </sheetViews>
  <sheetFormatPr defaultRowHeight="18.75" x14ac:dyDescent="0.4"/>
  <cols>
    <col min="3" max="3" width="13.25" customWidth="1"/>
    <col min="4" max="4" width="18" customWidth="1"/>
    <col min="5" max="6" width="20.625" customWidth="1"/>
    <col min="7" max="7" width="19.75" customWidth="1"/>
    <col min="8" max="11" width="7.5" customWidth="1"/>
    <col min="12" max="12" width="8.125" customWidth="1"/>
    <col min="13" max="24" width="6.75" customWidth="1"/>
    <col min="25" max="25" width="9.625" customWidth="1"/>
    <col min="26" max="26" width="6.75" customWidth="1"/>
    <col min="27" max="27" width="25.125" customWidth="1"/>
  </cols>
  <sheetData>
    <row r="1" spans="1:28" x14ac:dyDescent="0.2">
      <c r="A1" s="1" t="s">
        <v>2</v>
      </c>
      <c r="B1" s="1" t="s">
        <v>5</v>
      </c>
      <c r="C1" s="1" t="s">
        <v>0</v>
      </c>
      <c r="D1" s="1" t="s">
        <v>3</v>
      </c>
      <c r="E1" s="1" t="s">
        <v>4</v>
      </c>
      <c r="F1" s="1" t="s">
        <v>132</v>
      </c>
      <c r="G1" s="1" t="s">
        <v>15</v>
      </c>
      <c r="H1" s="1" t="s">
        <v>14</v>
      </c>
      <c r="I1" s="1" t="s">
        <v>10</v>
      </c>
      <c r="J1" s="1" t="s">
        <v>35</v>
      </c>
      <c r="K1" s="1" t="s">
        <v>36</v>
      </c>
      <c r="L1" s="1" t="s">
        <v>11</v>
      </c>
      <c r="M1" s="1" t="s">
        <v>12</v>
      </c>
      <c r="N1" s="1" t="s">
        <v>18</v>
      </c>
      <c r="O1" s="1" t="s">
        <v>13</v>
      </c>
      <c r="P1" s="1" t="s">
        <v>16</v>
      </c>
      <c r="Q1" s="1" t="s">
        <v>25</v>
      </c>
      <c r="R1" s="1" t="s">
        <v>17</v>
      </c>
      <c r="S1" s="1" t="s">
        <v>27</v>
      </c>
      <c r="T1" s="1" t="s">
        <v>28</v>
      </c>
      <c r="U1" s="1" t="s">
        <v>92</v>
      </c>
      <c r="V1" s="1" t="s">
        <v>93</v>
      </c>
      <c r="W1" s="1" t="s">
        <v>96</v>
      </c>
      <c r="X1" s="1" t="s">
        <v>97</v>
      </c>
      <c r="Y1" s="1" t="s">
        <v>98</v>
      </c>
      <c r="Z1" s="1" t="s">
        <v>161</v>
      </c>
      <c r="AA1" s="1" t="s">
        <v>19</v>
      </c>
      <c r="AB1" s="1" t="s">
        <v>26</v>
      </c>
    </row>
    <row r="2" spans="1:28" ht="35.25" customHeight="1" x14ac:dyDescent="0.4">
      <c r="A2">
        <f t="shared" ref="A2:A12" si="0">ROW()-2+1000</f>
        <v>1000</v>
      </c>
      <c r="B2">
        <v>20000</v>
      </c>
      <c r="C2" t="s">
        <v>1</v>
      </c>
      <c r="D2" t="s">
        <v>38</v>
      </c>
      <c r="E2" t="s">
        <v>65</v>
      </c>
      <c r="F2" s="4" t="s">
        <v>142</v>
      </c>
      <c r="G2" s="4" t="s">
        <v>175</v>
      </c>
      <c r="H2">
        <v>0</v>
      </c>
      <c r="I2">
        <v>1</v>
      </c>
      <c r="J2">
        <v>12</v>
      </c>
      <c r="K2">
        <v>31</v>
      </c>
      <c r="L2">
        <v>100</v>
      </c>
      <c r="M2">
        <v>1</v>
      </c>
      <c r="N2">
        <v>0</v>
      </c>
      <c r="O2">
        <v>1</v>
      </c>
      <c r="P2">
        <v>0</v>
      </c>
      <c r="Q2">
        <v>99</v>
      </c>
      <c r="R2">
        <v>1</v>
      </c>
      <c r="S2">
        <v>0</v>
      </c>
      <c r="T2">
        <v>2</v>
      </c>
      <c r="U2">
        <v>0</v>
      </c>
      <c r="V2">
        <v>0</v>
      </c>
      <c r="W2" t="s">
        <v>123</v>
      </c>
      <c r="X2" t="s">
        <v>126</v>
      </c>
      <c r="Y2" t="s">
        <v>101</v>
      </c>
      <c r="Z2">
        <v>1</v>
      </c>
      <c r="AA2" s="4" t="s">
        <v>21</v>
      </c>
      <c r="AB2">
        <v>0</v>
      </c>
    </row>
    <row r="3" spans="1:28" ht="35.25" customHeight="1" x14ac:dyDescent="0.4">
      <c r="A3">
        <f t="shared" si="0"/>
        <v>1001</v>
      </c>
      <c r="B3">
        <v>20900</v>
      </c>
      <c r="C3" t="s">
        <v>1</v>
      </c>
      <c r="D3" t="s">
        <v>118</v>
      </c>
      <c r="E3" t="s">
        <v>117</v>
      </c>
      <c r="F3" t="s">
        <v>117</v>
      </c>
      <c r="G3" s="4" t="s">
        <v>176</v>
      </c>
      <c r="H3">
        <v>0</v>
      </c>
      <c r="I3">
        <v>1</v>
      </c>
      <c r="J3">
        <v>12</v>
      </c>
      <c r="K3">
        <v>31</v>
      </c>
      <c r="L3">
        <v>500</v>
      </c>
      <c r="M3">
        <v>1</v>
      </c>
      <c r="N3">
        <v>0</v>
      </c>
      <c r="O3">
        <v>2</v>
      </c>
      <c r="P3">
        <v>1</v>
      </c>
      <c r="Q3">
        <v>99</v>
      </c>
      <c r="R3">
        <v>1</v>
      </c>
      <c r="S3">
        <v>0</v>
      </c>
      <c r="T3">
        <v>2</v>
      </c>
      <c r="U3">
        <v>0</v>
      </c>
      <c r="V3">
        <v>0</v>
      </c>
      <c r="W3" t="s">
        <v>130</v>
      </c>
      <c r="X3" t="s">
        <v>131</v>
      </c>
      <c r="Y3" t="s">
        <v>205</v>
      </c>
      <c r="Z3">
        <v>2</v>
      </c>
      <c r="AA3" s="4" t="s">
        <v>21</v>
      </c>
      <c r="AB3">
        <v>0</v>
      </c>
    </row>
    <row r="4" spans="1:28" ht="35.25" customHeight="1" x14ac:dyDescent="0.4">
      <c r="A4">
        <f t="shared" si="0"/>
        <v>1002</v>
      </c>
      <c r="B4">
        <v>20100</v>
      </c>
      <c r="C4" t="s">
        <v>1</v>
      </c>
      <c r="D4" t="s">
        <v>39</v>
      </c>
      <c r="E4" t="s">
        <v>91</v>
      </c>
      <c r="F4" s="4" t="s">
        <v>143</v>
      </c>
      <c r="G4" s="4" t="s">
        <v>177</v>
      </c>
      <c r="H4">
        <v>0</v>
      </c>
      <c r="I4">
        <v>1</v>
      </c>
      <c r="J4">
        <v>12</v>
      </c>
      <c r="K4">
        <v>31</v>
      </c>
      <c r="L4">
        <v>300</v>
      </c>
      <c r="M4">
        <v>10</v>
      </c>
      <c r="N4">
        <v>3</v>
      </c>
      <c r="O4">
        <v>2</v>
      </c>
      <c r="P4">
        <v>1</v>
      </c>
      <c r="Q4">
        <v>99</v>
      </c>
      <c r="R4">
        <v>1</v>
      </c>
      <c r="S4">
        <v>0</v>
      </c>
      <c r="T4">
        <v>3</v>
      </c>
      <c r="U4">
        <v>0</v>
      </c>
      <c r="V4">
        <v>0</v>
      </c>
      <c r="W4" t="s">
        <v>123</v>
      </c>
      <c r="X4" t="s">
        <v>126</v>
      </c>
      <c r="Y4" t="s">
        <v>101</v>
      </c>
      <c r="Z4">
        <v>1</v>
      </c>
      <c r="AA4" s="4" t="s">
        <v>24</v>
      </c>
      <c r="AB4">
        <v>0</v>
      </c>
    </row>
    <row r="5" spans="1:28" ht="35.25" customHeight="1" x14ac:dyDescent="0.4">
      <c r="A5">
        <f t="shared" si="0"/>
        <v>1003</v>
      </c>
      <c r="B5">
        <v>20200</v>
      </c>
      <c r="C5" t="s">
        <v>1</v>
      </c>
      <c r="D5" t="s">
        <v>40</v>
      </c>
      <c r="E5" t="s">
        <v>89</v>
      </c>
      <c r="F5" s="4" t="s">
        <v>144</v>
      </c>
      <c r="G5" s="4" t="s">
        <v>178</v>
      </c>
      <c r="H5">
        <v>0</v>
      </c>
      <c r="I5">
        <v>1</v>
      </c>
      <c r="J5">
        <v>12</v>
      </c>
      <c r="K5">
        <v>31</v>
      </c>
      <c r="L5">
        <v>300</v>
      </c>
      <c r="M5">
        <v>10</v>
      </c>
      <c r="N5">
        <v>5</v>
      </c>
      <c r="O5">
        <v>2</v>
      </c>
      <c r="P5">
        <v>0</v>
      </c>
      <c r="Q5">
        <v>99</v>
      </c>
      <c r="R5">
        <v>1</v>
      </c>
      <c r="S5">
        <v>0</v>
      </c>
      <c r="T5">
        <v>3</v>
      </c>
      <c r="U5">
        <v>0</v>
      </c>
      <c r="V5">
        <v>0</v>
      </c>
      <c r="W5" t="s">
        <v>123</v>
      </c>
      <c r="X5" t="s">
        <v>126</v>
      </c>
      <c r="Y5" t="s">
        <v>101</v>
      </c>
      <c r="Z5">
        <v>1</v>
      </c>
      <c r="AA5" s="4" t="s">
        <v>21</v>
      </c>
      <c r="AB5">
        <v>0</v>
      </c>
    </row>
    <row r="6" spans="1:28" ht="35.25" customHeight="1" x14ac:dyDescent="0.4">
      <c r="A6">
        <f t="shared" si="0"/>
        <v>1004</v>
      </c>
      <c r="B6">
        <v>20800</v>
      </c>
      <c r="C6" t="s">
        <v>1</v>
      </c>
      <c r="D6" t="s">
        <v>115</v>
      </c>
      <c r="E6" t="s">
        <v>122</v>
      </c>
      <c r="F6" s="4" t="s">
        <v>145</v>
      </c>
      <c r="G6" s="4" t="s">
        <v>206</v>
      </c>
      <c r="H6">
        <v>0</v>
      </c>
      <c r="I6">
        <v>1</v>
      </c>
      <c r="J6">
        <v>12</v>
      </c>
      <c r="K6">
        <v>31</v>
      </c>
      <c r="L6">
        <v>200</v>
      </c>
      <c r="M6">
        <v>10</v>
      </c>
      <c r="N6">
        <v>10</v>
      </c>
      <c r="O6">
        <v>3</v>
      </c>
      <c r="P6">
        <v>0</v>
      </c>
      <c r="Q6">
        <v>99</v>
      </c>
      <c r="R6">
        <v>1</v>
      </c>
      <c r="S6">
        <v>0</v>
      </c>
      <c r="T6">
        <v>3</v>
      </c>
      <c r="U6">
        <v>0</v>
      </c>
      <c r="V6">
        <v>0</v>
      </c>
      <c r="W6" t="s">
        <v>116</v>
      </c>
      <c r="X6" t="s">
        <v>99</v>
      </c>
      <c r="Y6" t="s">
        <v>203</v>
      </c>
      <c r="Z6">
        <v>0</v>
      </c>
      <c r="AA6" s="4" t="s">
        <v>21</v>
      </c>
      <c r="AB6">
        <v>0</v>
      </c>
    </row>
    <row r="7" spans="1:28" ht="35.25" customHeight="1" x14ac:dyDescent="0.4">
      <c r="A7">
        <f t="shared" si="0"/>
        <v>1005</v>
      </c>
      <c r="B7">
        <v>20300</v>
      </c>
      <c r="C7" t="s">
        <v>1</v>
      </c>
      <c r="D7" t="s">
        <v>41</v>
      </c>
      <c r="E7" t="s">
        <v>66</v>
      </c>
      <c r="F7" s="4" t="s">
        <v>146</v>
      </c>
      <c r="G7" s="4" t="s">
        <v>179</v>
      </c>
      <c r="H7">
        <v>0</v>
      </c>
      <c r="I7">
        <v>1</v>
      </c>
      <c r="J7">
        <v>12</v>
      </c>
      <c r="K7">
        <v>31</v>
      </c>
      <c r="L7">
        <v>500</v>
      </c>
      <c r="M7">
        <v>11</v>
      </c>
      <c r="N7">
        <v>7</v>
      </c>
      <c r="O7">
        <v>3</v>
      </c>
      <c r="P7">
        <v>1</v>
      </c>
      <c r="Q7">
        <v>99</v>
      </c>
      <c r="R7">
        <v>1</v>
      </c>
      <c r="S7">
        <v>0</v>
      </c>
      <c r="T7">
        <v>3</v>
      </c>
      <c r="U7">
        <v>0</v>
      </c>
      <c r="V7">
        <v>0</v>
      </c>
      <c r="W7" t="s">
        <v>123</v>
      </c>
      <c r="X7" t="s">
        <v>126</v>
      </c>
      <c r="Y7" t="s">
        <v>101</v>
      </c>
      <c r="Z7">
        <v>1</v>
      </c>
      <c r="AA7" s="4" t="s">
        <v>21</v>
      </c>
      <c r="AB7">
        <v>0</v>
      </c>
    </row>
    <row r="8" spans="1:28" ht="35.25" customHeight="1" x14ac:dyDescent="0.4">
      <c r="A8">
        <f t="shared" si="0"/>
        <v>1006</v>
      </c>
      <c r="B8">
        <v>20400</v>
      </c>
      <c r="C8" t="s">
        <v>1</v>
      </c>
      <c r="D8" t="s">
        <v>42</v>
      </c>
      <c r="E8" t="s">
        <v>67</v>
      </c>
      <c r="F8" t="s">
        <v>67</v>
      </c>
      <c r="G8" s="4" t="s">
        <v>180</v>
      </c>
      <c r="H8">
        <v>0</v>
      </c>
      <c r="I8">
        <v>1</v>
      </c>
      <c r="J8">
        <v>12</v>
      </c>
      <c r="K8">
        <v>31</v>
      </c>
      <c r="L8">
        <v>700</v>
      </c>
      <c r="M8">
        <v>11</v>
      </c>
      <c r="N8">
        <v>10</v>
      </c>
      <c r="O8">
        <v>4</v>
      </c>
      <c r="P8">
        <v>1</v>
      </c>
      <c r="Q8">
        <v>99</v>
      </c>
      <c r="R8">
        <v>1</v>
      </c>
      <c r="S8">
        <v>0</v>
      </c>
      <c r="T8">
        <v>3</v>
      </c>
      <c r="U8">
        <v>0</v>
      </c>
      <c r="V8">
        <v>0</v>
      </c>
      <c r="W8" t="s">
        <v>116</v>
      </c>
      <c r="X8" t="s">
        <v>99</v>
      </c>
      <c r="Y8" t="s">
        <v>203</v>
      </c>
      <c r="Z8">
        <v>3</v>
      </c>
      <c r="AA8" s="4" t="s">
        <v>21</v>
      </c>
      <c r="AB8">
        <v>0</v>
      </c>
    </row>
    <row r="9" spans="1:28" ht="35.25" customHeight="1" x14ac:dyDescent="0.4">
      <c r="A9">
        <f t="shared" si="0"/>
        <v>1007</v>
      </c>
      <c r="B9">
        <v>20500</v>
      </c>
      <c r="C9" t="s">
        <v>1</v>
      </c>
      <c r="D9" t="s">
        <v>43</v>
      </c>
      <c r="E9" t="s">
        <v>90</v>
      </c>
      <c r="F9" t="s">
        <v>90</v>
      </c>
      <c r="G9" s="4" t="s">
        <v>181</v>
      </c>
      <c r="H9">
        <v>0</v>
      </c>
      <c r="I9">
        <v>1</v>
      </c>
      <c r="J9">
        <v>12</v>
      </c>
      <c r="K9">
        <v>31</v>
      </c>
      <c r="L9">
        <v>1000</v>
      </c>
      <c r="M9">
        <v>12</v>
      </c>
      <c r="N9">
        <v>20</v>
      </c>
      <c r="O9">
        <v>4</v>
      </c>
      <c r="P9">
        <v>1</v>
      </c>
      <c r="Q9">
        <v>99</v>
      </c>
      <c r="R9">
        <v>1</v>
      </c>
      <c r="S9">
        <v>0</v>
      </c>
      <c r="T9">
        <v>3</v>
      </c>
      <c r="U9">
        <v>0</v>
      </c>
      <c r="V9">
        <v>0</v>
      </c>
      <c r="W9" t="s">
        <v>116</v>
      </c>
      <c r="X9" t="s">
        <v>99</v>
      </c>
      <c r="Y9" t="s">
        <v>203</v>
      </c>
      <c r="Z9">
        <v>3</v>
      </c>
      <c r="AA9" s="4" t="s">
        <v>21</v>
      </c>
      <c r="AB9">
        <v>0</v>
      </c>
    </row>
    <row r="10" spans="1:28" ht="35.25" customHeight="1" x14ac:dyDescent="0.4">
      <c r="A10">
        <f t="shared" si="0"/>
        <v>1008</v>
      </c>
      <c r="B10">
        <v>20600</v>
      </c>
      <c r="C10" t="s">
        <v>1</v>
      </c>
      <c r="D10" t="s">
        <v>44</v>
      </c>
      <c r="E10" t="s">
        <v>114</v>
      </c>
      <c r="F10" s="4" t="s">
        <v>148</v>
      </c>
      <c r="G10" s="4" t="s">
        <v>227</v>
      </c>
      <c r="H10">
        <v>0</v>
      </c>
      <c r="I10">
        <v>1</v>
      </c>
      <c r="J10">
        <v>12</v>
      </c>
      <c r="K10">
        <v>31</v>
      </c>
      <c r="L10">
        <v>1500</v>
      </c>
      <c r="M10">
        <v>13</v>
      </c>
      <c r="N10">
        <v>38</v>
      </c>
      <c r="O10">
        <v>4</v>
      </c>
      <c r="P10">
        <v>1</v>
      </c>
      <c r="Q10">
        <v>99</v>
      </c>
      <c r="R10">
        <v>1</v>
      </c>
      <c r="S10">
        <v>0</v>
      </c>
      <c r="T10">
        <v>3</v>
      </c>
      <c r="U10">
        <v>0</v>
      </c>
      <c r="V10">
        <v>0</v>
      </c>
      <c r="W10" t="s">
        <v>202</v>
      </c>
      <c r="X10" t="s">
        <v>208</v>
      </c>
      <c r="Y10" t="s">
        <v>203</v>
      </c>
      <c r="Z10">
        <v>3</v>
      </c>
      <c r="AA10" s="4" t="s">
        <v>21</v>
      </c>
      <c r="AB10">
        <v>0</v>
      </c>
    </row>
    <row r="11" spans="1:28" ht="35.25" customHeight="1" x14ac:dyDescent="0.4">
      <c r="A11">
        <f t="shared" si="0"/>
        <v>1009</v>
      </c>
      <c r="B11">
        <v>20700</v>
      </c>
      <c r="C11" t="s">
        <v>1</v>
      </c>
      <c r="D11" t="s">
        <v>45</v>
      </c>
      <c r="E11" t="s">
        <v>197</v>
      </c>
      <c r="F11" s="4" t="s">
        <v>198</v>
      </c>
      <c r="G11" s="4" t="s">
        <v>207</v>
      </c>
      <c r="H11">
        <v>0</v>
      </c>
      <c r="I11">
        <v>1</v>
      </c>
      <c r="J11">
        <v>12</v>
      </c>
      <c r="K11">
        <v>31</v>
      </c>
      <c r="L11">
        <v>1500</v>
      </c>
      <c r="M11">
        <v>13</v>
      </c>
      <c r="N11">
        <v>55</v>
      </c>
      <c r="O11">
        <v>5</v>
      </c>
      <c r="P11">
        <v>1</v>
      </c>
      <c r="Q11">
        <v>99</v>
      </c>
      <c r="R11">
        <v>1</v>
      </c>
      <c r="S11">
        <v>0</v>
      </c>
      <c r="T11">
        <v>5</v>
      </c>
      <c r="U11">
        <v>0</v>
      </c>
      <c r="V11">
        <v>0</v>
      </c>
      <c r="W11" t="s">
        <v>216</v>
      </c>
      <c r="X11" t="s">
        <v>217</v>
      </c>
      <c r="Y11" t="s">
        <v>218</v>
      </c>
      <c r="Z11">
        <v>6</v>
      </c>
      <c r="AA11" s="4" t="s">
        <v>21</v>
      </c>
      <c r="AB11">
        <v>0</v>
      </c>
    </row>
    <row r="12" spans="1:28" ht="30" customHeight="1" x14ac:dyDescent="0.4">
      <c r="A12">
        <f t="shared" si="0"/>
        <v>1010</v>
      </c>
      <c r="B12">
        <v>2000</v>
      </c>
      <c r="C12" t="s">
        <v>1</v>
      </c>
      <c r="D12" t="s">
        <v>37</v>
      </c>
      <c r="E12" t="s">
        <v>111</v>
      </c>
      <c r="F12" s="4" t="s">
        <v>149</v>
      </c>
      <c r="G12" s="4" t="s">
        <v>220</v>
      </c>
      <c r="H12">
        <v>0</v>
      </c>
      <c r="I12">
        <v>3</v>
      </c>
      <c r="J12">
        <v>12</v>
      </c>
      <c r="K12">
        <v>31</v>
      </c>
      <c r="L12">
        <v>0</v>
      </c>
      <c r="M12">
        <v>200</v>
      </c>
      <c r="N12">
        <v>12</v>
      </c>
      <c r="O12">
        <v>5</v>
      </c>
      <c r="P12">
        <v>1</v>
      </c>
      <c r="Q12">
        <v>99</v>
      </c>
      <c r="R12">
        <v>0</v>
      </c>
      <c r="S12">
        <v>0</v>
      </c>
      <c r="T12">
        <v>4</v>
      </c>
      <c r="U12">
        <v>0</v>
      </c>
      <c r="V12">
        <v>0</v>
      </c>
      <c r="W12" t="s">
        <v>162</v>
      </c>
      <c r="X12" t="s">
        <v>163</v>
      </c>
      <c r="Y12" t="s">
        <v>101</v>
      </c>
      <c r="Z12">
        <v>0</v>
      </c>
      <c r="AA12" s="4" t="s">
        <v>20</v>
      </c>
      <c r="AB12">
        <v>1</v>
      </c>
    </row>
  </sheetData>
  <phoneticPr fontId="2"/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6AAA5-0C8D-4F8A-9A3B-33AFE45A42B1}">
  <dimension ref="A1:AB13"/>
  <sheetViews>
    <sheetView topLeftCell="B1" workbookViewId="0">
      <selection activeCell="P4" sqref="P4"/>
    </sheetView>
  </sheetViews>
  <sheetFormatPr defaultRowHeight="18.75" x14ac:dyDescent="0.4"/>
  <cols>
    <col min="3" max="3" width="13.25" customWidth="1"/>
    <col min="4" max="4" width="18" customWidth="1"/>
    <col min="5" max="6" width="20.625" customWidth="1"/>
    <col min="7" max="7" width="19.75" customWidth="1"/>
    <col min="8" max="11" width="7.5" customWidth="1"/>
    <col min="12" max="12" width="8.125" customWidth="1"/>
    <col min="13" max="24" width="6.75" customWidth="1"/>
    <col min="25" max="25" width="9.625" customWidth="1"/>
    <col min="26" max="26" width="6.75" customWidth="1"/>
    <col min="27" max="27" width="25.125" customWidth="1"/>
  </cols>
  <sheetData>
    <row r="1" spans="1:28" x14ac:dyDescent="0.2">
      <c r="A1" s="1" t="s">
        <v>2</v>
      </c>
      <c r="B1" s="1" t="s">
        <v>5</v>
      </c>
      <c r="C1" s="1" t="s">
        <v>0</v>
      </c>
      <c r="D1" s="1" t="s">
        <v>3</v>
      </c>
      <c r="E1" s="1" t="s">
        <v>4</v>
      </c>
      <c r="F1" s="1" t="s">
        <v>132</v>
      </c>
      <c r="G1" s="1" t="s">
        <v>15</v>
      </c>
      <c r="H1" s="1" t="s">
        <v>14</v>
      </c>
      <c r="I1" s="1" t="s">
        <v>10</v>
      </c>
      <c r="J1" s="1" t="s">
        <v>35</v>
      </c>
      <c r="K1" s="1" t="s">
        <v>36</v>
      </c>
      <c r="L1" s="1" t="s">
        <v>11</v>
      </c>
      <c r="M1" s="1" t="s">
        <v>12</v>
      </c>
      <c r="N1" s="1" t="s">
        <v>18</v>
      </c>
      <c r="O1" s="1" t="s">
        <v>13</v>
      </c>
      <c r="P1" s="1" t="s">
        <v>16</v>
      </c>
      <c r="Q1" s="1" t="s">
        <v>25</v>
      </c>
      <c r="R1" s="1" t="s">
        <v>17</v>
      </c>
      <c r="S1" s="1" t="s">
        <v>27</v>
      </c>
      <c r="T1" s="1" t="s">
        <v>28</v>
      </c>
      <c r="U1" s="1" t="s">
        <v>92</v>
      </c>
      <c r="V1" s="1" t="s">
        <v>93</v>
      </c>
      <c r="W1" s="1" t="s">
        <v>96</v>
      </c>
      <c r="X1" s="1" t="s">
        <v>97</v>
      </c>
      <c r="Y1" s="1" t="s">
        <v>98</v>
      </c>
      <c r="Z1" s="1" t="s">
        <v>161</v>
      </c>
      <c r="AA1" s="1" t="s">
        <v>19</v>
      </c>
      <c r="AB1" s="1" t="s">
        <v>26</v>
      </c>
    </row>
    <row r="2" spans="1:28" ht="35.25" customHeight="1" x14ac:dyDescent="0.4">
      <c r="A2">
        <f t="shared" ref="A2:A9" si="0">ROW()-2+2000</f>
        <v>2000</v>
      </c>
      <c r="B2">
        <v>30000</v>
      </c>
      <c r="C2" t="s">
        <v>1</v>
      </c>
      <c r="D2" t="s">
        <v>48</v>
      </c>
      <c r="E2" t="s">
        <v>72</v>
      </c>
      <c r="F2" s="4" t="s">
        <v>150</v>
      </c>
      <c r="G2" s="4" t="s">
        <v>182</v>
      </c>
      <c r="H2">
        <v>0</v>
      </c>
      <c r="I2">
        <v>1</v>
      </c>
      <c r="J2">
        <v>12</v>
      </c>
      <c r="K2">
        <v>31</v>
      </c>
      <c r="L2">
        <v>0</v>
      </c>
      <c r="M2">
        <v>1</v>
      </c>
      <c r="N2">
        <v>8</v>
      </c>
      <c r="O2">
        <v>1</v>
      </c>
      <c r="P2">
        <v>0</v>
      </c>
      <c r="Q2">
        <v>99</v>
      </c>
      <c r="R2">
        <v>1</v>
      </c>
      <c r="S2">
        <v>0</v>
      </c>
      <c r="T2">
        <v>2</v>
      </c>
      <c r="U2">
        <v>0</v>
      </c>
      <c r="V2">
        <v>0</v>
      </c>
      <c r="W2" t="s">
        <v>212</v>
      </c>
      <c r="X2" t="s">
        <v>127</v>
      </c>
      <c r="Y2" t="s">
        <v>101</v>
      </c>
      <c r="Z2">
        <v>5</v>
      </c>
      <c r="AA2" s="4" t="s">
        <v>21</v>
      </c>
      <c r="AB2">
        <v>0</v>
      </c>
    </row>
    <row r="3" spans="1:28" ht="35.25" customHeight="1" x14ac:dyDescent="0.4">
      <c r="A3">
        <f t="shared" si="0"/>
        <v>2001</v>
      </c>
      <c r="B3">
        <v>30900</v>
      </c>
      <c r="C3" t="s">
        <v>1</v>
      </c>
      <c r="D3" t="s">
        <v>119</v>
      </c>
      <c r="E3" t="s">
        <v>166</v>
      </c>
      <c r="F3" s="4" t="s">
        <v>167</v>
      </c>
      <c r="G3" s="4" t="s">
        <v>183</v>
      </c>
      <c r="H3">
        <v>0</v>
      </c>
      <c r="I3">
        <v>1</v>
      </c>
      <c r="J3">
        <v>12</v>
      </c>
      <c r="K3">
        <v>31</v>
      </c>
      <c r="L3">
        <v>0</v>
      </c>
      <c r="M3">
        <v>1</v>
      </c>
      <c r="N3">
        <v>6</v>
      </c>
      <c r="O3">
        <v>3</v>
      </c>
      <c r="P3">
        <v>0</v>
      </c>
      <c r="Q3">
        <v>99</v>
      </c>
      <c r="R3">
        <v>1</v>
      </c>
      <c r="S3">
        <v>0</v>
      </c>
      <c r="T3">
        <v>2</v>
      </c>
      <c r="U3">
        <v>0</v>
      </c>
      <c r="V3">
        <v>0</v>
      </c>
      <c r="W3" t="s">
        <v>213</v>
      </c>
      <c r="X3" t="s">
        <v>223</v>
      </c>
      <c r="Y3" t="s">
        <v>101</v>
      </c>
      <c r="Z3">
        <v>5</v>
      </c>
      <c r="AA3" s="4" t="s">
        <v>21</v>
      </c>
      <c r="AB3">
        <v>0</v>
      </c>
    </row>
    <row r="4" spans="1:28" ht="35.25" customHeight="1" x14ac:dyDescent="0.4">
      <c r="A4">
        <f t="shared" si="0"/>
        <v>2002</v>
      </c>
      <c r="B4">
        <v>30100</v>
      </c>
      <c r="C4" t="s">
        <v>1</v>
      </c>
      <c r="D4" t="s">
        <v>49</v>
      </c>
      <c r="E4" t="s">
        <v>77</v>
      </c>
      <c r="F4" s="4" t="s">
        <v>151</v>
      </c>
      <c r="G4" s="4" t="s">
        <v>184</v>
      </c>
      <c r="H4">
        <v>0</v>
      </c>
      <c r="I4">
        <v>1</v>
      </c>
      <c r="J4">
        <v>12</v>
      </c>
      <c r="K4">
        <v>31</v>
      </c>
      <c r="L4">
        <v>200</v>
      </c>
      <c r="M4">
        <v>20</v>
      </c>
      <c r="N4">
        <v>10</v>
      </c>
      <c r="O4">
        <v>3</v>
      </c>
      <c r="P4">
        <v>1</v>
      </c>
      <c r="Q4">
        <v>99</v>
      </c>
      <c r="R4">
        <v>1</v>
      </c>
      <c r="S4">
        <v>0</v>
      </c>
      <c r="T4">
        <v>2</v>
      </c>
      <c r="U4">
        <v>0</v>
      </c>
      <c r="V4">
        <v>0</v>
      </c>
      <c r="W4" t="s">
        <v>124</v>
      </c>
      <c r="X4" t="s">
        <v>127</v>
      </c>
      <c r="Y4" t="s">
        <v>101</v>
      </c>
      <c r="Z4">
        <v>5</v>
      </c>
      <c r="AA4" s="4" t="s">
        <v>24</v>
      </c>
      <c r="AB4">
        <v>0</v>
      </c>
    </row>
    <row r="5" spans="1:28" ht="35.25" customHeight="1" x14ac:dyDescent="0.4">
      <c r="A5">
        <f t="shared" si="0"/>
        <v>2003</v>
      </c>
      <c r="B5">
        <v>10100</v>
      </c>
      <c r="C5" t="s">
        <v>1</v>
      </c>
      <c r="D5" t="s">
        <v>22</v>
      </c>
      <c r="E5" t="s">
        <v>82</v>
      </c>
      <c r="F5" s="4" t="s">
        <v>152</v>
      </c>
      <c r="G5" s="4" t="s">
        <v>185</v>
      </c>
      <c r="H5">
        <v>0</v>
      </c>
      <c r="I5">
        <v>1</v>
      </c>
      <c r="J5">
        <v>12</v>
      </c>
      <c r="K5">
        <v>31</v>
      </c>
      <c r="L5">
        <v>1000</v>
      </c>
      <c r="M5">
        <v>20</v>
      </c>
      <c r="N5">
        <v>15</v>
      </c>
      <c r="O5">
        <v>4</v>
      </c>
      <c r="P5">
        <v>1</v>
      </c>
      <c r="Q5">
        <v>99</v>
      </c>
      <c r="R5">
        <v>1</v>
      </c>
      <c r="S5">
        <v>0</v>
      </c>
      <c r="T5">
        <v>3</v>
      </c>
      <c r="U5">
        <v>0</v>
      </c>
      <c r="V5">
        <v>0</v>
      </c>
      <c r="W5" t="s">
        <v>129</v>
      </c>
      <c r="X5" t="s">
        <v>99</v>
      </c>
      <c r="Y5" t="s">
        <v>203</v>
      </c>
      <c r="Z5">
        <v>3</v>
      </c>
      <c r="AA5" s="4" t="s">
        <v>24</v>
      </c>
      <c r="AB5">
        <v>0</v>
      </c>
    </row>
    <row r="6" spans="1:28" ht="35.25" customHeight="1" x14ac:dyDescent="0.4">
      <c r="A6">
        <f t="shared" si="0"/>
        <v>2004</v>
      </c>
      <c r="B6">
        <v>30400</v>
      </c>
      <c r="C6" t="s">
        <v>1</v>
      </c>
      <c r="D6" t="s">
        <v>52</v>
      </c>
      <c r="E6" t="s">
        <v>64</v>
      </c>
      <c r="F6" s="4" t="s">
        <v>147</v>
      </c>
      <c r="G6" s="4" t="s">
        <v>186</v>
      </c>
      <c r="H6">
        <v>0</v>
      </c>
      <c r="I6">
        <v>1</v>
      </c>
      <c r="J6">
        <v>12</v>
      </c>
      <c r="K6">
        <v>31</v>
      </c>
      <c r="L6">
        <v>700</v>
      </c>
      <c r="M6">
        <v>20</v>
      </c>
      <c r="N6">
        <v>10</v>
      </c>
      <c r="O6">
        <v>3</v>
      </c>
      <c r="P6">
        <v>1</v>
      </c>
      <c r="Q6">
        <v>99</v>
      </c>
      <c r="R6">
        <v>1</v>
      </c>
      <c r="S6">
        <v>0</v>
      </c>
      <c r="T6">
        <v>3</v>
      </c>
      <c r="U6">
        <v>0</v>
      </c>
      <c r="V6">
        <v>0</v>
      </c>
      <c r="W6" t="s">
        <v>214</v>
      </c>
      <c r="X6" t="s">
        <v>215</v>
      </c>
      <c r="Y6" t="s">
        <v>101</v>
      </c>
      <c r="Z6">
        <v>4</v>
      </c>
      <c r="AA6" s="4" t="s">
        <v>21</v>
      </c>
      <c r="AB6">
        <v>0</v>
      </c>
    </row>
    <row r="7" spans="1:28" ht="35.25" customHeight="1" x14ac:dyDescent="0.4">
      <c r="A7">
        <f>ROW()-2+2000</f>
        <v>2005</v>
      </c>
      <c r="B7">
        <v>30500</v>
      </c>
      <c r="C7" t="s">
        <v>1</v>
      </c>
      <c r="D7" t="s">
        <v>53</v>
      </c>
      <c r="E7" t="s">
        <v>80</v>
      </c>
      <c r="F7" t="s">
        <v>80</v>
      </c>
      <c r="G7" s="4" t="s">
        <v>187</v>
      </c>
      <c r="H7">
        <v>0</v>
      </c>
      <c r="I7">
        <v>1</v>
      </c>
      <c r="J7">
        <v>12</v>
      </c>
      <c r="K7">
        <v>31</v>
      </c>
      <c r="L7">
        <v>700</v>
      </c>
      <c r="M7">
        <v>21</v>
      </c>
      <c r="N7">
        <v>23</v>
      </c>
      <c r="O7">
        <v>4</v>
      </c>
      <c r="P7">
        <v>1</v>
      </c>
      <c r="Q7">
        <v>99</v>
      </c>
      <c r="R7">
        <v>1</v>
      </c>
      <c r="S7">
        <v>0</v>
      </c>
      <c r="T7">
        <v>3</v>
      </c>
      <c r="U7">
        <v>0</v>
      </c>
      <c r="V7">
        <v>0</v>
      </c>
      <c r="W7" t="s">
        <v>124</v>
      </c>
      <c r="X7" t="s">
        <v>127</v>
      </c>
      <c r="Y7" t="s">
        <v>101</v>
      </c>
      <c r="Z7">
        <v>0</v>
      </c>
      <c r="AA7" s="4" t="s">
        <v>21</v>
      </c>
      <c r="AB7">
        <v>0</v>
      </c>
    </row>
    <row r="8" spans="1:28" ht="35.25" customHeight="1" x14ac:dyDescent="0.4">
      <c r="A8">
        <f>ROW()-2+2000</f>
        <v>2006</v>
      </c>
      <c r="B8">
        <v>40300</v>
      </c>
      <c r="C8" t="s">
        <v>1</v>
      </c>
      <c r="D8" t="s">
        <v>59</v>
      </c>
      <c r="E8" t="s">
        <v>88</v>
      </c>
      <c r="F8" t="s">
        <v>88</v>
      </c>
      <c r="G8" s="4" t="s">
        <v>204</v>
      </c>
      <c r="H8">
        <v>0</v>
      </c>
      <c r="I8">
        <v>1</v>
      </c>
      <c r="J8">
        <v>12</v>
      </c>
      <c r="K8">
        <v>31</v>
      </c>
      <c r="L8">
        <v>600</v>
      </c>
      <c r="M8">
        <v>21</v>
      </c>
      <c r="N8">
        <v>20</v>
      </c>
      <c r="O8">
        <v>3</v>
      </c>
      <c r="P8">
        <v>1</v>
      </c>
      <c r="Q8">
        <v>99</v>
      </c>
      <c r="R8">
        <v>1</v>
      </c>
      <c r="S8">
        <v>0</v>
      </c>
      <c r="T8">
        <v>3</v>
      </c>
      <c r="U8">
        <v>0</v>
      </c>
      <c r="V8">
        <v>0</v>
      </c>
      <c r="W8" t="s">
        <v>225</v>
      </c>
      <c r="X8" t="s">
        <v>226</v>
      </c>
      <c r="Y8" t="s">
        <v>101</v>
      </c>
      <c r="Z8">
        <v>4</v>
      </c>
      <c r="AA8" s="4" t="s">
        <v>21</v>
      </c>
      <c r="AB8">
        <v>0</v>
      </c>
    </row>
    <row r="9" spans="1:28" ht="35.25" customHeight="1" x14ac:dyDescent="0.4">
      <c r="A9">
        <f t="shared" si="0"/>
        <v>2007</v>
      </c>
      <c r="B9">
        <v>30600</v>
      </c>
      <c r="C9" t="s">
        <v>1</v>
      </c>
      <c r="D9" t="s">
        <v>54</v>
      </c>
      <c r="E9" t="s">
        <v>81</v>
      </c>
      <c r="F9" s="4" t="s">
        <v>153</v>
      </c>
      <c r="G9" s="4" t="s">
        <v>210</v>
      </c>
      <c r="H9">
        <v>0</v>
      </c>
      <c r="I9">
        <v>1</v>
      </c>
      <c r="J9">
        <v>12</v>
      </c>
      <c r="K9">
        <v>31</v>
      </c>
      <c r="L9">
        <v>1000</v>
      </c>
      <c r="M9">
        <v>22</v>
      </c>
      <c r="N9">
        <v>30</v>
      </c>
      <c r="O9">
        <v>5</v>
      </c>
      <c r="P9">
        <v>1</v>
      </c>
      <c r="Q9">
        <v>99</v>
      </c>
      <c r="R9">
        <v>1</v>
      </c>
      <c r="S9">
        <v>0</v>
      </c>
      <c r="T9">
        <v>5</v>
      </c>
      <c r="U9">
        <v>0</v>
      </c>
      <c r="V9">
        <v>0</v>
      </c>
      <c r="W9" t="s">
        <v>124</v>
      </c>
      <c r="X9" t="s">
        <v>127</v>
      </c>
      <c r="Y9" t="s">
        <v>203</v>
      </c>
      <c r="Z9">
        <v>3</v>
      </c>
      <c r="AA9" s="4" t="s">
        <v>21</v>
      </c>
      <c r="AB9">
        <v>0</v>
      </c>
    </row>
    <row r="10" spans="1:28" ht="35.25" customHeight="1" x14ac:dyDescent="0.4">
      <c r="A10">
        <f t="shared" ref="A10:A11" si="1">ROW()-2+2000</f>
        <v>2008</v>
      </c>
      <c r="B10">
        <v>10600</v>
      </c>
      <c r="C10" t="s">
        <v>1</v>
      </c>
      <c r="D10" t="s">
        <v>33</v>
      </c>
      <c r="E10" t="s">
        <v>79</v>
      </c>
      <c r="F10" t="s">
        <v>79</v>
      </c>
      <c r="G10" s="4" t="s">
        <v>196</v>
      </c>
      <c r="H10">
        <v>0</v>
      </c>
      <c r="I10">
        <v>1</v>
      </c>
      <c r="J10">
        <v>12</v>
      </c>
      <c r="K10">
        <v>31</v>
      </c>
      <c r="L10">
        <v>1000</v>
      </c>
      <c r="M10">
        <v>22</v>
      </c>
      <c r="N10">
        <v>45</v>
      </c>
      <c r="O10">
        <v>4</v>
      </c>
      <c r="P10">
        <v>1</v>
      </c>
      <c r="Q10">
        <v>99</v>
      </c>
      <c r="R10">
        <v>1</v>
      </c>
      <c r="S10">
        <v>0</v>
      </c>
      <c r="T10">
        <v>3</v>
      </c>
      <c r="U10">
        <v>0</v>
      </c>
      <c r="V10">
        <v>0</v>
      </c>
      <c r="W10" t="s">
        <v>124</v>
      </c>
      <c r="X10" t="s">
        <v>127</v>
      </c>
      <c r="Y10" t="s">
        <v>203</v>
      </c>
      <c r="Z10">
        <v>3</v>
      </c>
      <c r="AA10" s="4" t="s">
        <v>21</v>
      </c>
      <c r="AB10">
        <v>0</v>
      </c>
    </row>
    <row r="11" spans="1:28" ht="35.25" customHeight="1" x14ac:dyDescent="0.4">
      <c r="A11">
        <f t="shared" si="1"/>
        <v>2009</v>
      </c>
      <c r="B11">
        <v>10700</v>
      </c>
      <c r="C11" t="s">
        <v>1</v>
      </c>
      <c r="D11" t="s">
        <v>34</v>
      </c>
      <c r="E11" t="s">
        <v>86</v>
      </c>
      <c r="F11" s="4" t="s">
        <v>154</v>
      </c>
      <c r="G11" s="4" t="s">
        <v>211</v>
      </c>
      <c r="H11">
        <v>0</v>
      </c>
      <c r="I11">
        <v>1</v>
      </c>
      <c r="J11">
        <v>12</v>
      </c>
      <c r="K11">
        <v>31</v>
      </c>
      <c r="L11">
        <v>1500</v>
      </c>
      <c r="M11">
        <v>22</v>
      </c>
      <c r="N11">
        <v>60</v>
      </c>
      <c r="O11">
        <v>5</v>
      </c>
      <c r="P11">
        <v>1</v>
      </c>
      <c r="Q11">
        <v>99</v>
      </c>
      <c r="R11">
        <v>1</v>
      </c>
      <c r="S11">
        <v>0</v>
      </c>
      <c r="T11">
        <v>5</v>
      </c>
      <c r="U11">
        <v>0</v>
      </c>
      <c r="V11">
        <v>0</v>
      </c>
      <c r="W11" t="s">
        <v>124</v>
      </c>
      <c r="X11" t="s">
        <v>127</v>
      </c>
      <c r="Y11" t="s">
        <v>101</v>
      </c>
      <c r="Z11">
        <v>6</v>
      </c>
      <c r="AA11" s="4" t="s">
        <v>21</v>
      </c>
      <c r="AB11">
        <v>0</v>
      </c>
    </row>
    <row r="12" spans="1:28" s="2" customFormat="1" ht="35.25" customHeight="1" x14ac:dyDescent="0.4">
      <c r="A12" s="2">
        <f>ROW()-2+2000</f>
        <v>2010</v>
      </c>
      <c r="B12" s="2">
        <v>30800</v>
      </c>
      <c r="C12" s="2" t="s">
        <v>1</v>
      </c>
      <c r="D12" s="2" t="s">
        <v>103</v>
      </c>
      <c r="E12" s="2" t="s">
        <v>104</v>
      </c>
      <c r="F12" s="2" t="s">
        <v>104</v>
      </c>
      <c r="G12" s="3" t="s">
        <v>106</v>
      </c>
      <c r="H12" s="2">
        <v>0</v>
      </c>
      <c r="I12" s="2">
        <v>1</v>
      </c>
      <c r="J12" s="2">
        <v>12</v>
      </c>
      <c r="K12" s="2">
        <v>31</v>
      </c>
      <c r="L12" s="2">
        <v>3000</v>
      </c>
      <c r="M12" s="2">
        <v>9999</v>
      </c>
      <c r="N12" s="2">
        <v>25</v>
      </c>
      <c r="O12" s="2">
        <v>3</v>
      </c>
      <c r="P12" s="2">
        <v>0</v>
      </c>
      <c r="Q12" s="2">
        <v>99</v>
      </c>
      <c r="R12" s="2">
        <v>1</v>
      </c>
      <c r="S12" s="2">
        <v>0</v>
      </c>
      <c r="T12" s="2">
        <v>5</v>
      </c>
      <c r="U12" s="2">
        <v>0</v>
      </c>
      <c r="V12" s="2">
        <v>0</v>
      </c>
      <c r="W12" s="2" t="s">
        <v>124</v>
      </c>
      <c r="X12" s="2" t="s">
        <v>102</v>
      </c>
      <c r="Y12" s="2" t="s">
        <v>101</v>
      </c>
      <c r="Z12" s="2">
        <v>0</v>
      </c>
      <c r="AA12" s="3" t="s">
        <v>21</v>
      </c>
      <c r="AB12" s="2">
        <v>0</v>
      </c>
    </row>
    <row r="13" spans="1:28" ht="30" customHeight="1" x14ac:dyDescent="0.4">
      <c r="A13">
        <f>ROW()-2+2000</f>
        <v>2011</v>
      </c>
      <c r="B13">
        <v>3000</v>
      </c>
      <c r="C13" t="s">
        <v>1</v>
      </c>
      <c r="D13" t="s">
        <v>46</v>
      </c>
      <c r="E13" t="s">
        <v>109</v>
      </c>
      <c r="F13" t="s">
        <v>109</v>
      </c>
      <c r="G13" s="4" t="s">
        <v>221</v>
      </c>
      <c r="H13">
        <v>0</v>
      </c>
      <c r="I13">
        <v>3</v>
      </c>
      <c r="J13">
        <v>12</v>
      </c>
      <c r="K13">
        <v>31</v>
      </c>
      <c r="L13">
        <v>0</v>
      </c>
      <c r="M13">
        <v>300</v>
      </c>
      <c r="N13">
        <v>25</v>
      </c>
      <c r="O13">
        <v>5</v>
      </c>
      <c r="P13">
        <v>1</v>
      </c>
      <c r="Q13">
        <v>99</v>
      </c>
      <c r="R13">
        <v>0</v>
      </c>
      <c r="S13">
        <v>0</v>
      </c>
      <c r="T13">
        <v>4</v>
      </c>
      <c r="U13">
        <v>0</v>
      </c>
      <c r="V13">
        <v>0</v>
      </c>
      <c r="W13" t="s">
        <v>164</v>
      </c>
      <c r="X13" t="s">
        <v>165</v>
      </c>
      <c r="Y13" t="s">
        <v>101</v>
      </c>
      <c r="Z13">
        <v>0</v>
      </c>
      <c r="AA13" s="4" t="s">
        <v>20</v>
      </c>
      <c r="AB13">
        <v>1</v>
      </c>
    </row>
  </sheetData>
  <phoneticPr fontId="2"/>
  <pageMargins left="0.7" right="0.7" top="0.75" bottom="0.75" header="0.3" footer="0.3"/>
  <pageSetup paperSize="9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0FE8C-49B4-4F17-805B-7287A7C6D5E2}">
  <dimension ref="A1:AB9"/>
  <sheetViews>
    <sheetView topLeftCell="C1" workbookViewId="0">
      <selection activeCell="N9" sqref="N9"/>
    </sheetView>
  </sheetViews>
  <sheetFormatPr defaultRowHeight="18.75" x14ac:dyDescent="0.4"/>
  <cols>
    <col min="3" max="3" width="13.25" customWidth="1"/>
    <col min="4" max="4" width="18" customWidth="1"/>
    <col min="5" max="6" width="20.625" customWidth="1"/>
    <col min="7" max="7" width="19.75" customWidth="1"/>
    <col min="8" max="11" width="7.5" customWidth="1"/>
    <col min="12" max="12" width="8.125" customWidth="1"/>
    <col min="13" max="26" width="6.75" customWidth="1"/>
    <col min="27" max="27" width="25.125" customWidth="1"/>
  </cols>
  <sheetData>
    <row r="1" spans="1:28" x14ac:dyDescent="0.2">
      <c r="A1" s="1" t="s">
        <v>2</v>
      </c>
      <c r="B1" s="1" t="s">
        <v>5</v>
      </c>
      <c r="C1" s="1" t="s">
        <v>0</v>
      </c>
      <c r="D1" s="1" t="s">
        <v>3</v>
      </c>
      <c r="E1" s="1" t="s">
        <v>4</v>
      </c>
      <c r="F1" s="1" t="s">
        <v>132</v>
      </c>
      <c r="G1" s="1" t="s">
        <v>15</v>
      </c>
      <c r="H1" s="1" t="s">
        <v>14</v>
      </c>
      <c r="I1" s="1" t="s">
        <v>10</v>
      </c>
      <c r="J1" s="1" t="s">
        <v>35</v>
      </c>
      <c r="K1" s="1" t="s">
        <v>36</v>
      </c>
      <c r="L1" s="1" t="s">
        <v>11</v>
      </c>
      <c r="M1" s="1" t="s">
        <v>12</v>
      </c>
      <c r="N1" s="1" t="s">
        <v>18</v>
      </c>
      <c r="O1" s="1" t="s">
        <v>13</v>
      </c>
      <c r="P1" s="1" t="s">
        <v>16</v>
      </c>
      <c r="Q1" s="1" t="s">
        <v>25</v>
      </c>
      <c r="R1" s="1" t="s">
        <v>17</v>
      </c>
      <c r="S1" s="1" t="s">
        <v>27</v>
      </c>
      <c r="T1" s="1" t="s">
        <v>28</v>
      </c>
      <c r="U1" s="1" t="s">
        <v>92</v>
      </c>
      <c r="V1" s="1" t="s">
        <v>93</v>
      </c>
      <c r="W1" s="1" t="s">
        <v>96</v>
      </c>
      <c r="X1" s="1" t="s">
        <v>97</v>
      </c>
      <c r="Y1" s="1" t="s">
        <v>98</v>
      </c>
      <c r="Z1" s="1" t="s">
        <v>161</v>
      </c>
      <c r="AA1" s="1" t="s">
        <v>19</v>
      </c>
      <c r="AB1" s="1" t="s">
        <v>26</v>
      </c>
    </row>
    <row r="2" spans="1:28" s="5" customFormat="1" ht="35.25" customHeight="1" x14ac:dyDescent="0.4">
      <c r="A2" s="5">
        <f t="shared" ref="A2:A9" si="0">ROW()-2+3000</f>
        <v>3000</v>
      </c>
      <c r="B2" s="5">
        <v>40000</v>
      </c>
      <c r="C2" s="5" t="s">
        <v>1</v>
      </c>
      <c r="D2" s="5" t="s">
        <v>56</v>
      </c>
      <c r="E2" s="5" t="s">
        <v>68</v>
      </c>
      <c r="F2" s="5" t="s">
        <v>68</v>
      </c>
      <c r="G2" s="6" t="s">
        <v>188</v>
      </c>
      <c r="H2" s="5">
        <v>0</v>
      </c>
      <c r="I2" s="5">
        <v>1</v>
      </c>
      <c r="J2" s="5">
        <v>12</v>
      </c>
      <c r="K2" s="5">
        <v>31</v>
      </c>
      <c r="L2" s="5">
        <v>0</v>
      </c>
      <c r="M2" s="5">
        <v>1</v>
      </c>
      <c r="N2" s="5">
        <v>0</v>
      </c>
      <c r="O2" s="5">
        <v>1</v>
      </c>
      <c r="P2" s="5">
        <v>0</v>
      </c>
      <c r="Q2" s="5">
        <v>99</v>
      </c>
      <c r="R2" s="5">
        <v>1</v>
      </c>
      <c r="S2" s="5">
        <v>0</v>
      </c>
      <c r="T2" s="5">
        <v>2</v>
      </c>
      <c r="U2" s="5">
        <v>0</v>
      </c>
      <c r="V2" s="5">
        <v>0</v>
      </c>
      <c r="W2" s="5" t="s">
        <v>125</v>
      </c>
      <c r="X2" s="5" t="s">
        <v>128</v>
      </c>
      <c r="Y2" s="5" t="s">
        <v>101</v>
      </c>
      <c r="Z2" s="5">
        <v>0</v>
      </c>
      <c r="AA2" s="6" t="s">
        <v>21</v>
      </c>
      <c r="AB2" s="5">
        <v>0</v>
      </c>
    </row>
    <row r="3" spans="1:28" s="5" customFormat="1" ht="35.25" customHeight="1" x14ac:dyDescent="0.4">
      <c r="A3" s="5">
        <f t="shared" si="0"/>
        <v>3001</v>
      </c>
      <c r="B3" s="5">
        <v>40100</v>
      </c>
      <c r="C3" s="5" t="s">
        <v>1</v>
      </c>
      <c r="D3" s="5" t="s">
        <v>57</v>
      </c>
      <c r="E3" s="5" t="s">
        <v>76</v>
      </c>
      <c r="F3" s="6" t="s">
        <v>155</v>
      </c>
      <c r="G3" s="6" t="s">
        <v>189</v>
      </c>
      <c r="H3" s="5">
        <v>0</v>
      </c>
      <c r="I3" s="5">
        <v>1</v>
      </c>
      <c r="J3" s="5">
        <v>12</v>
      </c>
      <c r="K3" s="5">
        <v>31</v>
      </c>
      <c r="L3" s="5">
        <v>200</v>
      </c>
      <c r="M3" s="5">
        <v>30</v>
      </c>
      <c r="N3" s="5">
        <v>15</v>
      </c>
      <c r="O3" s="5">
        <v>3</v>
      </c>
      <c r="P3" s="5">
        <v>1</v>
      </c>
      <c r="Q3" s="5">
        <v>99</v>
      </c>
      <c r="R3" s="5">
        <v>1</v>
      </c>
      <c r="S3" s="5">
        <v>0</v>
      </c>
      <c r="T3" s="5">
        <v>3</v>
      </c>
      <c r="U3" s="5">
        <v>0</v>
      </c>
      <c r="V3" s="5">
        <v>0</v>
      </c>
      <c r="W3" s="5" t="s">
        <v>125</v>
      </c>
      <c r="X3" s="5" t="s">
        <v>128</v>
      </c>
      <c r="Y3" s="5" t="s">
        <v>101</v>
      </c>
      <c r="Z3" s="5">
        <v>0</v>
      </c>
      <c r="AA3" s="6" t="s">
        <v>24</v>
      </c>
      <c r="AB3" s="5">
        <v>0</v>
      </c>
    </row>
    <row r="4" spans="1:28" s="5" customFormat="1" ht="35.25" customHeight="1" x14ac:dyDescent="0.4">
      <c r="A4" s="5">
        <f t="shared" si="0"/>
        <v>3002</v>
      </c>
      <c r="B4" s="5">
        <v>40200</v>
      </c>
      <c r="C4" s="5" t="s">
        <v>1</v>
      </c>
      <c r="D4" s="5" t="s">
        <v>58</v>
      </c>
      <c r="E4" s="5" t="s">
        <v>75</v>
      </c>
      <c r="F4" s="6" t="s">
        <v>156</v>
      </c>
      <c r="G4" s="6" t="s">
        <v>190</v>
      </c>
      <c r="H4" s="5">
        <v>0</v>
      </c>
      <c r="I4" s="5">
        <v>1</v>
      </c>
      <c r="J4" s="5">
        <v>12</v>
      </c>
      <c r="K4" s="5">
        <v>31</v>
      </c>
      <c r="L4" s="5">
        <v>500</v>
      </c>
      <c r="M4" s="5">
        <v>30</v>
      </c>
      <c r="N4" s="5">
        <v>33</v>
      </c>
      <c r="O4" s="5">
        <v>4</v>
      </c>
      <c r="P4" s="5">
        <v>1</v>
      </c>
      <c r="Q4" s="5">
        <v>99</v>
      </c>
      <c r="R4" s="5">
        <v>1</v>
      </c>
      <c r="S4" s="5">
        <v>0</v>
      </c>
      <c r="T4" s="5">
        <v>3</v>
      </c>
      <c r="U4" s="5">
        <v>0</v>
      </c>
      <c r="V4" s="5">
        <v>0</v>
      </c>
      <c r="W4" s="5" t="s">
        <v>125</v>
      </c>
      <c r="X4" s="5" t="s">
        <v>128</v>
      </c>
      <c r="Y4" s="5" t="s">
        <v>101</v>
      </c>
      <c r="Z4" s="5">
        <v>0</v>
      </c>
      <c r="AA4" s="6" t="s">
        <v>21</v>
      </c>
      <c r="AB4" s="5">
        <v>0</v>
      </c>
    </row>
    <row r="5" spans="1:28" s="5" customFormat="1" ht="35.25" customHeight="1" x14ac:dyDescent="0.4">
      <c r="A5" s="5">
        <f t="shared" si="0"/>
        <v>3003</v>
      </c>
      <c r="B5" s="5">
        <v>40400</v>
      </c>
      <c r="C5" s="5" t="s">
        <v>1</v>
      </c>
      <c r="D5" s="5" t="s">
        <v>60</v>
      </c>
      <c r="E5" s="5" t="s">
        <v>107</v>
      </c>
      <c r="F5" s="6" t="s">
        <v>157</v>
      </c>
      <c r="G5" s="6" t="s">
        <v>191</v>
      </c>
      <c r="H5" s="5">
        <v>0</v>
      </c>
      <c r="I5" s="5">
        <v>1</v>
      </c>
      <c r="J5" s="5">
        <v>12</v>
      </c>
      <c r="K5" s="5">
        <v>31</v>
      </c>
      <c r="L5" s="5">
        <v>500</v>
      </c>
      <c r="M5" s="5">
        <v>30</v>
      </c>
      <c r="N5" s="5">
        <v>45</v>
      </c>
      <c r="O5" s="5">
        <v>4</v>
      </c>
      <c r="P5" s="5">
        <v>1</v>
      </c>
      <c r="Q5" s="5">
        <v>99</v>
      </c>
      <c r="R5" s="5">
        <v>1</v>
      </c>
      <c r="S5" s="5">
        <v>0</v>
      </c>
      <c r="T5" s="5">
        <v>3</v>
      </c>
      <c r="U5" s="5">
        <v>0</v>
      </c>
      <c r="V5" s="5">
        <v>0</v>
      </c>
      <c r="W5" s="5" t="s">
        <v>125</v>
      </c>
      <c r="X5" s="5" t="s">
        <v>128</v>
      </c>
      <c r="Y5" s="5" t="s">
        <v>101</v>
      </c>
      <c r="Z5" s="5">
        <v>0</v>
      </c>
      <c r="AA5" s="6" t="s">
        <v>21</v>
      </c>
      <c r="AB5" s="5">
        <v>0</v>
      </c>
    </row>
    <row r="6" spans="1:28" s="5" customFormat="1" ht="35.25" customHeight="1" x14ac:dyDescent="0.4">
      <c r="A6" s="5">
        <f t="shared" si="0"/>
        <v>3004</v>
      </c>
      <c r="B6" s="5">
        <v>40500</v>
      </c>
      <c r="C6" s="5" t="s">
        <v>1</v>
      </c>
      <c r="D6" s="5" t="s">
        <v>61</v>
      </c>
      <c r="E6" s="5" t="s">
        <v>193</v>
      </c>
      <c r="F6" s="5" t="s">
        <v>193</v>
      </c>
      <c r="G6" s="6" t="s">
        <v>192</v>
      </c>
      <c r="H6" s="5">
        <v>0</v>
      </c>
      <c r="I6" s="5">
        <v>1</v>
      </c>
      <c r="J6" s="5">
        <v>12</v>
      </c>
      <c r="K6" s="5">
        <v>31</v>
      </c>
      <c r="L6" s="5">
        <v>700</v>
      </c>
      <c r="M6" s="5">
        <v>31</v>
      </c>
      <c r="N6" s="5">
        <v>47</v>
      </c>
      <c r="O6" s="5">
        <v>4</v>
      </c>
      <c r="P6" s="5">
        <v>1</v>
      </c>
      <c r="Q6" s="5">
        <v>99</v>
      </c>
      <c r="R6" s="5">
        <v>1</v>
      </c>
      <c r="S6" s="5">
        <v>0</v>
      </c>
      <c r="T6" s="5">
        <v>3</v>
      </c>
      <c r="U6" s="5">
        <v>0</v>
      </c>
      <c r="V6" s="5">
        <v>0</v>
      </c>
      <c r="W6" s="5" t="s">
        <v>125</v>
      </c>
      <c r="X6" s="5" t="s">
        <v>128</v>
      </c>
      <c r="Y6" s="5" t="s">
        <v>101</v>
      </c>
      <c r="Z6" s="5">
        <v>0</v>
      </c>
      <c r="AA6" s="6" t="s">
        <v>21</v>
      </c>
      <c r="AB6" s="5">
        <v>0</v>
      </c>
    </row>
    <row r="7" spans="1:28" s="5" customFormat="1" ht="35.25" customHeight="1" x14ac:dyDescent="0.4">
      <c r="A7" s="5">
        <f t="shared" si="0"/>
        <v>3005</v>
      </c>
      <c r="B7" s="5">
        <v>40600</v>
      </c>
      <c r="C7" s="5" t="s">
        <v>1</v>
      </c>
      <c r="D7" s="5" t="s">
        <v>62</v>
      </c>
      <c r="E7" s="5" t="s">
        <v>74</v>
      </c>
      <c r="F7" s="6" t="s">
        <v>158</v>
      </c>
      <c r="G7" s="6" t="s">
        <v>194</v>
      </c>
      <c r="H7" s="5">
        <v>0</v>
      </c>
      <c r="I7" s="5">
        <v>1</v>
      </c>
      <c r="J7" s="5">
        <v>12</v>
      </c>
      <c r="K7" s="5">
        <v>31</v>
      </c>
      <c r="L7" s="5">
        <v>700</v>
      </c>
      <c r="M7" s="5">
        <v>32</v>
      </c>
      <c r="N7" s="5">
        <v>60</v>
      </c>
      <c r="O7" s="5">
        <v>4</v>
      </c>
      <c r="P7" s="5">
        <v>1</v>
      </c>
      <c r="Q7" s="5">
        <v>99</v>
      </c>
      <c r="R7" s="5">
        <v>1</v>
      </c>
      <c r="S7" s="5">
        <v>0</v>
      </c>
      <c r="T7" s="5">
        <v>3</v>
      </c>
      <c r="U7" s="5">
        <v>0</v>
      </c>
      <c r="V7" s="5">
        <v>0</v>
      </c>
      <c r="W7" s="5" t="s">
        <v>125</v>
      </c>
      <c r="X7" s="5" t="s">
        <v>128</v>
      </c>
      <c r="Y7" s="5" t="s">
        <v>101</v>
      </c>
      <c r="Z7" s="5">
        <v>0</v>
      </c>
      <c r="AA7" s="6" t="s">
        <v>21</v>
      </c>
      <c r="AB7" s="5">
        <v>0</v>
      </c>
    </row>
    <row r="8" spans="1:28" s="5" customFormat="1" ht="35.25" customHeight="1" x14ac:dyDescent="0.4">
      <c r="A8" s="5">
        <f t="shared" si="0"/>
        <v>3006</v>
      </c>
      <c r="B8" s="5">
        <v>40700</v>
      </c>
      <c r="C8" s="5" t="s">
        <v>1</v>
      </c>
      <c r="D8" s="5" t="s">
        <v>63</v>
      </c>
      <c r="E8" s="5" t="s">
        <v>105</v>
      </c>
      <c r="F8" s="6" t="s">
        <v>160</v>
      </c>
      <c r="G8" s="6" t="s">
        <v>195</v>
      </c>
      <c r="H8" s="5">
        <v>0</v>
      </c>
      <c r="I8" s="5">
        <v>1</v>
      </c>
      <c r="J8" s="5">
        <v>12</v>
      </c>
      <c r="K8" s="5">
        <v>31</v>
      </c>
      <c r="L8" s="5">
        <v>2000</v>
      </c>
      <c r="M8" s="5">
        <v>32</v>
      </c>
      <c r="N8" s="5">
        <v>70</v>
      </c>
      <c r="O8" s="5">
        <v>5</v>
      </c>
      <c r="P8" s="5">
        <v>1</v>
      </c>
      <c r="Q8" s="5">
        <v>99</v>
      </c>
      <c r="R8" s="5">
        <v>1</v>
      </c>
      <c r="S8" s="5">
        <v>0</v>
      </c>
      <c r="T8" s="5">
        <v>5</v>
      </c>
      <c r="U8" s="5">
        <v>0</v>
      </c>
      <c r="V8" s="5">
        <v>0</v>
      </c>
      <c r="W8" s="5" t="s">
        <v>125</v>
      </c>
      <c r="X8" s="5" t="s">
        <v>128</v>
      </c>
      <c r="Y8" s="5" t="s">
        <v>101</v>
      </c>
      <c r="Z8" s="5">
        <v>0</v>
      </c>
      <c r="AA8" s="6" t="s">
        <v>21</v>
      </c>
      <c r="AB8" s="5">
        <v>0</v>
      </c>
    </row>
    <row r="9" spans="1:28" s="5" customFormat="1" ht="30" customHeight="1" x14ac:dyDescent="0.4">
      <c r="A9" s="5">
        <f t="shared" si="0"/>
        <v>3007</v>
      </c>
      <c r="B9" s="5">
        <v>4000</v>
      </c>
      <c r="C9" s="5" t="s">
        <v>1</v>
      </c>
      <c r="D9" s="5" t="s">
        <v>47</v>
      </c>
      <c r="E9" s="5" t="s">
        <v>108</v>
      </c>
      <c r="F9" s="6" t="s">
        <v>159</v>
      </c>
      <c r="G9" s="6" t="s">
        <v>110</v>
      </c>
      <c r="H9" s="5">
        <v>0</v>
      </c>
      <c r="I9" s="5">
        <v>3</v>
      </c>
      <c r="J9" s="5">
        <v>12</v>
      </c>
      <c r="K9" s="5">
        <v>31</v>
      </c>
      <c r="L9" s="5">
        <v>0</v>
      </c>
      <c r="M9" s="5">
        <v>400</v>
      </c>
      <c r="N9" s="5">
        <v>50</v>
      </c>
      <c r="O9" s="5">
        <v>5</v>
      </c>
      <c r="P9" s="5">
        <v>1</v>
      </c>
      <c r="Q9" s="5">
        <v>99</v>
      </c>
      <c r="R9" s="5">
        <v>0</v>
      </c>
      <c r="S9" s="5">
        <v>0</v>
      </c>
      <c r="T9" s="5">
        <v>5</v>
      </c>
      <c r="U9" s="5">
        <v>0</v>
      </c>
      <c r="V9" s="5">
        <v>0</v>
      </c>
      <c r="W9" s="5" t="s">
        <v>125</v>
      </c>
      <c r="X9" s="5" t="s">
        <v>128</v>
      </c>
      <c r="Y9" s="5" t="s">
        <v>100</v>
      </c>
      <c r="Z9" s="5">
        <v>0</v>
      </c>
      <c r="AA9" s="6" t="s">
        <v>20</v>
      </c>
      <c r="AB9" s="5">
        <v>1</v>
      </c>
    </row>
  </sheetData>
  <phoneticPr fontId="2"/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Or_Contest_001</vt:lpstr>
      <vt:lpstr>Or_Contest_002</vt:lpstr>
      <vt:lpstr>Or_Contest_003</vt:lpstr>
      <vt:lpstr>Or_Contest_004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有田翔悟</dc:creator>
  <cp:lastModifiedBy>翔悟 有田</cp:lastModifiedBy>
  <dcterms:created xsi:type="dcterms:W3CDTF">2019-09-12T03:50:39Z</dcterms:created>
  <dcterms:modified xsi:type="dcterms:W3CDTF">2026-10-08T02:46:37Z</dcterms:modified>
</cp:coreProperties>
</file>