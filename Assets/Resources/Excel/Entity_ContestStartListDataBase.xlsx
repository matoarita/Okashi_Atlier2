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4C0C8B0-FC44-4D2D-8FBE-0E0F3CDB8E61}" xr6:coauthVersionLast="47" xr6:coauthVersionMax="47" xr10:uidLastSave="{00000000-0000-0000-0000-000000000000}"/>
  <bookViews>
    <workbookView xWindow="2325" yWindow="1065" windowWidth="25560" windowHeight="14355" activeTab="1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" i="3" l="1"/>
  <c r="A6" i="3"/>
  <c r="A9" i="1"/>
  <c r="A3" i="3"/>
  <c r="A3" i="2"/>
  <c r="A6" i="2"/>
  <c r="A9" i="2"/>
  <c r="A10" i="3"/>
  <c r="A9" i="3"/>
  <c r="A12" i="1"/>
  <c r="A11" i="1"/>
  <c r="A10" i="1"/>
  <c r="A5" i="3"/>
  <c r="A13" i="2"/>
  <c r="A12" i="2"/>
  <c r="A13" i="1"/>
  <c r="A11" i="3"/>
  <c r="A5" i="1"/>
  <c r="A8" i="4"/>
  <c r="A7" i="4"/>
  <c r="A6" i="4"/>
  <c r="A5" i="4"/>
  <c r="A4" i="4"/>
  <c r="A3" i="4"/>
  <c r="A2" i="4"/>
  <c r="A9" i="4"/>
  <c r="A8" i="3"/>
  <c r="A4" i="3"/>
  <c r="A2" i="3"/>
  <c r="A12" i="3"/>
  <c r="A11" i="2"/>
  <c r="A10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<sst xmlns="http://schemas.openxmlformats.org/spreadsheetml/2006/main" count="499" uniqueCount="208">
  <si>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</si>
  <si>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</si>
  <si>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</si>
  <si>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</si>
  <si>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</si>
  <si>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</si>
  <si>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</si>
  <si>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</si>
  <si>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</si>
  <si>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</si>
  <si>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</si>
  <si>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</si>
  <si>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</si>
  <si>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</si>
  <si>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</si>
  <si>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</si>
  <si>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</si>
  <si>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</si>
  <si>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</si>
  <si>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</si>
  <si>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</si>
  <si>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</si>
  <si>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</si>
  <si>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</si>
  <si>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</si>
  <si>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</si>
  <si>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</si>
  <si>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</si>
  <si>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</si>
  <si>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</si>
  <si>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</si>
  <si>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</si>
  <si>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</si>
  <si>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</si>
  <si>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</si>
  <si>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</si>
  <si>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</si>
  <si>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</si>
  <si>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</si>
  <si>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</si>
  <si>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</si>
  <si>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</si>
  <si>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</si>
  <si>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</si>
  <si>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</si>
  <si>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</si>
  <si>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</si>
  <si>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</si>
  <si>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</si>
  <si>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</si>
  <si>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</si>
  <si>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</si>
  <si>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</si>
  <si>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</si>
  <si>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</si>
  <si>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</si>
  <si>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</si>
  <si>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</si>
  <si>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</si>
  <si>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</si>
  <si>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</si>
  <si>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</si>
  <si>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</si>
  <si>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</si>
  <si>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</si>
  <si>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</si>
  <si>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</si>
  <si>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</si>
  <si>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</si>
  <si>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</si>
  <si>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</si>
  <si>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</si>
  <si>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</si>
  <si>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</si>
  <si>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</si>
  <si>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</si>
  <si>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</si>
  <si>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</si>
  <si>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</si>
  <si>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</si>
  <si>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</si>
  <si>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</si>
  <si>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</si>
  <si>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</si>
  <si>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</si>
  <si>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</si>
  <si>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</si>
  <si>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</si>
  <si>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</si>
  <si>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</si>
  <si>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</si>
  <si>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</si>
  <si>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</si>
  <si>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</si>
  <si>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</si>
  <si>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</si>
  <si>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</si>
  <si>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</si>
  <si>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</si>
  <si>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</si>
  <si>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</si>
  <si>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</si>
  <si>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</si>
  <si>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</si>
  <si>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</si>
  <si>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</si>
  <si>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</si>
  <si>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</si>
  <si>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</si>
  <si>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</si>
  <si>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</si>
  <si>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</si>
  <si>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</si>
  <si>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</si>
  <si>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</si>
  <si>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</si>
  <si>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</si>
  <si>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</si>
  <si>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</si>
  <si>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</si>
  <si>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</si>
  <si>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</si>
  <si>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</si>
  <si>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</si>
  <si>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</si>
  <si>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</si>
  <si>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</si>
  <si>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</si>
  <si>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</si>
  <si>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</si>
  <si>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</si>
  <si>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</si>
  <si>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</si>
  <si>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</si>
  <si>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</si>
  <si>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</si>
  <si>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</si>
  <si>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</si>
  <si>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</si>
  <si>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</si>
  <si>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</si>
  <si>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sound73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</si>
  <si>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</si>
  <si>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</si>
  <si>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</si>
  <si>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</si>
  <si>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</si>
  <si>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</si>
  <si>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</si>
  <si>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</si>
  <si>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</si>
  <si>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チョコレート限定
夏エリアで毎年開催のチョコレートコンテスト。
初級～中級までのパティシエの方ぜひご参加ください！</t>
    <rPh sb="6" eb="8">
      <t>ゲンテイ</t>
    </rPh>
    <rPh sb="9" eb="10">
      <t>ナツ</t>
    </rPh>
    <rPh sb="14" eb="16">
      <t>マイトシ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</si>
  <si>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</si>
  <si>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</si>
  <si>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自由課題
隣国プラムで行われるおかしコンテストです。
各界隈の著名人が注目するトップレベルのコンテストです。</t>
    <rPh sb="0" eb="4">
      <t>ジユウカダイ</t>
    </rPh>
    <rPh sb="5" eb="7">
      <t>リンコク</t>
    </rPh>
    <rPh sb="11" eb="12">
      <t>オコナ</t>
    </rPh>
    <rPh sb="27" eb="30">
      <t>カクカイワイ</t>
    </rPh>
    <rPh sb="31" eb="33">
      <t>チョメイ</t>
    </rPh>
    <rPh sb="33" eb="34">
      <t>ジン</t>
    </rPh>
    <rPh sb="35" eb="37">
      <t>チュウモク</t>
    </rPh>
    <rPh sb="37" eb="39">
      <t>ダイチュウモク</t>
    </rPh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</si>
  <si>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</si>
  <si>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</si>
  <si>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</si>
  <si>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秋のお菓子コンテスト</t>
    <rPh sb="0" eb="1">
      <t>アキ</t>
    </rPh>
    <rPh sb="3" eb="5">
      <t>カシ</t>
    </rPh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</si>
  <si>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</si>
  <si>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</si>
  <si>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お花をモチーフにしたお菓子限定
お花をメインに使った華やかなお菓子を募集しています。
クッキー・チョコレート・ケーキ・チーズケーキ限定です。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5" eb="67">
      <t>ゲンテイ</t>
    </rPh>
    <phoneticPr fontId="2"/>
  </si>
  <si>
    <t>ケーキ限定
秋の大精霊様が年に一度開くケーキコンテストです。
自信のある豪華なケーキを見せてください！</t>
    <rPh sb="3" eb="5">
      <t>ゲンテイ</t>
    </rPh>
    <rPh sb="6" eb="7">
      <t>アキ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</si>
  <si>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エレメンタリー・ショコラティエ</t>
    <phoneticPr fontId="2"/>
  </si>
  <si>
    <t>自由課題
春エリアで行われるパティシエ中級向けのコンテスト。少し難易度高め。
春の大妖精様を讃えるお菓子を希望します。</t>
    <rPh sb="0" eb="4">
      <t>ジユウカダイ</t>
    </rPh>
    <rPh sb="5" eb="6">
      <t>ハル</t>
    </rPh>
    <rPh sb="10" eb="11">
      <t>オコナ</t>
    </rPh>
    <rPh sb="19" eb="21">
      <t>チュウキュウ</t>
    </rPh>
    <rPh sb="21" eb="22">
      <t>ム</t>
    </rPh>
    <rPh sb="30" eb="31">
      <t>スコ</t>
    </rPh>
    <rPh sb="32" eb="35">
      <t>ナンイド</t>
    </rPh>
    <rPh sb="35" eb="36">
      <t>タカ</t>
    </rPh>
    <rPh sb="39" eb="40">
      <t>ハル</t>
    </rPh>
    <rPh sb="41" eb="42">
      <t>ダイ</t>
    </rPh>
    <rPh sb="42" eb="44">
      <t>ヨウセイ</t>
    </rPh>
    <rPh sb="44" eb="45">
      <t>サマ</t>
    </rPh>
    <rPh sb="46" eb="47">
      <t>タタ</t>
    </rPh>
    <rPh sb="50" eb="52">
      <t>カシ</t>
    </rPh>
    <rPh sb="53" eb="55">
      <t>キボウ</t>
    </rPh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</si>
  <si>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</si>
  <si>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</si>
  <si>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</si>
  <si>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</si>
  <si>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</si>
  <si>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</si>
  <si>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</si>
  <si>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</si>
  <si>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</si>
  <si>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</si>
  <si>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</si>
  <si>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</si>
  <si>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</si>
  <si>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</si>
  <si>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</si>
  <si>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</si>
  <si>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</si>
  <si>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</si>
  <si>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</si>
  <si>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</si>
  <si>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</si>
  <si>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</si>
  <si>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</si>
  <si>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</si>
  <si>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</si>
  <si>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</si>
  <si>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プラムお菓子技術
コンテスト</t>
    <rPh sb="4" eb="6">
      <t>カシ</t>
    </rPh>
    <rPh sb="6" eb="8">
      <t>ギジュツ</t>
    </rPh>
    <phoneticPr fontId="2"/>
  </si>
  <si>
    <t>サマードリームス
フェスティバル</t>
    <phoneticPr fontId="2"/>
  </si>
  <si>
    <t>クレープ・ドゥ
シャノワール</t>
    <phoneticPr fontId="2"/>
  </si>
  <si>
    <t>秋のお菓子
コンテスト</t>
    <rPh sb="0" eb="1">
      <t>アキ</t>
    </rPh>
    <rPh sb="3" eb="5">
      <t>カシ</t>
    </rPh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</si>
  <si>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</si>
  <si>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</si>
  <si>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</si>
  <si>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</si>
  <si>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</si>
  <si>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</si>
  <si>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</si>
  <si>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</si>
  <si>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</si>
  <si>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</si>
  <si>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自由課題
夏エリアで行われる初級パティシエ向けのコンテスト。遊園地そばのソーダの森で開催。
森にくるお客さんを喜ばせよう！！</t>
    <rPh sb="0" eb="4">
      <t>ジユウカダイ</t>
    </rPh>
    <rPh sb="5" eb="6">
      <t>ナツ</t>
    </rPh>
    <rPh sb="10" eb="11">
      <t>オコナ</t>
    </rPh>
    <rPh sb="14" eb="16">
      <t>ショキュウ</t>
    </rPh>
    <rPh sb="21" eb="22">
      <t>ム</t>
    </rPh>
    <rPh sb="30" eb="33">
      <t>ユウエンチ</t>
    </rPh>
    <rPh sb="40" eb="41">
      <t>モリ</t>
    </rPh>
    <rPh sb="42" eb="44">
      <t>カイサイ</t>
    </rPh>
    <rPh sb="46" eb="47">
      <t>モリ</t>
    </rPh>
    <rPh sb="51" eb="52">
      <t>キャク</t>
    </rPh>
    <rPh sb="55" eb="56">
      <t>ヨロコ</t>
    </rPh>
    <phoneticPr fontId="2"/>
  </si>
  <si>
    <t>自由課題
秋エリアの風物詩的パティシエコンテストです。木枯らしを感じる季節・・いかがおすごしですか？
幅広くいろんなお菓子を募集しております！</t>
    <rPh sb="0" eb="4">
      <t>ジユウカダイ</t>
    </rPh>
    <rPh sb="5" eb="6">
      <t>アキ</t>
    </rPh>
    <rPh sb="10" eb="13">
      <t>フウブツシ</t>
    </rPh>
    <rPh sb="13" eb="14">
      <t>テキ</t>
    </rPh>
    <rPh sb="27" eb="29">
      <t>コガ</t>
    </rPh>
    <rPh sb="32" eb="33">
      <t>カン</t>
    </rPh>
    <rPh sb="35" eb="37">
      <t>キセツ</t>
    </rPh>
    <rPh sb="51" eb="53">
      <t>ハバヒロ</t>
    </rPh>
    <rPh sb="59" eb="61">
      <t>カシ</t>
    </rPh>
    <rPh sb="62" eb="64">
      <t>ボシュウ</t>
    </rPh>
    <phoneticPr fontId="2"/>
  </si>
  <si>
    <t>ContestBGMSelectHall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</si>
</sst>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opLeftCell="F1" workbookViewId="0">
      <selection activeCell="Z1" sqref="Z1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137</v>
      </c>
      <c r="E2" s="2" t="s">
        <v>6</v>
      </c>
      <c r="F2" s="2" t="s">
        <v>6</v>
      </c>
      <c r="G2" s="3" t="s">
        <v>142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0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108</v>
      </c>
      <c r="X2" s="2" t="s">
        <v>112</v>
      </c>
      <c r="Y2" s="2" t="s">
        <v>113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183</v>
      </c>
      <c r="G3" s="4" t="s">
        <v>106</v>
      </c>
      <c r="H3">
        <v>0</v>
      </c>
      <c r="I3">
        <v>2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108</v>
      </c>
      <c r="X3" t="s">
        <v>112</v>
      </c>
      <c r="Y3" t="s">
        <v>114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92</v>
      </c>
      <c r="F4" s="4" t="s">
        <v>175</v>
      </c>
      <c r="G4" s="4" t="s">
        <v>93</v>
      </c>
      <c r="H4">
        <v>0</v>
      </c>
      <c r="I4">
        <v>2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108</v>
      </c>
      <c r="X4" t="s">
        <v>112</v>
      </c>
      <c r="Y4" t="s">
        <v>114</v>
      </c>
      <c r="Z4">
        <v>0</v>
      </c>
      <c r="AA4" s="4" t="s">
        <v>107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76</v>
      </c>
      <c r="F5" s="4" t="s">
        <v>176</v>
      </c>
      <c r="G5" s="4" t="s">
        <v>96</v>
      </c>
      <c r="H5">
        <v>0</v>
      </c>
      <c r="I5">
        <v>2</v>
      </c>
      <c r="J5">
        <v>12</v>
      </c>
      <c r="K5">
        <v>31</v>
      </c>
      <c r="L5">
        <v>300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108</v>
      </c>
      <c r="X5" t="s">
        <v>112</v>
      </c>
      <c r="Y5" t="s">
        <v>114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88</v>
      </c>
      <c r="F6" t="s">
        <v>88</v>
      </c>
      <c r="G6" s="4" t="s">
        <v>94</v>
      </c>
      <c r="H6">
        <v>0</v>
      </c>
      <c r="I6">
        <v>2</v>
      </c>
      <c r="J6">
        <v>12</v>
      </c>
      <c r="K6">
        <v>31</v>
      </c>
      <c r="L6">
        <v>500</v>
      </c>
      <c r="M6">
        <v>3</v>
      </c>
      <c r="N6">
        <v>3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152</v>
      </c>
      <c r="X6" t="s">
        <v>112</v>
      </c>
      <c r="Y6" t="s">
        <v>114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89</v>
      </c>
      <c r="F7" s="4" t="s">
        <v>177</v>
      </c>
      <c r="G7" s="4" t="s">
        <v>116</v>
      </c>
      <c r="H7">
        <v>0</v>
      </c>
      <c r="I7">
        <v>3</v>
      </c>
      <c r="J7">
        <v>12</v>
      </c>
      <c r="K7">
        <v>31</v>
      </c>
      <c r="L7">
        <v>400</v>
      </c>
      <c r="M7">
        <v>3</v>
      </c>
      <c r="N7">
        <v>5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108</v>
      </c>
      <c r="X7" t="s">
        <v>112</v>
      </c>
      <c r="Y7" t="s">
        <v>114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90</v>
      </c>
      <c r="F8" s="4" t="s">
        <v>178</v>
      </c>
      <c r="G8" s="4" t="s">
        <v>117</v>
      </c>
      <c r="H8">
        <v>0</v>
      </c>
      <c r="I8">
        <v>4</v>
      </c>
      <c r="J8">
        <v>12</v>
      </c>
      <c r="K8">
        <v>31</v>
      </c>
      <c r="L8">
        <v>1000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108</v>
      </c>
      <c r="X8" t="s">
        <v>112</v>
      </c>
      <c r="Y8" t="s">
        <v>114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160</v>
      </c>
      <c r="E9" t="s">
        <v>159</v>
      </c>
      <c r="F9" t="s">
        <v>159</v>
      </c>
      <c r="G9" s="4" t="s">
        <v>164</v>
      </c>
      <c r="H9">
        <v>0</v>
      </c>
      <c r="I9">
        <v>2</v>
      </c>
      <c r="J9">
        <v>12</v>
      </c>
      <c r="K9">
        <v>31</v>
      </c>
      <c r="L9">
        <v>700</v>
      </c>
      <c r="M9">
        <v>3</v>
      </c>
      <c r="N9">
        <v>3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152</v>
      </c>
      <c r="X9" t="s">
        <v>112</v>
      </c>
      <c r="Y9" t="s">
        <v>114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73</v>
      </c>
      <c r="F10" s="4" t="s">
        <v>179</v>
      </c>
      <c r="G10" s="4" t="s">
        <v>139</v>
      </c>
      <c r="H10">
        <v>0</v>
      </c>
      <c r="I10">
        <v>3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108</v>
      </c>
      <c r="X10" t="s">
        <v>112</v>
      </c>
      <c r="Y10" t="s">
        <v>114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83</v>
      </c>
      <c r="F11" s="4" t="s">
        <v>180</v>
      </c>
      <c r="G11" s="4" t="s">
        <v>126</v>
      </c>
      <c r="H11">
        <v>0</v>
      </c>
      <c r="I11">
        <v>4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108</v>
      </c>
      <c r="X11" t="s">
        <v>112</v>
      </c>
      <c r="Y11" t="s">
        <v>114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74</v>
      </c>
      <c r="F12" s="4" t="s">
        <v>181</v>
      </c>
      <c r="G12" s="4" t="s">
        <v>144</v>
      </c>
      <c r="H12">
        <v>0</v>
      </c>
      <c r="I12">
        <v>5</v>
      </c>
      <c r="J12">
        <v>12</v>
      </c>
      <c r="K12">
        <v>31</v>
      </c>
      <c r="L12">
        <v>3000</v>
      </c>
      <c r="M12">
        <v>6</v>
      </c>
      <c r="N12">
        <v>20</v>
      </c>
      <c r="O12">
        <v>4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108</v>
      </c>
      <c r="X12" t="s">
        <v>112</v>
      </c>
      <c r="Y12" t="s">
        <v>114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182</v>
      </c>
      <c r="G13" s="4" t="s">
        <v>135</v>
      </c>
      <c r="H13">
        <v>0</v>
      </c>
      <c r="I13">
        <v>5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171</v>
      </c>
      <c r="X13" t="s">
        <v>112</v>
      </c>
      <c r="Y13" t="s">
        <v>113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3"/>
  <sheetViews>
    <sheetView tabSelected="1" topLeftCell="F1" workbookViewId="0">
      <selection activeCell="AA12" sqref="AA12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ht="35.25" customHeight="1" x14ac:dyDescent="0.4">
      <c r="A2">
        <f t="shared" ref="A2:A11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184</v>
      </c>
      <c r="G2" s="4" t="s">
        <v>124</v>
      </c>
      <c r="H2">
        <v>0</v>
      </c>
      <c r="I2">
        <v>2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165</v>
      </c>
      <c r="X2" t="s">
        <v>168</v>
      </c>
      <c r="Y2" t="s">
        <v>114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156</v>
      </c>
      <c r="E3" t="s">
        <v>155</v>
      </c>
      <c r="F3" t="s">
        <v>155</v>
      </c>
      <c r="G3" s="4" t="s">
        <v>205</v>
      </c>
      <c r="H3">
        <v>0</v>
      </c>
      <c r="I3">
        <v>2</v>
      </c>
      <c r="J3">
        <v>12</v>
      </c>
      <c r="K3">
        <v>31</v>
      </c>
      <c r="L3">
        <v>100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172</v>
      </c>
      <c r="X3" t="s">
        <v>173</v>
      </c>
      <c r="Y3" t="s">
        <v>114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101</v>
      </c>
      <c r="F4" s="4" t="s">
        <v>185</v>
      </c>
      <c r="G4" s="4" t="s">
        <v>66</v>
      </c>
      <c r="H4">
        <v>0</v>
      </c>
      <c r="I4">
        <v>2</v>
      </c>
      <c r="J4">
        <v>12</v>
      </c>
      <c r="K4">
        <v>31</v>
      </c>
      <c r="L4">
        <v>200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165</v>
      </c>
      <c r="X4" t="s">
        <v>168</v>
      </c>
      <c r="Y4" t="s">
        <v>114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99</v>
      </c>
      <c r="F5" s="4" t="s">
        <v>186</v>
      </c>
      <c r="G5" s="4" t="s">
        <v>138</v>
      </c>
      <c r="H5">
        <v>0</v>
      </c>
      <c r="I5">
        <v>3</v>
      </c>
      <c r="J5">
        <v>12</v>
      </c>
      <c r="K5">
        <v>31</v>
      </c>
      <c r="L5">
        <v>300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165</v>
      </c>
      <c r="X5" t="s">
        <v>168</v>
      </c>
      <c r="Y5" t="s">
        <v>114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150</v>
      </c>
      <c r="E6" t="s">
        <v>163</v>
      </c>
      <c r="F6" s="4" t="s">
        <v>187</v>
      </c>
      <c r="G6" s="4" t="s">
        <v>151</v>
      </c>
      <c r="H6">
        <v>0</v>
      </c>
      <c r="I6">
        <v>4</v>
      </c>
      <c r="J6">
        <v>12</v>
      </c>
      <c r="K6">
        <v>31</v>
      </c>
      <c r="L6">
        <v>500</v>
      </c>
      <c r="M6">
        <v>10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165</v>
      </c>
      <c r="X6" t="s">
        <v>168</v>
      </c>
      <c r="Y6" t="s">
        <v>114</v>
      </c>
      <c r="Z6">
        <v>1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67</v>
      </c>
      <c r="F7" s="4" t="s">
        <v>188</v>
      </c>
      <c r="G7" s="4" t="s">
        <v>143</v>
      </c>
      <c r="H7">
        <v>0</v>
      </c>
      <c r="I7">
        <v>3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165</v>
      </c>
      <c r="X7" t="s">
        <v>168</v>
      </c>
      <c r="Y7" t="s">
        <v>114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68</v>
      </c>
      <c r="F8" t="s">
        <v>68</v>
      </c>
      <c r="G8" s="4" t="s">
        <v>69</v>
      </c>
      <c r="H8">
        <v>0</v>
      </c>
      <c r="I8">
        <v>4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165</v>
      </c>
      <c r="X8" t="s">
        <v>168</v>
      </c>
      <c r="Y8" t="s">
        <v>114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30400</v>
      </c>
      <c r="C9" t="s">
        <v>1</v>
      </c>
      <c r="D9" t="s">
        <v>52</v>
      </c>
      <c r="E9" t="s">
        <v>64</v>
      </c>
      <c r="F9" s="4" t="s">
        <v>189</v>
      </c>
      <c r="G9" s="4" t="s">
        <v>145</v>
      </c>
      <c r="H9">
        <v>0</v>
      </c>
      <c r="I9">
        <v>3</v>
      </c>
      <c r="J9">
        <v>12</v>
      </c>
      <c r="K9">
        <v>31</v>
      </c>
      <c r="L9">
        <v>1000</v>
      </c>
      <c r="M9">
        <v>11</v>
      </c>
      <c r="N9">
        <v>10</v>
      </c>
      <c r="O9">
        <v>4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165</v>
      </c>
      <c r="X9" t="s">
        <v>168</v>
      </c>
      <c r="Y9" t="s">
        <v>114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20500</v>
      </c>
      <c r="C10" t="s">
        <v>1</v>
      </c>
      <c r="D10" t="s">
        <v>43</v>
      </c>
      <c r="E10" t="s">
        <v>100</v>
      </c>
      <c r="F10" t="s">
        <v>100</v>
      </c>
      <c r="G10" s="4" t="s">
        <v>102</v>
      </c>
      <c r="H10">
        <v>0</v>
      </c>
      <c r="I10">
        <v>4</v>
      </c>
      <c r="J10">
        <v>12</v>
      </c>
      <c r="K10">
        <v>31</v>
      </c>
      <c r="L10">
        <v>1500</v>
      </c>
      <c r="M10">
        <v>12</v>
      </c>
      <c r="N10">
        <v>10</v>
      </c>
      <c r="O10">
        <v>5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165</v>
      </c>
      <c r="X10" t="s">
        <v>168</v>
      </c>
      <c r="Y10" t="s">
        <v>114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20600</v>
      </c>
      <c r="C11" t="s">
        <v>1</v>
      </c>
      <c r="D11" t="s">
        <v>44</v>
      </c>
      <c r="E11" t="s">
        <v>149</v>
      </c>
      <c r="F11" s="4" t="s">
        <v>190</v>
      </c>
      <c r="G11" s="4" t="s">
        <v>103</v>
      </c>
      <c r="H11">
        <v>0</v>
      </c>
      <c r="I11">
        <v>3</v>
      </c>
      <c r="J11">
        <v>12</v>
      </c>
      <c r="K11">
        <v>31</v>
      </c>
      <c r="L11">
        <v>1500</v>
      </c>
      <c r="M11">
        <v>13</v>
      </c>
      <c r="N11">
        <v>15</v>
      </c>
      <c r="O11">
        <v>4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165</v>
      </c>
      <c r="X11" t="s">
        <v>168</v>
      </c>
      <c r="Y11" t="s">
        <v>114</v>
      </c>
      <c r="Z11">
        <v>1</v>
      </c>
      <c r="AA11" s="4" t="s">
        <v>21</v>
      </c>
      <c r="AB11">
        <v>0</v>
      </c>
    </row>
    <row r="12" spans="1:28" ht="35.25" customHeight="1" x14ac:dyDescent="0.4">
      <c r="A12">
        <f>ROW()-2+1000</f>
        <v>1010</v>
      </c>
      <c r="B12">
        <v>20700</v>
      </c>
      <c r="C12" t="s">
        <v>1</v>
      </c>
      <c r="D12" t="s">
        <v>45</v>
      </c>
      <c r="E12" t="s">
        <v>153</v>
      </c>
      <c r="F12" s="4" t="s">
        <v>191</v>
      </c>
      <c r="G12" s="4" t="s">
        <v>154</v>
      </c>
      <c r="H12">
        <v>0</v>
      </c>
      <c r="I12">
        <v>5</v>
      </c>
      <c r="J12">
        <v>12</v>
      </c>
      <c r="K12">
        <v>31</v>
      </c>
      <c r="L12">
        <v>3000</v>
      </c>
      <c r="M12">
        <v>13</v>
      </c>
      <c r="N12">
        <v>18</v>
      </c>
      <c r="O12">
        <v>5</v>
      </c>
      <c r="P12">
        <v>1</v>
      </c>
      <c r="Q12">
        <v>99</v>
      </c>
      <c r="R12">
        <v>1</v>
      </c>
      <c r="S12">
        <v>0</v>
      </c>
      <c r="T12">
        <v>5</v>
      </c>
      <c r="U12">
        <v>0</v>
      </c>
      <c r="V12">
        <v>0</v>
      </c>
      <c r="W12" t="s">
        <v>165</v>
      </c>
      <c r="X12" t="s">
        <v>168</v>
      </c>
      <c r="Y12" t="s">
        <v>114</v>
      </c>
      <c r="Z12">
        <v>1</v>
      </c>
      <c r="AA12" s="4" t="s">
        <v>21</v>
      </c>
      <c r="AB12">
        <v>0</v>
      </c>
    </row>
    <row r="13" spans="1:28" ht="30" customHeight="1" x14ac:dyDescent="0.4">
      <c r="A13">
        <f>ROW()-2+1000</f>
        <v>1011</v>
      </c>
      <c r="B13">
        <v>2000</v>
      </c>
      <c r="C13" t="s">
        <v>1</v>
      </c>
      <c r="D13" t="s">
        <v>37</v>
      </c>
      <c r="E13" t="s">
        <v>136</v>
      </c>
      <c r="F13" s="4" t="s">
        <v>192</v>
      </c>
      <c r="G13" s="4" t="s">
        <v>140</v>
      </c>
      <c r="H13">
        <v>0</v>
      </c>
      <c r="I13">
        <v>5</v>
      </c>
      <c r="J13">
        <v>12</v>
      </c>
      <c r="K13">
        <v>31</v>
      </c>
      <c r="L13">
        <v>0</v>
      </c>
      <c r="M13">
        <v>200</v>
      </c>
      <c r="N13">
        <v>12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165</v>
      </c>
      <c r="X13" t="s">
        <v>168</v>
      </c>
      <c r="Y13" t="s">
        <v>113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2"/>
  <sheetViews>
    <sheetView topLeftCell="F1" workbookViewId="0">
      <selection activeCell="Z1" sqref="Z1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ht="35.25" customHeight="1" x14ac:dyDescent="0.4">
      <c r="A2">
        <f t="shared" ref="A2:A8" si="0">ROW()-2+2000</f>
        <v>2000</v>
      </c>
      <c r="B2">
        <v>30000</v>
      </c>
      <c r="C2" t="s">
        <v>1</v>
      </c>
      <c r="D2" t="s">
        <v>48</v>
      </c>
      <c r="E2" t="s">
        <v>75</v>
      </c>
      <c r="F2" s="4" t="s">
        <v>193</v>
      </c>
      <c r="G2" s="4" t="s">
        <v>97</v>
      </c>
      <c r="H2">
        <v>0</v>
      </c>
      <c r="I2">
        <v>1</v>
      </c>
      <c r="J2">
        <v>12</v>
      </c>
      <c r="K2">
        <v>31</v>
      </c>
      <c r="L2">
        <v>300</v>
      </c>
      <c r="M2">
        <v>1</v>
      </c>
      <c r="N2">
        <v>0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166</v>
      </c>
      <c r="X2" t="s">
        <v>169</v>
      </c>
      <c r="Y2" t="s">
        <v>114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157</v>
      </c>
      <c r="E3" t="s">
        <v>158</v>
      </c>
      <c r="F3" s="4" t="s">
        <v>194</v>
      </c>
      <c r="G3" s="4" t="s">
        <v>206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0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166</v>
      </c>
      <c r="X3" t="s">
        <v>169</v>
      </c>
      <c r="Y3" t="s">
        <v>114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82</v>
      </c>
      <c r="F4" s="4" t="s">
        <v>195</v>
      </c>
      <c r="G4" s="4" t="s">
        <v>125</v>
      </c>
      <c r="H4">
        <v>0</v>
      </c>
      <c r="I4">
        <v>2</v>
      </c>
      <c r="J4">
        <v>12</v>
      </c>
      <c r="K4">
        <v>31</v>
      </c>
      <c r="L4">
        <v>500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166</v>
      </c>
      <c r="X4" t="s">
        <v>169</v>
      </c>
      <c r="Y4" t="s">
        <v>114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87</v>
      </c>
      <c r="F5" s="4" t="s">
        <v>196</v>
      </c>
      <c r="G5" s="4" t="s">
        <v>123</v>
      </c>
      <c r="H5">
        <v>0</v>
      </c>
      <c r="I5">
        <v>3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166</v>
      </c>
      <c r="X5" t="s">
        <v>169</v>
      </c>
      <c r="Y5" t="s">
        <v>114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>ROW()-2+2000</f>
        <v>2004</v>
      </c>
      <c r="B6">
        <v>30500</v>
      </c>
      <c r="C6" t="s">
        <v>1</v>
      </c>
      <c r="D6" t="s">
        <v>53</v>
      </c>
      <c r="E6" t="s">
        <v>85</v>
      </c>
      <c r="F6" t="s">
        <v>85</v>
      </c>
      <c r="G6" s="4" t="s">
        <v>146</v>
      </c>
      <c r="H6">
        <v>0</v>
      </c>
      <c r="I6">
        <v>5</v>
      </c>
      <c r="J6">
        <v>12</v>
      </c>
      <c r="K6">
        <v>31</v>
      </c>
      <c r="L6">
        <v>1200</v>
      </c>
      <c r="M6">
        <v>21</v>
      </c>
      <c r="N6">
        <v>23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166</v>
      </c>
      <c r="X6" t="s">
        <v>169</v>
      </c>
      <c r="Y6" t="s">
        <v>114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40300</v>
      </c>
      <c r="C7" t="s">
        <v>1</v>
      </c>
      <c r="D7" t="s">
        <v>59</v>
      </c>
      <c r="E7" t="s">
        <v>98</v>
      </c>
      <c r="F7" t="s">
        <v>98</v>
      </c>
      <c r="G7" s="4" t="s">
        <v>161</v>
      </c>
      <c r="H7">
        <v>0</v>
      </c>
      <c r="I7">
        <v>2</v>
      </c>
      <c r="J7">
        <v>12</v>
      </c>
      <c r="K7">
        <v>31</v>
      </c>
      <c r="L7">
        <v>600</v>
      </c>
      <c r="M7">
        <v>21</v>
      </c>
      <c r="N7">
        <v>20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167</v>
      </c>
      <c r="X7" t="s">
        <v>170</v>
      </c>
      <c r="Y7" t="s">
        <v>114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86</v>
      </c>
      <c r="F8" s="4" t="s">
        <v>197</v>
      </c>
      <c r="G8" s="4" t="s">
        <v>147</v>
      </c>
      <c r="H8">
        <v>0</v>
      </c>
      <c r="I8">
        <v>3</v>
      </c>
      <c r="J8">
        <v>12</v>
      </c>
      <c r="K8">
        <v>31</v>
      </c>
      <c r="L8">
        <v>1500</v>
      </c>
      <c r="M8">
        <v>22</v>
      </c>
      <c r="N8">
        <v>30</v>
      </c>
      <c r="O8">
        <v>5</v>
      </c>
      <c r="P8">
        <v>1</v>
      </c>
      <c r="Q8">
        <v>99</v>
      </c>
      <c r="R8">
        <v>1</v>
      </c>
      <c r="S8">
        <v>0</v>
      </c>
      <c r="T8">
        <v>5</v>
      </c>
      <c r="U8">
        <v>0</v>
      </c>
      <c r="V8">
        <v>0</v>
      </c>
      <c r="W8" t="s">
        <v>166</v>
      </c>
      <c r="X8" t="s">
        <v>169</v>
      </c>
      <c r="Y8" t="s">
        <v>114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ref="A9:A10" si="1">ROW()-2+2000</f>
        <v>2007</v>
      </c>
      <c r="B9">
        <v>10600</v>
      </c>
      <c r="C9" t="s">
        <v>1</v>
      </c>
      <c r="D9" t="s">
        <v>33</v>
      </c>
      <c r="E9" t="s">
        <v>84</v>
      </c>
      <c r="F9" t="s">
        <v>84</v>
      </c>
      <c r="G9" s="4" t="s">
        <v>162</v>
      </c>
      <c r="H9">
        <v>0</v>
      </c>
      <c r="I9">
        <v>5</v>
      </c>
      <c r="J9">
        <v>12</v>
      </c>
      <c r="K9">
        <v>31</v>
      </c>
      <c r="L9">
        <v>2000</v>
      </c>
      <c r="M9">
        <v>22</v>
      </c>
      <c r="N9">
        <v>25</v>
      </c>
      <c r="O9">
        <v>4</v>
      </c>
      <c r="P9">
        <v>0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166</v>
      </c>
      <c r="X9" t="s">
        <v>169</v>
      </c>
      <c r="Y9" t="s">
        <v>114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1"/>
        <v>2008</v>
      </c>
      <c r="B10">
        <v>10700</v>
      </c>
      <c r="C10" t="s">
        <v>1</v>
      </c>
      <c r="D10" t="s">
        <v>34</v>
      </c>
      <c r="E10" t="s">
        <v>91</v>
      </c>
      <c r="F10" s="4" t="s">
        <v>198</v>
      </c>
      <c r="G10" s="4" t="s">
        <v>95</v>
      </c>
      <c r="H10">
        <v>0</v>
      </c>
      <c r="I10">
        <v>5</v>
      </c>
      <c r="J10">
        <v>12</v>
      </c>
      <c r="K10">
        <v>31</v>
      </c>
      <c r="L10">
        <v>3000</v>
      </c>
      <c r="M10">
        <v>22</v>
      </c>
      <c r="N10">
        <v>30</v>
      </c>
      <c r="O10">
        <v>5</v>
      </c>
      <c r="P10">
        <v>0</v>
      </c>
      <c r="Q10">
        <v>99</v>
      </c>
      <c r="R10">
        <v>1</v>
      </c>
      <c r="S10">
        <v>0</v>
      </c>
      <c r="T10">
        <v>5</v>
      </c>
      <c r="U10">
        <v>0</v>
      </c>
      <c r="V10">
        <v>0</v>
      </c>
      <c r="W10" t="s">
        <v>166</v>
      </c>
      <c r="X10" t="s">
        <v>169</v>
      </c>
      <c r="Y10" t="s">
        <v>114</v>
      </c>
      <c r="Z10">
        <v>0</v>
      </c>
      <c r="AA10" s="4" t="s">
        <v>21</v>
      </c>
      <c r="AB10">
        <v>0</v>
      </c>
    </row>
    <row r="11" spans="1:28" s="2" customFormat="1" ht="35.25" customHeight="1" x14ac:dyDescent="0.4">
      <c r="A11" s="2">
        <f>ROW()-2+2000</f>
        <v>2009</v>
      </c>
      <c r="B11" s="2">
        <v>30800</v>
      </c>
      <c r="C11" s="2" t="s">
        <v>1</v>
      </c>
      <c r="D11" s="2" t="s">
        <v>118</v>
      </c>
      <c r="E11" s="2" t="s">
        <v>119</v>
      </c>
      <c r="F11" s="2" t="s">
        <v>119</v>
      </c>
      <c r="G11" s="3" t="s">
        <v>122</v>
      </c>
      <c r="H11" s="2">
        <v>0</v>
      </c>
      <c r="I11" s="2">
        <v>5</v>
      </c>
      <c r="J11" s="2">
        <v>12</v>
      </c>
      <c r="K11" s="2">
        <v>31</v>
      </c>
      <c r="L11" s="2">
        <v>3000</v>
      </c>
      <c r="M11" s="2">
        <v>9999</v>
      </c>
      <c r="N11" s="2">
        <v>25</v>
      </c>
      <c r="O11" s="2">
        <v>3</v>
      </c>
      <c r="P11" s="2">
        <v>0</v>
      </c>
      <c r="Q11" s="2">
        <v>99</v>
      </c>
      <c r="R11" s="2">
        <v>1</v>
      </c>
      <c r="S11" s="2">
        <v>0</v>
      </c>
      <c r="T11" s="2">
        <v>5</v>
      </c>
      <c r="U11" s="2">
        <v>0</v>
      </c>
      <c r="V11" s="2">
        <v>0</v>
      </c>
      <c r="W11" s="2" t="s">
        <v>166</v>
      </c>
      <c r="X11" s="2" t="s">
        <v>115</v>
      </c>
      <c r="Y11" s="2" t="s">
        <v>114</v>
      </c>
      <c r="Z11" s="2">
        <v>0</v>
      </c>
      <c r="AA11" s="3" t="s">
        <v>21</v>
      </c>
      <c r="AB11" s="2">
        <v>0</v>
      </c>
    </row>
    <row r="12" spans="1:28" ht="30" customHeight="1" x14ac:dyDescent="0.4">
      <c r="A12">
        <f>ROW()-2+2000</f>
        <v>2010</v>
      </c>
      <c r="B12">
        <v>3000</v>
      </c>
      <c r="C12" t="s">
        <v>1</v>
      </c>
      <c r="D12" t="s">
        <v>46</v>
      </c>
      <c r="E12" t="s">
        <v>132</v>
      </c>
      <c r="F12" t="s">
        <v>132</v>
      </c>
      <c r="G12" s="4" t="s">
        <v>148</v>
      </c>
      <c r="H12">
        <v>0</v>
      </c>
      <c r="I12">
        <v>5</v>
      </c>
      <c r="J12">
        <v>12</v>
      </c>
      <c r="K12">
        <v>31</v>
      </c>
      <c r="L12">
        <v>0</v>
      </c>
      <c r="M12">
        <v>300</v>
      </c>
      <c r="N12">
        <v>18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166</v>
      </c>
      <c r="X12" t="s">
        <v>169</v>
      </c>
      <c r="Y12" t="s">
        <v>141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F1" workbookViewId="0">
      <selection activeCell="Z2" sqref="Z2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5" t="s">
        <v>70</v>
      </c>
      <c r="G2" s="6" t="s">
        <v>133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167</v>
      </c>
      <c r="X2" s="5" t="s">
        <v>170</v>
      </c>
      <c r="Y2" s="5" t="s">
        <v>114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81</v>
      </c>
      <c r="F3" s="6" t="s">
        <v>199</v>
      </c>
      <c r="G3" s="6" t="s">
        <v>120</v>
      </c>
      <c r="H3" s="5">
        <v>0</v>
      </c>
      <c r="I3" s="5">
        <v>2</v>
      </c>
      <c r="J3" s="5">
        <v>12</v>
      </c>
      <c r="K3" s="5">
        <v>31</v>
      </c>
      <c r="L3" s="5">
        <v>500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167</v>
      </c>
      <c r="X3" s="5" t="s">
        <v>170</v>
      </c>
      <c r="Y3" s="5" t="s">
        <v>114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80</v>
      </c>
      <c r="F4" s="6" t="s">
        <v>200</v>
      </c>
      <c r="G4" s="6" t="s">
        <v>71</v>
      </c>
      <c r="H4" s="5">
        <v>0</v>
      </c>
      <c r="I4" s="5">
        <v>3</v>
      </c>
      <c r="J4" s="5">
        <v>12</v>
      </c>
      <c r="K4" s="5">
        <v>31</v>
      </c>
      <c r="L4" s="5">
        <v>700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167</v>
      </c>
      <c r="X4" s="5" t="s">
        <v>170</v>
      </c>
      <c r="Y4" s="5" t="s">
        <v>114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127</v>
      </c>
      <c r="F5" s="6" t="s">
        <v>201</v>
      </c>
      <c r="G5" s="6" t="s">
        <v>128</v>
      </c>
      <c r="H5" s="5">
        <v>0</v>
      </c>
      <c r="I5" s="5">
        <v>3</v>
      </c>
      <c r="J5" s="5">
        <v>12</v>
      </c>
      <c r="K5" s="5">
        <v>31</v>
      </c>
      <c r="L5" s="5">
        <v>700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167</v>
      </c>
      <c r="X5" s="5" t="s">
        <v>170</v>
      </c>
      <c r="Y5" s="5" t="s">
        <v>114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77</v>
      </c>
      <c r="F6" s="5" t="s">
        <v>77</v>
      </c>
      <c r="G6" s="6" t="s">
        <v>78</v>
      </c>
      <c r="H6" s="5">
        <v>0</v>
      </c>
      <c r="I6" s="5">
        <v>5</v>
      </c>
      <c r="J6" s="5">
        <v>12</v>
      </c>
      <c r="K6" s="5">
        <v>31</v>
      </c>
      <c r="L6" s="5">
        <v>1000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167</v>
      </c>
      <c r="X6" s="5" t="s">
        <v>170</v>
      </c>
      <c r="Y6" s="5" t="s">
        <v>114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79</v>
      </c>
      <c r="F7" s="6" t="s">
        <v>202</v>
      </c>
      <c r="G7" s="6" t="s">
        <v>129</v>
      </c>
      <c r="H7" s="5">
        <v>0</v>
      </c>
      <c r="I7" s="5">
        <v>5</v>
      </c>
      <c r="J7" s="5">
        <v>12</v>
      </c>
      <c r="K7" s="5">
        <v>31</v>
      </c>
      <c r="L7" s="5">
        <v>1500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167</v>
      </c>
      <c r="X7" s="5" t="s">
        <v>170</v>
      </c>
      <c r="Y7" s="5" t="s">
        <v>114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121</v>
      </c>
      <c r="F8" s="6" t="s">
        <v>204</v>
      </c>
      <c r="G8" s="6" t="s">
        <v>130</v>
      </c>
      <c r="H8" s="5">
        <v>0</v>
      </c>
      <c r="I8" s="5">
        <v>6</v>
      </c>
      <c r="J8" s="5">
        <v>12</v>
      </c>
      <c r="K8" s="5">
        <v>31</v>
      </c>
      <c r="L8" s="5">
        <v>3000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167</v>
      </c>
      <c r="X8" s="5" t="s">
        <v>170</v>
      </c>
      <c r="Y8" s="5" t="s">
        <v>114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131</v>
      </c>
      <c r="F9" s="6" t="s">
        <v>203</v>
      </c>
      <c r="G9" s="6" t="s">
        <v>134</v>
      </c>
      <c r="H9" s="5">
        <v>0</v>
      </c>
      <c r="I9" s="5">
        <v>5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167</v>
      </c>
      <c r="X9" s="5" t="s">
        <v>170</v>
      </c>
      <c r="Y9" s="5" t="s">
        <v>113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2025-05-21T01:49:31Z</dcterms:modified>
</cp:coreProperties>
</file>