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7BD26B0-B079-4933-B35D-55DA5ACD83E5}" xr6:coauthVersionLast="47" xr6:coauthVersionMax="47" xr10:uidLastSave="{00000000-0000-0000-0000-000000000000}"/>
  <bookViews>
    <workbookView xWindow="1080" yWindow="1080" windowWidth="25560" windowHeight="14325" activeTab="1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2" l="1"/>
  <c r="A9" i="2"/>
  <c r="A12" i="1"/>
  <c r="A11" i="1"/>
  <c r="A10" i="3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8" i="2"/>
  <c r="A7" i="2"/>
  <c r="A6" i="2"/>
  <c r="A5" i="2"/>
  <c r="A4" i="2"/>
  <c r="A3" i="2"/>
  <c r="A2" i="2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<sst xmlns="http://schemas.openxmlformats.org/spreadsheetml/2006/main" count="416" uniqueCount="159">
  <si>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</si>
  <si>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</si>
  <si>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</si>
  <si>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</si>
  <si>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</si>
  <si>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</si>
  <si>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</si>
  <si>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</si>
  <si>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</si>
  <si>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</si>
  <si>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</si>
  <si>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</si>
  <si>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</si>
  <si>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</si>
  <si>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</si>
  <si>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</si>
  <si>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</si>
  <si>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</si>
  <si>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</si>
  <si>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</si>
  <si>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</si>
  <si>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</si>
  <si>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</si>
  <si>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</si>
  <si>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</si>
  <si>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</si>
  <si>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</si>
  <si>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</si>
  <si>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</si>
  <si>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</si>
  <si>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</si>
  <si>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</si>
  <si>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</si>
  <si>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</si>
  <si>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</si>
  <si>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</si>
  <si>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</si>
  <si>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</si>
  <si>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</si>
  <si>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</si>
  <si>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</si>
  <si>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</si>
  <si>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</si>
  <si>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</si>
  <si>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</si>
  <si>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</si>
  <si>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</si>
  <si>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</si>
  <si>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</si>
  <si>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</si>
  <si>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</si>
  <si>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</si>
  <si>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</si>
  <si>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</si>
  <si>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</si>
  <si>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</si>
  <si>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</si>
  <si>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</si>
  <si>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</si>
  <si>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</si>
  <si>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</si>
  <si>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</si>
  <si>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</si>
  <si>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</si>
  <si>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</si>
  <si>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</si>
  <si>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</si>
  <si>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</si>
  <si>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</si>
  <si>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</si>
  <si>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</si>
  <si>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</si>
  <si>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</si>
  <si>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</si>
  <si>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</si>
  <si>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</si>
  <si>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</si>
  <si>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</si>
  <si>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</si>
  <si>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</si>
  <si>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</si>
  <si>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</si>
  <si>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</si>
  <si>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</si>
  <si>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</si>
  <si>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</si>
  <si>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</si>
  <si>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</si>
  <si>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</si>
  <si>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</si>
  <si>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</si>
  <si>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</si>
  <si>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</si>
  <si>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</si>
  <si>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</si>
  <si>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</si>
  <si>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</si>
  <si>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</si>
  <si>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</si>
  <si>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</si>
  <si>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</si>
  <si>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</si>
  <si>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</si>
  <si>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</si>
  <si>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</si>
  <si>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</si>
  <si>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</si>
  <si>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</si>
  <si>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</si>
  <si>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</si>
  <si>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</si>
  <si>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</si>
  <si>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</si>
  <si>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</si>
  <si>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</si>
  <si>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</si>
  <si>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</si>
  <si>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</si>
  <si>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</si>
  <si>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</si>
  <si>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</si>
  <si>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</si>
  <si>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</si>
  <si>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</si>
  <si>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</si>
  <si>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</si>
  <si>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</si>
  <si>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</si>
  <si>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</si>
  <si>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</si>
  <si>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</si>
  <si>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</si>
  <si>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</si>
  <si>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</si>
  <si>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</si>
  <si>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</si>
  <si>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</si>
  <si>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</si>
  <si>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</si>
  <si>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</si>
  <si>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</si>
  <si>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</si>
  <si>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</si>
  <si>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</si>
  <si>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</si>
  <si>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</si>
  <si>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</si>
  <si>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</si>
  <si>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黄色は、まだコンテスト優勝者セリフいれてない</t>
    <rPh sb="0" eb="2">
      <t>キイロ</t>
    </rPh>
    <rPh sb="11" eb="14">
      <t>ユウショウシャ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</si>
  <si>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</si>
  <si>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</si>
  <si>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</si>
  <si>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</si>
  <si>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</si>
  <si>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見た目が派手なお菓子限定
名門ハイネ家の招待パーティーに飾るお菓子を募集しています。
パーティーの目玉になる、派手な見た目のお菓子が希望ですわ♪</t>
    <rPh sb="0" eb="1">
      <t>ミ</t>
    </rPh>
    <rPh sb="2" eb="3">
      <t>メ</t>
    </rPh>
    <rPh sb="4" eb="6">
      <t>ハデ</t>
    </rPh>
    <rPh sb="8" eb="10">
      <t>カシ</t>
    </rPh>
    <rPh sb="10" eb="12">
      <t>ゲンテイ</t>
    </rPh>
    <rPh sb="13" eb="15">
      <t>メイモン</t>
    </rPh>
    <rPh sb="18" eb="19">
      <t>ケ</t>
    </rPh>
    <rPh sb="20" eb="22">
      <t>ショウタイ</t>
    </rPh>
    <rPh sb="28" eb="29">
      <t>カザ</t>
    </rPh>
    <rPh sb="31" eb="33">
      <t>カシ</t>
    </rPh>
    <rPh sb="34" eb="36">
      <t>ボシュウ</t>
    </rPh>
    <rPh sb="49" eb="51">
      <t>メダマ</t>
    </rPh>
    <rPh sb="55" eb="57">
      <t>ハデ</t>
    </rPh>
    <rPh sb="58" eb="59">
      <t>ミ</t>
    </rPh>
    <rPh sb="60" eb="61">
      <t>メ</t>
    </rPh>
    <rPh sb="63" eb="65">
      <t>カシ</t>
    </rPh>
    <rPh sb="66" eb="68">
      <t>キボウ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</si>
  <si>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</si>
  <si>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</si>
  <si>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◆おかしの国際コンクール◆
テーマ：自由課題
優勝者には、特別レシピを進呈します。自信のあるお菓子で参加してください！</t>
    <rPh sb="5" eb="7">
      <t>コクサイ</t>
    </rPh>
    <rPh sb="23" eb="26">
      <t>ユウショウシャ</t>
    </rPh>
    <rPh sb="29" eb="31">
      <t>トクベツ</t>
    </rPh>
    <rPh sb="35" eb="37">
      <t>シンテイ</t>
    </rPh>
    <rPh sb="41" eb="43">
      <t>ジシン</t>
    </rPh>
    <rPh sb="47" eb="49">
      <t>カシ</t>
    </rPh>
    <rPh sb="50" eb="52">
      <t>サンカ</t>
    </rPh>
    <phoneticPr fontId="2"/>
  </si>
  <si>
    <t>sound73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</si>
</sst>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workbookViewId="0">
      <selection activeCell="N11" sqref="N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9999</v>
      </c>
      <c r="C2" s="2" t="s">
        <v>1</v>
      </c>
      <c r="D2" s="2" t="s">
        <v>152</v>
      </c>
      <c r="E2" s="2" t="s">
        <v>6</v>
      </c>
      <c r="F2" s="3" t="s">
        <v>148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110</v>
      </c>
      <c r="W2" s="2" t="s">
        <v>114</v>
      </c>
      <c r="X2" s="2" t="s">
        <v>115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108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110</v>
      </c>
      <c r="W3" t="s">
        <v>114</v>
      </c>
      <c r="X3" t="s">
        <v>116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3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110</v>
      </c>
      <c r="W4" t="s">
        <v>114</v>
      </c>
      <c r="X4" t="s">
        <v>116</v>
      </c>
      <c r="Y4" s="4" t="s">
        <v>109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77</v>
      </c>
      <c r="F5" s="4" t="s">
        <v>98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3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110</v>
      </c>
      <c r="W5" t="s">
        <v>114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131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110</v>
      </c>
      <c r="W6" t="s">
        <v>114</v>
      </c>
      <c r="X6" t="s">
        <v>116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8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110</v>
      </c>
      <c r="W7" t="s">
        <v>114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123</v>
      </c>
      <c r="G8">
        <v>0</v>
      </c>
      <c r="H8">
        <v>3</v>
      </c>
      <c r="I8">
        <v>12</v>
      </c>
      <c r="J8">
        <v>31</v>
      </c>
      <c r="K8">
        <v>500</v>
      </c>
      <c r="L8">
        <v>3</v>
      </c>
      <c r="M8">
        <v>8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110</v>
      </c>
      <c r="W8" t="s">
        <v>114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124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15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110</v>
      </c>
      <c r="W9" t="s">
        <v>114</v>
      </c>
      <c r="X9" t="s">
        <v>116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132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20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110</v>
      </c>
      <c r="W10" t="s">
        <v>114</v>
      </c>
      <c r="X10" t="s">
        <v>116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93</v>
      </c>
      <c r="F11" s="4" t="s">
        <v>97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20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110</v>
      </c>
      <c r="W11" t="s">
        <v>114</v>
      </c>
      <c r="X11" t="s">
        <v>116</v>
      </c>
      <c r="Y11" s="4" t="s">
        <v>21</v>
      </c>
      <c r="Z11">
        <v>0</v>
      </c>
    </row>
    <row r="12" spans="1:26" s="5" customFormat="1" ht="30" customHeight="1" x14ac:dyDescent="0.4">
      <c r="A12" s="5">
        <f>ROW()-2</f>
        <v>10</v>
      </c>
      <c r="B12" s="5">
        <v>1000</v>
      </c>
      <c r="C12" s="5" t="s">
        <v>1</v>
      </c>
      <c r="D12" s="5" t="s">
        <v>7</v>
      </c>
      <c r="E12" s="5" t="s">
        <v>29</v>
      </c>
      <c r="F12" s="6" t="s">
        <v>150</v>
      </c>
      <c r="G12" s="5">
        <v>0</v>
      </c>
      <c r="H12" s="5">
        <v>5</v>
      </c>
      <c r="I12" s="5">
        <v>12</v>
      </c>
      <c r="J12" s="5">
        <v>31</v>
      </c>
      <c r="K12" s="5">
        <v>0</v>
      </c>
      <c r="L12" s="5">
        <v>100</v>
      </c>
      <c r="M12" s="5">
        <v>7</v>
      </c>
      <c r="N12" s="5">
        <v>5</v>
      </c>
      <c r="O12" s="5">
        <v>1</v>
      </c>
      <c r="P12" s="5">
        <v>99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 t="s">
        <v>110</v>
      </c>
      <c r="W12" s="5" t="s">
        <v>114</v>
      </c>
      <c r="X12" s="5" t="s">
        <v>115</v>
      </c>
      <c r="Y12" s="6" t="s">
        <v>20</v>
      </c>
      <c r="Z1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tabSelected="1" workbookViewId="0">
      <selection activeCell="N9" sqref="N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8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133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1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117</v>
      </c>
      <c r="W2" t="s">
        <v>120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103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3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117</v>
      </c>
      <c r="W3" t="s">
        <v>120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101</v>
      </c>
      <c r="F4" s="4" t="s">
        <v>153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117</v>
      </c>
      <c r="W4" t="s">
        <v>120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67</v>
      </c>
      <c r="F5" s="4" t="s">
        <v>134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7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117</v>
      </c>
      <c r="W5" t="s">
        <v>120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68</v>
      </c>
      <c r="F6" s="4" t="s">
        <v>69</v>
      </c>
      <c r="G6">
        <v>0</v>
      </c>
      <c r="H6">
        <v>4</v>
      </c>
      <c r="I6">
        <v>12</v>
      </c>
      <c r="J6">
        <v>31</v>
      </c>
      <c r="K6">
        <v>1000</v>
      </c>
      <c r="L6">
        <v>11</v>
      </c>
      <c r="M6">
        <v>10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117</v>
      </c>
      <c r="W6" t="s">
        <v>120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102</v>
      </c>
      <c r="F7" s="4" t="s">
        <v>104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15</v>
      </c>
      <c r="N7">
        <v>4</v>
      </c>
      <c r="O7">
        <v>1</v>
      </c>
      <c r="P7">
        <v>99</v>
      </c>
      <c r="Q7">
        <v>1</v>
      </c>
      <c r="R7">
        <v>0</v>
      </c>
      <c r="S7">
        <v>7</v>
      </c>
      <c r="T7">
        <v>0</v>
      </c>
      <c r="U7">
        <v>0</v>
      </c>
      <c r="V7" t="s">
        <v>117</v>
      </c>
      <c r="W7" t="s">
        <v>120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75</v>
      </c>
      <c r="F8" s="4" t="s">
        <v>105</v>
      </c>
      <c r="G8">
        <v>0</v>
      </c>
      <c r="H8">
        <v>3</v>
      </c>
      <c r="I8">
        <v>12</v>
      </c>
      <c r="J8">
        <v>31</v>
      </c>
      <c r="K8">
        <v>2000</v>
      </c>
      <c r="L8">
        <v>12</v>
      </c>
      <c r="M8">
        <v>20</v>
      </c>
      <c r="N8">
        <v>4</v>
      </c>
      <c r="O8">
        <v>1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117</v>
      </c>
      <c r="W8" t="s">
        <v>120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>ROW()-2+1000</f>
        <v>1007</v>
      </c>
      <c r="B9">
        <v>20700</v>
      </c>
      <c r="C9" t="s">
        <v>1</v>
      </c>
      <c r="D9" t="s">
        <v>45</v>
      </c>
      <c r="E9" t="s">
        <v>88</v>
      </c>
      <c r="F9" s="4" t="s">
        <v>135</v>
      </c>
      <c r="G9">
        <v>0</v>
      </c>
      <c r="H9">
        <v>5</v>
      </c>
      <c r="I9">
        <v>12</v>
      </c>
      <c r="J9">
        <v>31</v>
      </c>
      <c r="K9">
        <v>5000</v>
      </c>
      <c r="L9">
        <v>12</v>
      </c>
      <c r="M9">
        <v>35</v>
      </c>
      <c r="N9">
        <v>5</v>
      </c>
      <c r="O9">
        <v>1</v>
      </c>
      <c r="P9">
        <v>99</v>
      </c>
      <c r="Q9">
        <v>1</v>
      </c>
      <c r="R9">
        <v>0</v>
      </c>
      <c r="S9">
        <v>0</v>
      </c>
      <c r="T9">
        <v>0</v>
      </c>
      <c r="U9">
        <v>0</v>
      </c>
      <c r="V9" t="s">
        <v>117</v>
      </c>
      <c r="W9" t="s">
        <v>120</v>
      </c>
      <c r="X9" t="s">
        <v>116</v>
      </c>
      <c r="Y9" s="4" t="s">
        <v>21</v>
      </c>
      <c r="Z9">
        <v>0</v>
      </c>
    </row>
    <row r="10" spans="1:26" s="5" customFormat="1" ht="30" customHeight="1" x14ac:dyDescent="0.4">
      <c r="A10" s="5">
        <f>ROW()-2+1000</f>
        <v>1008</v>
      </c>
      <c r="B10" s="5">
        <v>2000</v>
      </c>
      <c r="C10" s="5" t="s">
        <v>1</v>
      </c>
      <c r="D10" s="5" t="s">
        <v>37</v>
      </c>
      <c r="E10" s="5" t="s">
        <v>151</v>
      </c>
      <c r="F10" s="6" t="s">
        <v>156</v>
      </c>
      <c r="G10" s="5">
        <v>0</v>
      </c>
      <c r="H10" s="5">
        <v>5</v>
      </c>
      <c r="I10" s="5">
        <v>12</v>
      </c>
      <c r="J10" s="5">
        <v>31</v>
      </c>
      <c r="K10" s="5">
        <v>0</v>
      </c>
      <c r="L10" s="5">
        <v>200</v>
      </c>
      <c r="M10" s="5">
        <v>15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117</v>
      </c>
      <c r="W10" s="5" t="s">
        <v>120</v>
      </c>
      <c r="X10" s="5" t="s">
        <v>115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L12" sqref="L1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76</v>
      </c>
      <c r="F2" s="4" t="s">
        <v>99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118</v>
      </c>
      <c r="W2" t="s">
        <v>122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83</v>
      </c>
      <c r="F3" s="4" t="s">
        <v>136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118</v>
      </c>
      <c r="W3" t="s">
        <v>122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73</v>
      </c>
      <c r="F4" s="4" t="s">
        <v>155</v>
      </c>
      <c r="G4">
        <v>0</v>
      </c>
      <c r="H4">
        <v>3</v>
      </c>
      <c r="I4">
        <v>12</v>
      </c>
      <c r="J4">
        <v>31</v>
      </c>
      <c r="K4">
        <v>1200</v>
      </c>
      <c r="L4">
        <v>20</v>
      </c>
      <c r="M4">
        <v>15</v>
      </c>
      <c r="N4">
        <v>3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118</v>
      </c>
      <c r="W4" t="s">
        <v>122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84</v>
      </c>
      <c r="F5" s="4" t="s">
        <v>137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118</v>
      </c>
      <c r="W5" t="s">
        <v>122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138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20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118</v>
      </c>
      <c r="W6" t="s">
        <v>122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86</v>
      </c>
      <c r="F7" s="4" t="s">
        <v>154</v>
      </c>
      <c r="G7">
        <v>0</v>
      </c>
      <c r="H7">
        <v>5</v>
      </c>
      <c r="I7">
        <v>12</v>
      </c>
      <c r="J7">
        <v>31</v>
      </c>
      <c r="K7">
        <v>2000</v>
      </c>
      <c r="L7">
        <v>21</v>
      </c>
      <c r="M7">
        <v>23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118</v>
      </c>
      <c r="W7" t="s">
        <v>122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87</v>
      </c>
      <c r="F8" s="4" t="s">
        <v>139</v>
      </c>
      <c r="G8">
        <v>0</v>
      </c>
      <c r="H8">
        <v>3</v>
      </c>
      <c r="I8">
        <v>12</v>
      </c>
      <c r="J8">
        <v>31</v>
      </c>
      <c r="K8">
        <v>2000</v>
      </c>
      <c r="L8">
        <v>22</v>
      </c>
      <c r="M8">
        <v>30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118</v>
      </c>
      <c r="W8" t="s">
        <v>122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74</v>
      </c>
      <c r="F9" s="4" t="s">
        <v>127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1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118</v>
      </c>
      <c r="W9" t="s">
        <v>122</v>
      </c>
      <c r="X9" t="s">
        <v>116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125</v>
      </c>
      <c r="E10" s="2" t="s">
        <v>126</v>
      </c>
      <c r="F10" s="3" t="s">
        <v>130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118</v>
      </c>
      <c r="W10" s="2" t="s">
        <v>122</v>
      </c>
      <c r="X10" s="2" t="s">
        <v>116</v>
      </c>
      <c r="Y10" s="3" t="s">
        <v>21</v>
      </c>
      <c r="Z10" s="2">
        <v>0</v>
      </c>
    </row>
    <row r="11" spans="1:26" s="5" customFormat="1" ht="30" customHeight="1" x14ac:dyDescent="0.4">
      <c r="A11" s="5">
        <f>ROW()-2+2000</f>
        <v>2009</v>
      </c>
      <c r="B11" s="5">
        <v>3000</v>
      </c>
      <c r="C11" s="5" t="s">
        <v>1</v>
      </c>
      <c r="D11" s="5" t="s">
        <v>46</v>
      </c>
      <c r="E11" s="5" t="s">
        <v>146</v>
      </c>
      <c r="F11" s="6" t="s">
        <v>157</v>
      </c>
      <c r="G11" s="5">
        <v>0</v>
      </c>
      <c r="H11" s="5">
        <v>5</v>
      </c>
      <c r="I11" s="5">
        <v>12</v>
      </c>
      <c r="J11" s="5">
        <v>31</v>
      </c>
      <c r="K11" s="5">
        <v>0</v>
      </c>
      <c r="L11" s="5">
        <v>300</v>
      </c>
      <c r="M11" s="5">
        <v>15</v>
      </c>
      <c r="N11" s="5">
        <v>5</v>
      </c>
      <c r="O11" s="5">
        <v>1</v>
      </c>
      <c r="P11" s="5">
        <v>99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 t="s">
        <v>118</v>
      </c>
      <c r="W11" s="5" t="s">
        <v>122</v>
      </c>
      <c r="X11" s="5" t="s">
        <v>158</v>
      </c>
      <c r="Y11" s="6" t="s">
        <v>20</v>
      </c>
      <c r="Z1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L11" sqref="L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ROW()-2+3000</f>
        <v>3000</v>
      </c>
      <c r="B2">
        <v>40000</v>
      </c>
      <c r="C2" t="s">
        <v>1</v>
      </c>
      <c r="D2" t="s">
        <v>56</v>
      </c>
      <c r="E2" t="s">
        <v>70</v>
      </c>
      <c r="F2" s="4" t="s">
        <v>147</v>
      </c>
      <c r="G2">
        <v>0</v>
      </c>
      <c r="H2">
        <v>1</v>
      </c>
      <c r="I2">
        <v>12</v>
      </c>
      <c r="J2">
        <v>31</v>
      </c>
      <c r="K2">
        <v>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119</v>
      </c>
      <c r="W2" t="s">
        <v>121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3001</v>
      </c>
      <c r="B3">
        <v>40100</v>
      </c>
      <c r="C3" t="s">
        <v>1</v>
      </c>
      <c r="D3" t="s">
        <v>57</v>
      </c>
      <c r="E3" t="s">
        <v>82</v>
      </c>
      <c r="F3" s="4" t="s">
        <v>128</v>
      </c>
      <c r="G3">
        <v>0</v>
      </c>
      <c r="H3">
        <v>2</v>
      </c>
      <c r="I3">
        <v>12</v>
      </c>
      <c r="J3">
        <v>31</v>
      </c>
      <c r="K3">
        <v>800</v>
      </c>
      <c r="L3">
        <v>30</v>
      </c>
      <c r="M3">
        <v>20</v>
      </c>
      <c r="N3">
        <v>3</v>
      </c>
      <c r="O3">
        <v>1</v>
      </c>
      <c r="P3">
        <v>99</v>
      </c>
      <c r="Q3">
        <v>1</v>
      </c>
      <c r="R3">
        <v>0</v>
      </c>
      <c r="S3">
        <v>5</v>
      </c>
      <c r="T3">
        <v>0</v>
      </c>
      <c r="U3">
        <v>0</v>
      </c>
      <c r="V3" t="s">
        <v>119</v>
      </c>
      <c r="W3" t="s">
        <v>121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3002</v>
      </c>
      <c r="B4">
        <v>40200</v>
      </c>
      <c r="C4" t="s">
        <v>1</v>
      </c>
      <c r="D4" t="s">
        <v>58</v>
      </c>
      <c r="E4" t="s">
        <v>81</v>
      </c>
      <c r="F4" s="4" t="s">
        <v>71</v>
      </c>
      <c r="G4">
        <v>0</v>
      </c>
      <c r="H4">
        <v>3</v>
      </c>
      <c r="I4">
        <v>12</v>
      </c>
      <c r="J4">
        <v>31</v>
      </c>
      <c r="K4">
        <v>1000</v>
      </c>
      <c r="L4">
        <v>30</v>
      </c>
      <c r="M4">
        <v>30</v>
      </c>
      <c r="N4">
        <v>4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119</v>
      </c>
      <c r="W4" t="s">
        <v>121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3003</v>
      </c>
      <c r="B5">
        <v>40300</v>
      </c>
      <c r="C5" t="s">
        <v>1</v>
      </c>
      <c r="D5" t="s">
        <v>59</v>
      </c>
      <c r="E5" t="s">
        <v>100</v>
      </c>
      <c r="F5" s="4" t="s">
        <v>140</v>
      </c>
      <c r="G5">
        <v>0</v>
      </c>
      <c r="H5">
        <v>2</v>
      </c>
      <c r="I5">
        <v>12</v>
      </c>
      <c r="J5">
        <v>31</v>
      </c>
      <c r="K5">
        <v>1200</v>
      </c>
      <c r="L5">
        <v>31</v>
      </c>
      <c r="M5">
        <v>40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121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40400</v>
      </c>
      <c r="C6" t="s">
        <v>1</v>
      </c>
      <c r="D6" t="s">
        <v>60</v>
      </c>
      <c r="E6" t="s">
        <v>141</v>
      </c>
      <c r="F6" s="4" t="s">
        <v>142</v>
      </c>
      <c r="G6">
        <v>0</v>
      </c>
      <c r="H6">
        <v>3</v>
      </c>
      <c r="I6">
        <v>12</v>
      </c>
      <c r="J6">
        <v>31</v>
      </c>
      <c r="K6">
        <v>1000</v>
      </c>
      <c r="L6">
        <v>30</v>
      </c>
      <c r="M6">
        <v>50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119</v>
      </c>
      <c r="W6" t="s">
        <v>121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40500</v>
      </c>
      <c r="C7" t="s">
        <v>1</v>
      </c>
      <c r="D7" t="s">
        <v>61</v>
      </c>
      <c r="E7" t="s">
        <v>78</v>
      </c>
      <c r="F7" s="4" t="s">
        <v>79</v>
      </c>
      <c r="G7">
        <v>0</v>
      </c>
      <c r="H7">
        <v>5</v>
      </c>
      <c r="I7">
        <v>12</v>
      </c>
      <c r="J7">
        <v>31</v>
      </c>
      <c r="K7">
        <v>700</v>
      </c>
      <c r="L7">
        <v>31</v>
      </c>
      <c r="M7">
        <v>55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119</v>
      </c>
      <c r="W7" t="s">
        <v>121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40600</v>
      </c>
      <c r="C8" t="s">
        <v>1</v>
      </c>
      <c r="D8" t="s">
        <v>62</v>
      </c>
      <c r="E8" t="s">
        <v>80</v>
      </c>
      <c r="F8" s="4" t="s">
        <v>143</v>
      </c>
      <c r="G8">
        <v>0</v>
      </c>
      <c r="H8">
        <v>5</v>
      </c>
      <c r="I8">
        <v>12</v>
      </c>
      <c r="J8">
        <v>31</v>
      </c>
      <c r="K8">
        <v>1500</v>
      </c>
      <c r="L8">
        <v>32</v>
      </c>
      <c r="M8">
        <v>60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119</v>
      </c>
      <c r="W8" t="s">
        <v>121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40700</v>
      </c>
      <c r="C9" t="s">
        <v>1</v>
      </c>
      <c r="D9" t="s">
        <v>63</v>
      </c>
      <c r="E9" t="s">
        <v>129</v>
      </c>
      <c r="F9" s="4" t="s">
        <v>144</v>
      </c>
      <c r="G9">
        <v>0</v>
      </c>
      <c r="H9">
        <v>6</v>
      </c>
      <c r="I9">
        <v>12</v>
      </c>
      <c r="J9">
        <v>31</v>
      </c>
      <c r="K9">
        <v>3000</v>
      </c>
      <c r="L9">
        <v>32</v>
      </c>
      <c r="M9">
        <v>65</v>
      </c>
      <c r="N9">
        <v>5</v>
      </c>
      <c r="O9">
        <v>1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119</v>
      </c>
      <c r="W9" t="s">
        <v>121</v>
      </c>
      <c r="X9" t="s">
        <v>116</v>
      </c>
      <c r="Y9" s="4" t="s">
        <v>21</v>
      </c>
      <c r="Z9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145</v>
      </c>
      <c r="F10" s="6" t="s">
        <v>149</v>
      </c>
      <c r="G10" s="5">
        <v>0</v>
      </c>
      <c r="H10" s="5">
        <v>5</v>
      </c>
      <c r="I10" s="5">
        <v>12</v>
      </c>
      <c r="J10" s="5">
        <v>31</v>
      </c>
      <c r="K10" s="5">
        <v>7000</v>
      </c>
      <c r="L10" s="5">
        <v>400</v>
      </c>
      <c r="M10" s="5">
        <v>30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119</v>
      </c>
      <c r="W10" s="5" t="s">
        <v>121</v>
      </c>
      <c r="X10" s="5" t="s">
        <v>115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2025-02-18T01:49:54Z</dcterms:modified>
</cp:coreProperties>
</file>