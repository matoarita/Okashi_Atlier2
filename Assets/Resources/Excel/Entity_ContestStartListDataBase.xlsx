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46EE316-A96E-4201-B5B1-821809F09F69}" xr6:coauthVersionLast="47" xr6:coauthVersionMax="47" xr10:uidLastSave="{00000000-0000-0000-0000-000000000000}"/>
  <bookViews>
    <workbookView xWindow="2730" yWindow="1245" windowWidth="25560" windowHeight="14355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" i="2" l="1"/>
  <c r="A8" i="2"/>
  <c r="A8" i="3"/>
  <c r="A7" i="3"/>
  <c r="A11" i="1"/>
  <c r="A10" i="1"/>
  <c r="A9" i="1"/>
  <c r="A4" i="3"/>
  <c r="A12" i="2"/>
  <c r="A11" i="2"/>
  <c r="A12" i="1"/>
  <c r="A9" i="3"/>
  <c r="A5" i="1"/>
  <c r="A9" i="4"/>
  <c r="A8" i="4"/>
  <c r="A7" i="4"/>
  <c r="A6" i="4"/>
  <c r="A5" i="4"/>
  <c r="A4" i="4"/>
  <c r="A3" i="4"/>
  <c r="A2" i="4"/>
  <c r="A10" i="4"/>
  <c r="A6" i="3"/>
  <c r="A5" i="3"/>
  <c r="A3" i="3"/>
  <c r="A2" i="3"/>
  <c r="A10" i="3"/>
  <c r="A10" i="2"/>
  <c r="A9" i="2"/>
  <c r="A7" i="2"/>
  <c r="A6" i="2"/>
  <c r="A4" i="2"/>
  <c r="A3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<sst xmlns="http://schemas.openxmlformats.org/spreadsheetml/2006/main" count="424" uniqueCount="162">
  <si>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</si>
  <si>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</si>
  <si>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</si>
  <si>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</si>
  <si>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</si>
  <si>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</si>
  <si>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</si>
  <si>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</si>
  <si>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</si>
  <si>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</si>
  <si>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</si>
  <si>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</si>
  <si>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</si>
  <si>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</si>
  <si>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</si>
  <si>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</si>
  <si>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</si>
  <si>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</si>
  <si>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</si>
  <si>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</si>
  <si>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</si>
  <si>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</si>
  <si>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</si>
  <si>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</si>
  <si>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</si>
  <si>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</si>
  <si>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</si>
  <si>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</si>
  <si>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</si>
  <si>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</si>
  <si>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</si>
  <si>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</si>
  <si>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</si>
  <si>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</si>
  <si>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</si>
  <si>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</si>
  <si>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</si>
  <si>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</si>
  <si>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</si>
  <si>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</si>
  <si>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</si>
  <si>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</si>
  <si>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</si>
  <si>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</si>
  <si>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</si>
  <si>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</si>
  <si>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</si>
  <si>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</si>
  <si>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</si>
  <si>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</si>
  <si>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</si>
  <si>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</si>
  <si>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</si>
  <si>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</si>
  <si>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</si>
  <si>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</si>
  <si>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</si>
  <si>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</si>
  <si>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</si>
  <si>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</si>
  <si>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</si>
  <si>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</si>
  <si>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</si>
  <si>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</si>
  <si>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</si>
  <si>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</si>
  <si>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</si>
  <si>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</si>
  <si>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</si>
  <si>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</si>
  <si>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</si>
  <si>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</si>
  <si>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</si>
  <si>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</si>
  <si>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</si>
  <si>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</si>
  <si>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</si>
  <si>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</si>
  <si>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</si>
  <si>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</si>
  <si>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</si>
  <si>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</si>
  <si>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</si>
  <si>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</si>
  <si>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</si>
  <si>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</si>
  <si>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</si>
  <si>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</si>
  <si>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</si>
  <si>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</si>
  <si>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</si>
  <si>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</si>
  <si>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</si>
  <si>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</si>
  <si>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</si>
  <si>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</si>
  <si>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</si>
  <si>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</si>
  <si>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</si>
  <si>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</si>
  <si>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</si>
  <si>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</si>
  <si>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</si>
  <si>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</si>
  <si>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</si>
  <si>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</si>
  <si>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</si>
  <si>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</si>
  <si>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</si>
  <si>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</si>
  <si>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</si>
  <si>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</si>
  <si>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</si>
  <si>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</si>
  <si>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</si>
  <si>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</si>
  <si>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</si>
  <si>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</si>
  <si>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</si>
  <si>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</si>
  <si>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</si>
  <si>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</si>
  <si>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</si>
  <si>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</si>
  <si>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</si>
  <si>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</si>
  <si>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</si>
  <si>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</si>
  <si>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</si>
  <si>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</si>
  <si>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</si>
  <si>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</si>
  <si>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</si>
  <si>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</si>
  <si>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</si>
  <si>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</si>
  <si>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</si>
  <si>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</si>
  <si>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</si>
  <si>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</si>
  <si>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</si>
  <si>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</si>
  <si>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</si>
  <si>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</si>
  <si>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</si>
  <si>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</si>
  <si>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</si>
  <si>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</si>
  <si>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ケーキ限定
春の大精霊様が年に一度開くケーキコンテストです。
自信のある豪華なケーキを見せてください！</t>
    <rPh sb="3" eb="5">
      <t>ゲンテイ</t>
    </rPh>
    <rPh sb="6" eb="7">
      <t>ハル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</si>
  <si>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</si>
  <si>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</si>
  <si>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</si>
  <si>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</si>
  <si>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</si>
  <si>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</si>
  <si>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パフェ限定
隣国プラムで行われるパフェコンテストです。
各界隈の著名人が注目するトップレベルのコンテストです。</t>
    <rPh sb="3" eb="5">
      <t>ゲンテイ</t>
    </rPh>
    <rPh sb="6" eb="8">
      <t>リンコク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</si>
  <si>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プラムアイス技術コンテスト</t>
    <rPh sb="6" eb="8">
      <t>ギジュツ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</si>
  <si>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</si>
  <si>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</si>
  <si>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</si>
  <si>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チョコレート初級コンテスト</t>
    <rPh sb="6" eb="8">
      <t>ショキュウ</t>
    </rPh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</si>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</sst>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5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workbookViewId="0">
      <selection activeCell="F7" sqref="F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2" si="0">ROW()-2</f>
        <v>0</v>
      </c>
      <c r="B2" s="2">
        <v>9999</v>
      </c>
      <c r="C2" s="2" t="s">
        <v>1</v>
      </c>
      <c r="D2" s="2" t="s">
        <v>143</v>
      </c>
      <c r="E2" s="2" t="s">
        <v>6</v>
      </c>
      <c r="F2" s="3" t="s">
        <v>149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108</v>
      </c>
      <c r="W2" s="2" t="s">
        <v>112</v>
      </c>
      <c r="X2" s="2" t="s">
        <v>113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106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108</v>
      </c>
      <c r="W3" t="s">
        <v>112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93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108</v>
      </c>
      <c r="W4" t="s">
        <v>112</v>
      </c>
      <c r="X4" t="s">
        <v>114</v>
      </c>
      <c r="Y4" s="4" t="s">
        <v>107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96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2</v>
      </c>
      <c r="T5">
        <v>0</v>
      </c>
      <c r="U5">
        <v>0</v>
      </c>
      <c r="V5" t="s">
        <v>108</v>
      </c>
      <c r="W5" t="s">
        <v>112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s="4" t="s">
        <v>94</v>
      </c>
      <c r="G6">
        <v>0</v>
      </c>
      <c r="H6">
        <v>2</v>
      </c>
      <c r="I6">
        <v>12</v>
      </c>
      <c r="J6">
        <v>31</v>
      </c>
      <c r="K6">
        <v>700</v>
      </c>
      <c r="L6">
        <v>3</v>
      </c>
      <c r="M6">
        <v>3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108</v>
      </c>
      <c r="W6" t="s">
        <v>112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121</v>
      </c>
      <c r="G7">
        <v>0</v>
      </c>
      <c r="H7">
        <v>3</v>
      </c>
      <c r="I7">
        <v>12</v>
      </c>
      <c r="J7">
        <v>31</v>
      </c>
      <c r="K7">
        <v>400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108</v>
      </c>
      <c r="W7" t="s">
        <v>112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122</v>
      </c>
      <c r="G8">
        <v>0</v>
      </c>
      <c r="H8">
        <v>4</v>
      </c>
      <c r="I8">
        <v>12</v>
      </c>
      <c r="J8">
        <v>31</v>
      </c>
      <c r="K8">
        <v>1000</v>
      </c>
      <c r="L8">
        <v>5</v>
      </c>
      <c r="M8">
        <v>10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108</v>
      </c>
      <c r="W8" t="s">
        <v>112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30200</v>
      </c>
      <c r="C9" t="s">
        <v>1</v>
      </c>
      <c r="D9" t="s">
        <v>50</v>
      </c>
      <c r="E9" t="s">
        <v>73</v>
      </c>
      <c r="F9" s="4" t="s">
        <v>145</v>
      </c>
      <c r="G9">
        <v>0</v>
      </c>
      <c r="H9">
        <v>3</v>
      </c>
      <c r="I9">
        <v>12</v>
      </c>
      <c r="J9">
        <v>31</v>
      </c>
      <c r="K9">
        <v>500</v>
      </c>
      <c r="L9">
        <v>4</v>
      </c>
      <c r="M9">
        <v>15</v>
      </c>
      <c r="N9">
        <v>3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108</v>
      </c>
      <c r="W9" t="s">
        <v>112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30300</v>
      </c>
      <c r="C10" t="s">
        <v>1</v>
      </c>
      <c r="D10" t="s">
        <v>51</v>
      </c>
      <c r="E10" t="s">
        <v>83</v>
      </c>
      <c r="F10" s="4" t="s">
        <v>131</v>
      </c>
      <c r="G10">
        <v>0</v>
      </c>
      <c r="H10">
        <v>4</v>
      </c>
      <c r="I10">
        <v>12</v>
      </c>
      <c r="J10">
        <v>31</v>
      </c>
      <c r="K10">
        <v>500</v>
      </c>
      <c r="L10">
        <v>4</v>
      </c>
      <c r="M10">
        <v>0</v>
      </c>
      <c r="N10">
        <v>3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108</v>
      </c>
      <c r="W10" t="s">
        <v>112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30700</v>
      </c>
      <c r="C11" t="s">
        <v>1</v>
      </c>
      <c r="D11" t="s">
        <v>55</v>
      </c>
      <c r="E11" t="s">
        <v>74</v>
      </c>
      <c r="F11" s="4" t="s">
        <v>151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6</v>
      </c>
      <c r="M11">
        <v>20</v>
      </c>
      <c r="N11">
        <v>4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108</v>
      </c>
      <c r="W11" t="s">
        <v>112</v>
      </c>
      <c r="X11" t="s">
        <v>114</v>
      </c>
      <c r="Y11" s="4" t="s">
        <v>21</v>
      </c>
      <c r="Z11">
        <v>0</v>
      </c>
    </row>
    <row r="12" spans="1:26" ht="30" customHeight="1" x14ac:dyDescent="0.4">
      <c r="A12">
        <f t="shared" si="0"/>
        <v>10</v>
      </c>
      <c r="B12">
        <v>1000</v>
      </c>
      <c r="C12" t="s">
        <v>1</v>
      </c>
      <c r="D12" t="s">
        <v>7</v>
      </c>
      <c r="E12" t="s">
        <v>29</v>
      </c>
      <c r="F12" s="4" t="s">
        <v>141</v>
      </c>
      <c r="G12">
        <v>0</v>
      </c>
      <c r="H12">
        <v>5</v>
      </c>
      <c r="I12">
        <v>12</v>
      </c>
      <c r="J12">
        <v>31</v>
      </c>
      <c r="K12">
        <v>0</v>
      </c>
      <c r="L12">
        <v>100</v>
      </c>
      <c r="M12">
        <v>5</v>
      </c>
      <c r="N12">
        <v>4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108</v>
      </c>
      <c r="W12" t="s">
        <v>112</v>
      </c>
      <c r="X12" t="s">
        <v>113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2"/>
  <sheetViews>
    <sheetView tabSelected="1" workbookViewId="0">
      <selection activeCell="L6" sqref="L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129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115</v>
      </c>
      <c r="W2" t="s">
        <v>118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101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115</v>
      </c>
      <c r="W3" t="s">
        <v>118</v>
      </c>
      <c r="X3" t="s">
        <v>114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99</v>
      </c>
      <c r="F4" s="4" t="s">
        <v>144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2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115</v>
      </c>
      <c r="W4" t="s">
        <v>118</v>
      </c>
      <c r="X4" t="s">
        <v>114</v>
      </c>
      <c r="Y4" s="4" t="s">
        <v>21</v>
      </c>
      <c r="Z4">
        <v>0</v>
      </c>
    </row>
    <row r="5" spans="1:26" s="7" customFormat="1" ht="35.25" customHeight="1" x14ac:dyDescent="0.4">
      <c r="A5" s="7">
        <f t="shared" si="0"/>
        <v>1003</v>
      </c>
      <c r="B5" s="7">
        <v>20800</v>
      </c>
      <c r="C5" s="7" t="s">
        <v>1</v>
      </c>
      <c r="D5" s="7" t="s">
        <v>159</v>
      </c>
      <c r="E5" s="7" t="s">
        <v>160</v>
      </c>
      <c r="F5" s="8" t="s">
        <v>161</v>
      </c>
      <c r="G5" s="7">
        <v>0</v>
      </c>
      <c r="H5" s="7">
        <v>4</v>
      </c>
      <c r="I5" s="7">
        <v>12</v>
      </c>
      <c r="J5" s="7">
        <v>31</v>
      </c>
      <c r="K5" s="7">
        <v>500</v>
      </c>
      <c r="L5" s="7">
        <v>10</v>
      </c>
      <c r="M5" s="7">
        <v>10</v>
      </c>
      <c r="N5" s="7">
        <v>3</v>
      </c>
      <c r="O5" s="7">
        <v>1</v>
      </c>
      <c r="P5" s="7">
        <v>99</v>
      </c>
      <c r="Q5" s="7">
        <v>1</v>
      </c>
      <c r="R5" s="7">
        <v>0</v>
      </c>
      <c r="S5" s="7">
        <v>3</v>
      </c>
      <c r="T5" s="7">
        <v>0</v>
      </c>
      <c r="U5" s="7">
        <v>0</v>
      </c>
      <c r="V5" s="7" t="s">
        <v>115</v>
      </c>
      <c r="W5" s="7" t="s">
        <v>118</v>
      </c>
      <c r="X5" s="7" t="s">
        <v>114</v>
      </c>
      <c r="Y5" s="8" t="s">
        <v>21</v>
      </c>
      <c r="Z5" s="7">
        <v>0</v>
      </c>
    </row>
    <row r="6" spans="1:26" ht="35.25" customHeight="1" x14ac:dyDescent="0.4">
      <c r="A6">
        <f t="shared" si="0"/>
        <v>1004</v>
      </c>
      <c r="B6">
        <v>20300</v>
      </c>
      <c r="C6" t="s">
        <v>1</v>
      </c>
      <c r="D6" t="s">
        <v>41</v>
      </c>
      <c r="E6" t="s">
        <v>67</v>
      </c>
      <c r="F6" s="4" t="s">
        <v>150</v>
      </c>
      <c r="G6">
        <v>0</v>
      </c>
      <c r="H6">
        <v>3</v>
      </c>
      <c r="I6">
        <v>12</v>
      </c>
      <c r="J6">
        <v>31</v>
      </c>
      <c r="K6">
        <v>500</v>
      </c>
      <c r="L6">
        <v>11</v>
      </c>
      <c r="M6">
        <v>7</v>
      </c>
      <c r="N6">
        <v>3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115</v>
      </c>
      <c r="W6" t="s">
        <v>118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20400</v>
      </c>
      <c r="C7" t="s">
        <v>1</v>
      </c>
      <c r="D7" t="s">
        <v>42</v>
      </c>
      <c r="E7" t="s">
        <v>68</v>
      </c>
      <c r="F7" s="4" t="s">
        <v>69</v>
      </c>
      <c r="G7">
        <v>0</v>
      </c>
      <c r="H7">
        <v>4</v>
      </c>
      <c r="I7">
        <v>12</v>
      </c>
      <c r="J7">
        <v>31</v>
      </c>
      <c r="K7">
        <v>700</v>
      </c>
      <c r="L7">
        <v>11</v>
      </c>
      <c r="M7">
        <v>10</v>
      </c>
      <c r="N7">
        <v>4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115</v>
      </c>
      <c r="W7" t="s">
        <v>118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30400</v>
      </c>
      <c r="C8" t="s">
        <v>1</v>
      </c>
      <c r="D8" t="s">
        <v>52</v>
      </c>
      <c r="E8" t="s">
        <v>64</v>
      </c>
      <c r="F8" s="4" t="s">
        <v>152</v>
      </c>
      <c r="G8">
        <v>0</v>
      </c>
      <c r="H8">
        <v>3</v>
      </c>
      <c r="I8">
        <v>12</v>
      </c>
      <c r="J8">
        <v>31</v>
      </c>
      <c r="K8">
        <v>1000</v>
      </c>
      <c r="L8">
        <v>11</v>
      </c>
      <c r="M8">
        <v>10</v>
      </c>
      <c r="N8">
        <v>4</v>
      </c>
      <c r="O8">
        <v>1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115</v>
      </c>
      <c r="W8" t="s">
        <v>118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100</v>
      </c>
      <c r="F9" s="4" t="s">
        <v>102</v>
      </c>
      <c r="G9">
        <v>0</v>
      </c>
      <c r="H9">
        <v>4</v>
      </c>
      <c r="I9">
        <v>12</v>
      </c>
      <c r="J9">
        <v>31</v>
      </c>
      <c r="K9">
        <v>1500</v>
      </c>
      <c r="L9">
        <v>12</v>
      </c>
      <c r="M9">
        <v>10</v>
      </c>
      <c r="N9">
        <v>5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115</v>
      </c>
      <c r="W9" t="s">
        <v>118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158</v>
      </c>
      <c r="F10" s="4" t="s">
        <v>103</v>
      </c>
      <c r="G10">
        <v>0</v>
      </c>
      <c r="H10">
        <v>3</v>
      </c>
      <c r="I10">
        <v>12</v>
      </c>
      <c r="J10">
        <v>31</v>
      </c>
      <c r="K10">
        <v>1500</v>
      </c>
      <c r="L10">
        <v>13</v>
      </c>
      <c r="M10">
        <v>15</v>
      </c>
      <c r="N10">
        <v>4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115</v>
      </c>
      <c r="W10" t="s">
        <v>118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>ROW()-2+1000</f>
        <v>1009</v>
      </c>
      <c r="B11">
        <v>20700</v>
      </c>
      <c r="C11" t="s">
        <v>1</v>
      </c>
      <c r="D11" t="s">
        <v>45</v>
      </c>
      <c r="E11" t="s">
        <v>156</v>
      </c>
      <c r="F11" s="4" t="s">
        <v>155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13</v>
      </c>
      <c r="M11">
        <v>18</v>
      </c>
      <c r="N11">
        <v>5</v>
      </c>
      <c r="O11">
        <v>1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115</v>
      </c>
      <c r="W11" t="s">
        <v>118</v>
      </c>
      <c r="X11" t="s">
        <v>114</v>
      </c>
      <c r="Y11" s="4" t="s">
        <v>21</v>
      </c>
      <c r="Z11">
        <v>0</v>
      </c>
    </row>
    <row r="12" spans="1:26" ht="30" customHeight="1" x14ac:dyDescent="0.4">
      <c r="A12">
        <f>ROW()-2+1000</f>
        <v>1010</v>
      </c>
      <c r="B12">
        <v>2000</v>
      </c>
      <c r="C12" t="s">
        <v>1</v>
      </c>
      <c r="D12" t="s">
        <v>37</v>
      </c>
      <c r="E12" t="s">
        <v>142</v>
      </c>
      <c r="F12" s="4" t="s">
        <v>146</v>
      </c>
      <c r="G12">
        <v>0</v>
      </c>
      <c r="H12">
        <v>5</v>
      </c>
      <c r="I12">
        <v>12</v>
      </c>
      <c r="J12">
        <v>31</v>
      </c>
      <c r="K12">
        <v>0</v>
      </c>
      <c r="L12">
        <v>200</v>
      </c>
      <c r="M12">
        <v>15</v>
      </c>
      <c r="N12">
        <v>5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115</v>
      </c>
      <c r="W12" t="s">
        <v>118</v>
      </c>
      <c r="X12" t="s">
        <v>113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0"/>
  <sheetViews>
    <sheetView workbookViewId="0">
      <selection activeCell="E3" sqref="E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97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116</v>
      </c>
      <c r="W2" t="s">
        <v>120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>ROW()-2+2000</f>
        <v>2001</v>
      </c>
      <c r="B3">
        <v>30100</v>
      </c>
      <c r="C3" t="s">
        <v>1</v>
      </c>
      <c r="D3" t="s">
        <v>49</v>
      </c>
      <c r="E3" t="s">
        <v>82</v>
      </c>
      <c r="F3" s="4" t="s">
        <v>130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116</v>
      </c>
      <c r="W3" t="s">
        <v>120</v>
      </c>
      <c r="X3" t="s">
        <v>114</v>
      </c>
      <c r="Y3" s="4" t="s">
        <v>24</v>
      </c>
      <c r="Z3">
        <v>0</v>
      </c>
    </row>
    <row r="4" spans="1:26" ht="35.25" customHeight="1" x14ac:dyDescent="0.4">
      <c r="A4">
        <f>ROW()-2+2000</f>
        <v>2002</v>
      </c>
      <c r="B4">
        <v>10100</v>
      </c>
      <c r="C4" t="s">
        <v>1</v>
      </c>
      <c r="D4" t="s">
        <v>22</v>
      </c>
      <c r="E4" t="s">
        <v>87</v>
      </c>
      <c r="F4" s="4" t="s">
        <v>128</v>
      </c>
      <c r="G4">
        <v>0</v>
      </c>
      <c r="H4">
        <v>3</v>
      </c>
      <c r="I4">
        <v>12</v>
      </c>
      <c r="J4">
        <v>31</v>
      </c>
      <c r="K4">
        <v>500</v>
      </c>
      <c r="L4">
        <v>20</v>
      </c>
      <c r="M4">
        <v>15</v>
      </c>
      <c r="N4">
        <v>3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116</v>
      </c>
      <c r="W4" t="s">
        <v>120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>ROW()-2+2000</f>
        <v>2003</v>
      </c>
      <c r="B5">
        <v>30500</v>
      </c>
      <c r="C5" t="s">
        <v>1</v>
      </c>
      <c r="D5" t="s">
        <v>53</v>
      </c>
      <c r="E5" t="s">
        <v>85</v>
      </c>
      <c r="F5" s="4" t="s">
        <v>153</v>
      </c>
      <c r="G5">
        <v>0</v>
      </c>
      <c r="H5">
        <v>5</v>
      </c>
      <c r="I5">
        <v>12</v>
      </c>
      <c r="J5">
        <v>31</v>
      </c>
      <c r="K5">
        <v>1200</v>
      </c>
      <c r="L5">
        <v>21</v>
      </c>
      <c r="M5">
        <v>23</v>
      </c>
      <c r="N5">
        <v>4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116</v>
      </c>
      <c r="W5" t="s">
        <v>120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>ROW()-2+2000</f>
        <v>2004</v>
      </c>
      <c r="B6">
        <v>30600</v>
      </c>
      <c r="C6" t="s">
        <v>1</v>
      </c>
      <c r="D6" t="s">
        <v>54</v>
      </c>
      <c r="E6" t="s">
        <v>86</v>
      </c>
      <c r="F6" s="4" t="s">
        <v>154</v>
      </c>
      <c r="G6">
        <v>0</v>
      </c>
      <c r="H6">
        <v>3</v>
      </c>
      <c r="I6">
        <v>12</v>
      </c>
      <c r="J6">
        <v>31</v>
      </c>
      <c r="K6">
        <v>1500</v>
      </c>
      <c r="L6">
        <v>22</v>
      </c>
      <c r="M6">
        <v>30</v>
      </c>
      <c r="N6">
        <v>5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116</v>
      </c>
      <c r="W6" t="s">
        <v>120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ref="A7:A8" si="0">ROW()-2+2000</f>
        <v>2005</v>
      </c>
      <c r="B7">
        <v>10600</v>
      </c>
      <c r="C7" t="s">
        <v>1</v>
      </c>
      <c r="D7" t="s">
        <v>33</v>
      </c>
      <c r="E7" t="s">
        <v>84</v>
      </c>
      <c r="F7" s="4" t="s">
        <v>148</v>
      </c>
      <c r="G7">
        <v>0</v>
      </c>
      <c r="H7">
        <v>5</v>
      </c>
      <c r="I7">
        <v>12</v>
      </c>
      <c r="J7">
        <v>31</v>
      </c>
      <c r="K7">
        <v>2000</v>
      </c>
      <c r="L7">
        <v>22</v>
      </c>
      <c r="M7">
        <v>15</v>
      </c>
      <c r="N7">
        <v>4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116</v>
      </c>
      <c r="W7" t="s">
        <v>120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10700</v>
      </c>
      <c r="C8" t="s">
        <v>1</v>
      </c>
      <c r="D8" t="s">
        <v>34</v>
      </c>
      <c r="E8" t="s">
        <v>91</v>
      </c>
      <c r="F8" s="4" t="s">
        <v>95</v>
      </c>
      <c r="G8">
        <v>0</v>
      </c>
      <c r="H8">
        <v>5</v>
      </c>
      <c r="I8">
        <v>12</v>
      </c>
      <c r="J8">
        <v>31</v>
      </c>
      <c r="K8">
        <v>3000</v>
      </c>
      <c r="L8">
        <v>22</v>
      </c>
      <c r="M8">
        <v>20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116</v>
      </c>
      <c r="W8" t="s">
        <v>120</v>
      </c>
      <c r="X8" t="s">
        <v>114</v>
      </c>
      <c r="Y8" s="4" t="s">
        <v>21</v>
      </c>
      <c r="Z8">
        <v>0</v>
      </c>
    </row>
    <row r="9" spans="1:26" s="2" customFormat="1" ht="35.25" customHeight="1" x14ac:dyDescent="0.4">
      <c r="A9" s="2">
        <f>ROW()-2+2000</f>
        <v>2007</v>
      </c>
      <c r="B9" s="2">
        <v>30800</v>
      </c>
      <c r="C9" s="2" t="s">
        <v>1</v>
      </c>
      <c r="D9" s="2" t="s">
        <v>123</v>
      </c>
      <c r="E9" s="2" t="s">
        <v>124</v>
      </c>
      <c r="F9" s="3" t="s">
        <v>127</v>
      </c>
      <c r="G9" s="2">
        <v>0</v>
      </c>
      <c r="H9" s="2">
        <v>5</v>
      </c>
      <c r="I9" s="2">
        <v>12</v>
      </c>
      <c r="J9" s="2">
        <v>31</v>
      </c>
      <c r="K9" s="2">
        <v>3000</v>
      </c>
      <c r="L9" s="2">
        <v>9999</v>
      </c>
      <c r="M9" s="2">
        <v>38</v>
      </c>
      <c r="N9" s="2">
        <v>3</v>
      </c>
      <c r="O9" s="2">
        <v>0</v>
      </c>
      <c r="P9" s="2">
        <v>99</v>
      </c>
      <c r="Q9" s="2">
        <v>1</v>
      </c>
      <c r="R9" s="2">
        <v>0</v>
      </c>
      <c r="S9" s="2">
        <v>5</v>
      </c>
      <c r="T9" s="2">
        <v>0</v>
      </c>
      <c r="U9" s="2">
        <v>0</v>
      </c>
      <c r="V9" s="2" t="s">
        <v>116</v>
      </c>
      <c r="W9" s="2" t="s">
        <v>120</v>
      </c>
      <c r="X9" s="2" t="s">
        <v>114</v>
      </c>
      <c r="Y9" s="3" t="s">
        <v>21</v>
      </c>
      <c r="Z9" s="2">
        <v>0</v>
      </c>
    </row>
    <row r="10" spans="1:26" ht="30" customHeight="1" x14ac:dyDescent="0.4">
      <c r="A10">
        <f>ROW()-2+2000</f>
        <v>2008</v>
      </c>
      <c r="B10">
        <v>3000</v>
      </c>
      <c r="C10" t="s">
        <v>1</v>
      </c>
      <c r="D10" t="s">
        <v>46</v>
      </c>
      <c r="E10" t="s">
        <v>138</v>
      </c>
      <c r="F10" s="4" t="s">
        <v>157</v>
      </c>
      <c r="G10">
        <v>0</v>
      </c>
      <c r="H10">
        <v>5</v>
      </c>
      <c r="I10">
        <v>12</v>
      </c>
      <c r="J10">
        <v>31</v>
      </c>
      <c r="K10">
        <v>0</v>
      </c>
      <c r="L10">
        <v>300</v>
      </c>
      <c r="M10">
        <v>25</v>
      </c>
      <c r="N10">
        <v>5</v>
      </c>
      <c r="O10">
        <v>1</v>
      </c>
      <c r="P10">
        <v>99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116</v>
      </c>
      <c r="W10" t="s">
        <v>120</v>
      </c>
      <c r="X10" t="s">
        <v>147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F10" sqref="F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139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2</v>
      </c>
      <c r="T2" s="5">
        <v>0</v>
      </c>
      <c r="U2" s="5">
        <v>0</v>
      </c>
      <c r="V2" s="5" t="s">
        <v>117</v>
      </c>
      <c r="W2" s="5" t="s">
        <v>119</v>
      </c>
      <c r="X2" s="5" t="s">
        <v>114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125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117</v>
      </c>
      <c r="W3" s="5" t="s">
        <v>119</v>
      </c>
      <c r="X3" s="5" t="s">
        <v>114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117</v>
      </c>
      <c r="W4" s="5" t="s">
        <v>119</v>
      </c>
      <c r="X4" s="5" t="s">
        <v>114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98</v>
      </c>
      <c r="F5" s="6" t="s">
        <v>132</v>
      </c>
      <c r="G5" s="5">
        <v>0</v>
      </c>
      <c r="H5" s="5">
        <v>2</v>
      </c>
      <c r="I5" s="5">
        <v>12</v>
      </c>
      <c r="J5" s="5">
        <v>31</v>
      </c>
      <c r="K5" s="5">
        <v>700</v>
      </c>
      <c r="L5" s="5">
        <v>31</v>
      </c>
      <c r="M5" s="5">
        <v>30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117</v>
      </c>
      <c r="W5" s="5" t="s">
        <v>119</v>
      </c>
      <c r="X5" s="5" t="s">
        <v>114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133</v>
      </c>
      <c r="F6" s="6" t="s">
        <v>134</v>
      </c>
      <c r="G6" s="5">
        <v>0</v>
      </c>
      <c r="H6" s="5">
        <v>3</v>
      </c>
      <c r="I6" s="5">
        <v>12</v>
      </c>
      <c r="J6" s="5">
        <v>31</v>
      </c>
      <c r="K6" s="5">
        <v>700</v>
      </c>
      <c r="L6" s="5">
        <v>30</v>
      </c>
      <c r="M6" s="5">
        <v>40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117</v>
      </c>
      <c r="W6" s="5" t="s">
        <v>119</v>
      </c>
      <c r="X6" s="5" t="s">
        <v>114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77</v>
      </c>
      <c r="F7" s="6" t="s">
        <v>78</v>
      </c>
      <c r="G7" s="5">
        <v>0</v>
      </c>
      <c r="H7" s="5">
        <v>5</v>
      </c>
      <c r="I7" s="5">
        <v>12</v>
      </c>
      <c r="J7" s="5">
        <v>31</v>
      </c>
      <c r="K7" s="5">
        <v>1000</v>
      </c>
      <c r="L7" s="5">
        <v>31</v>
      </c>
      <c r="M7" s="5">
        <v>45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3</v>
      </c>
      <c r="T7" s="5">
        <v>0</v>
      </c>
      <c r="U7" s="5">
        <v>0</v>
      </c>
      <c r="V7" s="5" t="s">
        <v>117</v>
      </c>
      <c r="W7" s="5" t="s">
        <v>119</v>
      </c>
      <c r="X7" s="5" t="s">
        <v>114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79</v>
      </c>
      <c r="F8" s="6" t="s">
        <v>135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3</v>
      </c>
      <c r="T8" s="5">
        <v>0</v>
      </c>
      <c r="U8" s="5">
        <v>0</v>
      </c>
      <c r="V8" s="5" t="s">
        <v>117</v>
      </c>
      <c r="W8" s="5" t="s">
        <v>119</v>
      </c>
      <c r="X8" s="5" t="s">
        <v>114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126</v>
      </c>
      <c r="F9" s="6" t="s">
        <v>136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117</v>
      </c>
      <c r="W9" s="5" t="s">
        <v>119</v>
      </c>
      <c r="X9" s="5" t="s">
        <v>114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137</v>
      </c>
      <c r="F10" s="6" t="s">
        <v>140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119</v>
      </c>
      <c r="X10" s="5" t="s">
        <v>113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2025-04-30T11:13:35Z</dcterms:modified>
</cp:coreProperties>
</file>