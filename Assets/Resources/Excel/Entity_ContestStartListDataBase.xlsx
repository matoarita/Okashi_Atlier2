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4FC538B-9084-488F-B713-5FE755E48F03}" xr6:coauthVersionLast="47" xr6:coauthVersionMax="47" xr10:uidLastSave="{00000000-0000-0000-0000-000000000000}"/>
  <bookViews>
    <workbookView xWindow="1425" yWindow="900" windowWidth="25560" windowHeight="14325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" i="3" l="1"/>
  <c r="A5" i="1"/>
  <c r="A9" i="4"/>
  <c r="A8" i="4"/>
  <c r="A7" i="4"/>
  <c r="A6" i="4"/>
  <c r="A5" i="4"/>
  <c r="A4" i="4"/>
  <c r="A3" i="4"/>
  <c r="A2" i="4"/>
  <c r="A10" i="4"/>
  <c r="A9" i="3"/>
  <c r="A8" i="3"/>
  <c r="A7" i="3"/>
  <c r="A6" i="3"/>
  <c r="A5" i="3"/>
  <c r="A4" i="3"/>
  <c r="A3" i="3"/>
  <c r="A2" i="3"/>
  <c r="A11" i="3"/>
  <c r="A9" i="2"/>
  <c r="A8" i="2"/>
  <c r="A7" i="2"/>
  <c r="A6" i="2"/>
  <c r="A5" i="2"/>
  <c r="A4" i="2"/>
  <c r="A3" i="2"/>
  <c r="A2" i="2"/>
  <c r="A10" i="2"/>
  <c r="A11" i="1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<sst xmlns="http://schemas.openxmlformats.org/spreadsheetml/2006/main" count="408" uniqueCount="155">
  <si>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</si>
  <si>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</si>
  <si>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</si>
  <si>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</si>
  <si>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</si>
  <si>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</si>
  <si>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</si>
  <si>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</si>
  <si>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</si>
  <si>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</si>
  <si>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</si>
  <si>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</si>
  <si>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</si>
  <si>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</si>
  <si>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</si>
  <si>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</si>
  <si>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</si>
  <si>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</si>
  <si>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</si>
  <si>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</si>
  <si>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</si>
  <si>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</si>
  <si>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</si>
  <si>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</si>
  <si>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</si>
  <si>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</si>
  <si>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</si>
  <si>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</si>
  <si>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</si>
  <si>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</si>
  <si>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</si>
  <si>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</si>
  <si>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</si>
  <si>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</si>
  <si>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</si>
  <si>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</si>
  <si>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</si>
  <si>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</si>
  <si>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</si>
  <si>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</si>
  <si>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</si>
  <si>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</si>
  <si>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</si>
  <si>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</si>
  <si>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</si>
  <si>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</si>
  <si>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</si>
  <si>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</si>
  <si>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</si>
  <si>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</si>
  <si>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</si>
  <si>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</si>
  <si>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</si>
  <si>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</si>
  <si>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</si>
  <si>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</si>
  <si>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</si>
  <si>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</si>
  <si>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</si>
  <si>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</si>
  <si>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</si>
  <si>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</si>
  <si>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</si>
  <si>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</si>
  <si>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</si>
  <si>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</si>
  <si>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</si>
  <si>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</si>
  <si>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</si>
  <si>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</si>
  <si>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</si>
  <si>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</si>
  <si>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</si>
  <si>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</si>
  <si>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</si>
  <si>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</si>
  <si>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</si>
  <si>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</si>
  <si>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</si>
  <si>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</si>
  <si>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</si>
  <si>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</si>
  <si>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</si>
  <si>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</si>
  <si>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</si>
  <si>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</si>
  <si>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</si>
  <si>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</si>
  <si>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</si>
  <si>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</si>
  <si>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</si>
  <si>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</si>
  <si>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</si>
  <si>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</si>
  <si>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</si>
  <si>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</si>
  <si>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</si>
  <si>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</si>
  <si>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</si>
  <si>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</si>
  <si>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</si>
  <si>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</si>
  <si>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</si>
  <si>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</si>
  <si>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</si>
  <si>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</si>
  <si>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ジュース限定
ビーチで泳ぐ美女に、オシャレな飲み物を提供したいデース！
ゴージャス飲み物を募集してマス！</t>
    <rPh sb="4" eb="6">
      <t>ゲンテイ</t>
    </rPh>
    <rPh sb="11" eb="12">
      <t>オヨ</t>
    </rPh>
    <rPh sb="13" eb="15">
      <t>ビジョ</t>
    </rPh>
    <rPh sb="22" eb="23">
      <t>ノ</t>
    </rPh>
    <rPh sb="24" eb="25">
      <t>モノ</t>
    </rPh>
    <rPh sb="26" eb="28">
      <t>テイキョウ</t>
    </rPh>
    <rPh sb="41" eb="42">
      <t>ノ</t>
    </rPh>
    <rPh sb="43" eb="44">
      <t>モノ</t>
    </rPh>
    <rPh sb="45" eb="47">
      <t>ボシュウ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</si>
  <si>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</si>
  <si>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</si>
  <si>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</si>
  <si>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</si>
  <si>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</si>
  <si>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</si>
  <si>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</si>
  <si>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</si>
  <si>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</si>
  <si>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</si>
  <si>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</si>
  <si>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</si>
  <si>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</si>
  <si>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</si>
  <si>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</si>
  <si>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</si>
  <si>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</si>
  <si>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</si>
  <si>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</si>
  <si>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</si>
  <si>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</si>
  <si>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鉱石お菓子限定※実装まだ
エメラルド・サファイア.. 美しい石は、私たちを魅了してやみません。
キラもの好きの大富豪がうなるお菓子を募集します♪</t>
    <rPh sb="0" eb="2">
      <t>コウセキ</t>
    </rPh>
    <rPh sb="3" eb="5">
      <t>カシ</t>
    </rPh>
    <rPh sb="5" eb="7">
      <t>ゲンテイ</t>
    </rPh>
    <rPh sb="27" eb="28">
      <t>ウツク</t>
    </rPh>
    <rPh sb="30" eb="31">
      <t>イシ</t>
    </rPh>
    <rPh sb="33" eb="34">
      <t>ワタシ</t>
    </rPh>
    <rPh sb="37" eb="39">
      <t>ミリョウ</t>
    </rPh>
    <rPh sb="52" eb="53">
      <t>ス</t>
    </rPh>
    <rPh sb="55" eb="58">
      <t>ダイフゴウ</t>
    </rPh>
    <rPh sb="63" eb="65">
      <t>カシ</t>
    </rPh>
    <rPh sb="66" eb="68">
      <t>ボシュウ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</si>
  <si>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</si>
  <si>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</si>
  <si>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</si>
  <si>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</si>
  <si>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ケーキ限定
春の王様が年に一度開くケーキコンテストです。
自信のある豪華なケーキを見せてください！</t>
    <rPh sb="3" eb="5">
      <t>ゲンテイ</t>
    </rPh>
    <rPh sb="6" eb="7">
      <t>ハル</t>
    </rPh>
    <rPh sb="8" eb="9">
      <t>オウ</t>
    </rPh>
    <rPh sb="9" eb="10">
      <t>サマ</t>
    </rPh>
    <rPh sb="11" eb="12">
      <t>ネン</t>
    </rPh>
    <rPh sb="13" eb="15">
      <t>イチド</t>
    </rPh>
    <rPh sb="15" eb="16">
      <t>ヒラ</t>
    </rPh>
    <rPh sb="29" eb="31">
      <t>ジシン</t>
    </rPh>
    <rPh sb="34" eb="36">
      <t>ゴウカ</t>
    </rPh>
    <rPh sb="41" eb="42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</si>
  <si>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</si>
  <si>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おみやげお菓子限定＜クッキー・ラスク除く＞
パパがおみやげに持って帰れるお菓子を募集しますじゃ。
小さめで子供が喜ぶお菓子がいいのお。</t>
    <rPh sb="5" eb="7">
      <t>カシ</t>
    </rPh>
    <rPh sb="7" eb="9">
      <t>ゲンテイ</t>
    </rPh>
    <rPh sb="18" eb="19">
      <t>ノゾ</t>
    </rPh>
    <rPh sb="30" eb="31">
      <t>モ</t>
    </rPh>
    <rPh sb="33" eb="34">
      <t>カエ</t>
    </rPh>
    <rPh sb="37" eb="39">
      <t>カシ</t>
    </rPh>
    <rPh sb="40" eb="42">
      <t>ボシュウ</t>
    </rPh>
    <rPh sb="49" eb="50">
      <t>チイ</t>
    </rPh>
    <rPh sb="53" eb="55">
      <t>コドモ</t>
    </rPh>
    <rPh sb="56" eb="57">
      <t>ヨロコ</t>
    </rPh>
    <rPh sb="59" eb="61">
      <t>カシ</t>
    </rPh>
    <phoneticPr fontId="2"/>
  </si>
  <si>
    <t>ケーキ限定
王国プラムで行われるケーキコンテストです。
各界隈の著名人が注目するトップレベルのコンテストです。</t>
    <rPh sb="3" eb="5">
      <t>ゲンテイ</t>
    </rPh>
    <rPh sb="6" eb="8">
      <t>オウコク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</si>
  <si>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</si>
  <si>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メルヘンでかわいいお菓子限定
メルヘンでかわいいお菓子を募集しています♪
食べた人に夢を見せるかわいいお菓子を持ってきてね☆</t>
    <rPh sb="10" eb="12">
      <t>カシ</t>
    </rPh>
    <rPh sb="12" eb="14">
      <t>ゲンテイ</t>
    </rPh>
    <rPh sb="25" eb="27">
      <t>カシ</t>
    </rPh>
    <rPh sb="28" eb="30">
      <t>ボシュウ</t>
    </rPh>
    <rPh sb="37" eb="38">
      <t>タ</t>
    </rPh>
    <rPh sb="40" eb="41">
      <t>ヒト</t>
    </rPh>
    <rPh sb="42" eb="43">
      <t>ユメ</t>
    </rPh>
    <rPh sb="44" eb="45">
      <t>ミ</t>
    </rPh>
    <rPh sb="52" eb="54">
      <t>カシ</t>
    </rPh>
    <rPh sb="55" eb="56">
      <t>モ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</si>
  <si>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</si>
  <si>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 xml:space="preserve">紅茶限定
ティータイムを彩る香り高い紅茶を募集しています。
お菓子を引き立てる大切な名脇役のティー。その誇り高い香りを競い合います。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31" eb="33">
      <t>カシ</t>
    </rPh>
    <rPh sb="34" eb="35">
      <t>ヒ</t>
    </rPh>
    <rPh sb="36" eb="37">
      <t>タ</t>
    </rPh>
    <rPh sb="39" eb="41">
      <t>タイセツ</t>
    </rPh>
    <rPh sb="42" eb="43">
      <t>メイ</t>
    </rPh>
    <rPh sb="43" eb="45">
      <t>ワキヤク</t>
    </rPh>
    <rPh sb="52" eb="53">
      <t>ホコ</t>
    </rPh>
    <rPh sb="54" eb="55">
      <t>タカ</t>
    </rPh>
    <rPh sb="56" eb="57">
      <t>カオ</t>
    </rPh>
    <rPh sb="59" eb="60">
      <t>キソ</t>
    </rPh>
    <rPh sb="61" eb="62">
      <t>ア</t>
    </rPh>
    <phoneticPr fontId="2"/>
  </si>
  <si>
    <t>彫刻お菓子限定
名門ハイネ家の招待パーティーに飾るお菓子を募集しています。
パーティーの目玉になる、派手な彫刻お菓子が希望ですわ♪</t>
    <rPh sb="0" eb="2">
      <t>チョウコク</t>
    </rPh>
    <rPh sb="3" eb="5">
      <t>カシ</t>
    </rPh>
    <rPh sb="5" eb="7">
      <t>ゲンテイ</t>
    </rPh>
    <rPh sb="8" eb="10">
      <t>メイモン</t>
    </rPh>
    <rPh sb="13" eb="14">
      <t>ケ</t>
    </rPh>
    <rPh sb="15" eb="17">
      <t>ショウタイ</t>
    </rPh>
    <rPh sb="23" eb="24">
      <t>カザ</t>
    </rPh>
    <rPh sb="26" eb="28">
      <t>カシ</t>
    </rPh>
    <rPh sb="29" eb="31">
      <t>ボシュウ</t>
    </rPh>
    <rPh sb="44" eb="46">
      <t>メダマ</t>
    </rPh>
    <rPh sb="50" eb="52">
      <t>ハデ</t>
    </rPh>
    <rPh sb="53" eb="55">
      <t>チョウコク</t>
    </rPh>
    <rPh sb="56" eb="58">
      <t>カシ</t>
    </rPh>
    <rPh sb="59" eb="61">
      <t>キボウ</t>
    </rPh>
    <phoneticPr fontId="2"/>
  </si>
  <si>
    <t>青色をテーマにしたお菓子
秋の大演奏会で、お客様へのお土産に渡すお菓子を募集しています。
美しい青のお菓子をぜひ作って頂きたいです。</t>
    <rPh sb="0" eb="2">
      <t>アオイロ</t>
    </rPh>
    <rPh sb="10" eb="12">
      <t>カシ</t>
    </rPh>
    <rPh sb="13" eb="14">
      <t>アキ</t>
    </rPh>
    <rPh sb="15" eb="16">
      <t>ダイ</t>
    </rPh>
    <rPh sb="16" eb="19">
      <t>エンソウカイ</t>
    </rPh>
    <rPh sb="22" eb="23">
      <t>キャク</t>
    </rPh>
    <rPh sb="23" eb="24">
      <t>サマ</t>
    </rPh>
    <rPh sb="27" eb="29">
      <t>ミヤゲ</t>
    </rPh>
    <rPh sb="30" eb="31">
      <t>ワタ</t>
    </rPh>
    <rPh sb="33" eb="35">
      <t>カシ</t>
    </rPh>
    <rPh sb="36" eb="38">
      <t>ボシュウ</t>
    </rPh>
    <rPh sb="45" eb="46">
      <t>ウツク</t>
    </rPh>
    <rPh sb="48" eb="49">
      <t>アオ</t>
    </rPh>
    <rPh sb="51" eb="53">
      <t>カシ</t>
    </rPh>
    <rPh sb="56" eb="57">
      <t>ツク</t>
    </rPh>
    <rPh sb="59" eb="60">
      <t>イタダ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</si>
  <si>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</si>
  <si>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</si>
  <si>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</si>
  <si>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</si>
  <si>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</si>
  <si>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</si>
  <si>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</si>
  <si>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◆ケーキ・チョコレートの国際コンクール◆
優勝者には、エデンのレシピを進呈します。虹のように、様々なチョコレートとケーキで参加してください！</t>
    <rPh sb="12" eb="14">
      <t>コクサイ</t>
    </rPh>
    <rPh sb="21" eb="24">
      <t>ユウショウシャ</t>
    </rPh>
    <rPh sb="35" eb="37">
      <t>シンテイ</t>
    </rPh>
    <rPh sb="41" eb="42">
      <t>ニジ</t>
    </rPh>
    <rPh sb="47" eb="49">
      <t>サマザマ</t>
    </rPh>
    <rPh sb="61" eb="63">
      <t>サンカ</t>
    </rPh>
    <phoneticPr fontId="2"/>
  </si>
  <si>
    <t>◆アカデミー至高のお菓子の決定戦◆
トーナメント形式3回戦。各回ごとにお題があり。
優勝者には、エデンのレシピを進呈します。至高の一品をお待ちしております！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4" eb="26">
      <t>ケイシキ</t>
    </rPh>
    <rPh sb="27" eb="29">
      <t>カイセン</t>
    </rPh>
    <rPh sb="30" eb="32">
      <t>カクカイ</t>
    </rPh>
    <rPh sb="36" eb="37">
      <t>ダイ</t>
    </rPh>
    <rPh sb="42" eb="45">
      <t>ユウショウシャ</t>
    </rPh>
    <rPh sb="56" eb="58">
      <t>シンテイ</t>
    </rPh>
    <rPh sb="62" eb="64">
      <t>シコウ</t>
    </rPh>
    <rPh sb="65" eb="67">
      <t>イッピン</t>
    </rPh>
    <rPh sb="69" eb="70">
      <t>マ</t>
    </rPh>
    <phoneticPr fontId="2"/>
  </si>
  <si>
    <t>◆世界のお菓子コンクール◆
賞品には、エデンのレシピを進呈します。
オランジーナ国で古くから開催されている、パティシエのナンバーワンを決める大会です。</t>
    <rPh sb="1" eb="3">
      <t>セカイ</t>
    </rPh>
    <rPh sb="5" eb="7">
      <t>カシ</t>
    </rPh>
    <rPh sb="14" eb="16">
      <t>ショウヒン</t>
    </rPh>
    <rPh sb="27" eb="29">
      <t>シンテイ</t>
    </rPh>
    <rPh sb="40" eb="41">
      <t>コク</t>
    </rPh>
    <rPh sb="42" eb="43">
      <t>フル</t>
    </rPh>
    <rPh sb="46" eb="48">
      <t>カイサイ</t>
    </rPh>
    <rPh sb="67" eb="68">
      <t>キ</t>
    </rPh>
    <rPh sb="70" eb="72">
      <t>タイカイ</t>
    </rPh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</si>
  <si>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</si>
  <si>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黄色は、まだコンテスト優勝者セリフいれてない</t>
    <rPh sb="0" eb="2">
      <t>キイロ</t>
    </rPh>
    <rPh sb="11" eb="14">
      <t>ユウショウシャ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</si>
</sst>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1"/>
  <sheetViews>
    <sheetView tabSelected="1" workbookViewId="0">
      <selection activeCell="O8" sqref="O8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1000</v>
      </c>
      <c r="C2" s="2" t="s">
        <v>1</v>
      </c>
      <c r="D2" s="2" t="s">
        <v>7</v>
      </c>
      <c r="E2" s="2" t="s">
        <v>6</v>
      </c>
      <c r="F2" s="3" t="s">
        <v>154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111</v>
      </c>
      <c r="W2" s="2" t="s">
        <v>115</v>
      </c>
      <c r="X2" s="2" t="s">
        <v>116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109</v>
      </c>
      <c r="G3">
        <v>0</v>
      </c>
      <c r="H3">
        <v>1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111</v>
      </c>
      <c r="W3" t="s">
        <v>115</v>
      </c>
      <c r="X3" t="s">
        <v>117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94</v>
      </c>
      <c r="F4" s="4" t="s">
        <v>95</v>
      </c>
      <c r="G4">
        <v>0</v>
      </c>
      <c r="H4">
        <v>1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111</v>
      </c>
      <c r="W4" t="s">
        <v>115</v>
      </c>
      <c r="X4" t="s">
        <v>117</v>
      </c>
      <c r="Y4" s="4" t="s">
        <v>110</v>
      </c>
      <c r="Z4">
        <v>0</v>
      </c>
    </row>
    <row r="5" spans="1:26" s="5" customFormat="1" ht="35.25" customHeight="1" x14ac:dyDescent="0.4">
      <c r="A5" s="5">
        <f t="shared" si="0"/>
        <v>3</v>
      </c>
      <c r="B5" s="5">
        <v>10800</v>
      </c>
      <c r="C5" s="5" t="s">
        <v>1</v>
      </c>
      <c r="D5" s="5" t="s">
        <v>72</v>
      </c>
      <c r="E5" s="5" t="s">
        <v>77</v>
      </c>
      <c r="F5" s="6" t="s">
        <v>98</v>
      </c>
      <c r="G5" s="5">
        <v>0</v>
      </c>
      <c r="H5" s="5">
        <v>2</v>
      </c>
      <c r="I5" s="5">
        <v>12</v>
      </c>
      <c r="J5" s="5">
        <v>31</v>
      </c>
      <c r="K5" s="5">
        <v>300</v>
      </c>
      <c r="L5" s="5">
        <v>2</v>
      </c>
      <c r="M5" s="5">
        <v>1</v>
      </c>
      <c r="N5" s="5">
        <v>2</v>
      </c>
      <c r="O5" s="5">
        <v>0</v>
      </c>
      <c r="P5" s="5">
        <v>99</v>
      </c>
      <c r="Q5" s="5">
        <v>1</v>
      </c>
      <c r="R5" s="5">
        <v>0</v>
      </c>
      <c r="S5" s="5">
        <v>3</v>
      </c>
      <c r="T5" s="5">
        <v>0</v>
      </c>
      <c r="U5" s="5">
        <v>0</v>
      </c>
      <c r="V5" s="5" t="s">
        <v>111</v>
      </c>
      <c r="W5" s="5" t="s">
        <v>115</v>
      </c>
      <c r="X5" s="5" t="s">
        <v>117</v>
      </c>
      <c r="Y5" s="6" t="s">
        <v>21</v>
      </c>
      <c r="Z5" s="5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89</v>
      </c>
      <c r="F6" s="4" t="s">
        <v>132</v>
      </c>
      <c r="G6">
        <v>0</v>
      </c>
      <c r="H6">
        <v>3</v>
      </c>
      <c r="I6">
        <v>12</v>
      </c>
      <c r="J6">
        <v>31</v>
      </c>
      <c r="K6">
        <v>1500</v>
      </c>
      <c r="L6">
        <v>4</v>
      </c>
      <c r="M6">
        <v>10</v>
      </c>
      <c r="N6">
        <v>3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111</v>
      </c>
      <c r="W6" t="s">
        <v>115</v>
      </c>
      <c r="X6" t="s">
        <v>117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90</v>
      </c>
      <c r="F7" s="4" t="s">
        <v>96</v>
      </c>
      <c r="G7">
        <v>0</v>
      </c>
      <c r="H7">
        <v>2</v>
      </c>
      <c r="I7">
        <v>12</v>
      </c>
      <c r="J7">
        <v>31</v>
      </c>
      <c r="K7">
        <v>1000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111</v>
      </c>
      <c r="W7" t="s">
        <v>115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91</v>
      </c>
      <c r="F8" s="4" t="s">
        <v>124</v>
      </c>
      <c r="G8">
        <v>0</v>
      </c>
      <c r="H8">
        <v>3</v>
      </c>
      <c r="I8">
        <v>12</v>
      </c>
      <c r="J8">
        <v>31</v>
      </c>
      <c r="K8">
        <v>500</v>
      </c>
      <c r="L8">
        <v>3</v>
      </c>
      <c r="M8">
        <v>5</v>
      </c>
      <c r="N8">
        <v>3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111</v>
      </c>
      <c r="W8" t="s">
        <v>115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92</v>
      </c>
      <c r="F9" s="4" t="s">
        <v>125</v>
      </c>
      <c r="G9">
        <v>0</v>
      </c>
      <c r="H9">
        <v>4</v>
      </c>
      <c r="I9">
        <v>12</v>
      </c>
      <c r="J9">
        <v>31</v>
      </c>
      <c r="K9">
        <v>1000</v>
      </c>
      <c r="L9">
        <v>5</v>
      </c>
      <c r="M9">
        <v>10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111</v>
      </c>
      <c r="W9" t="s">
        <v>115</v>
      </c>
      <c r="X9" t="s">
        <v>117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85</v>
      </c>
      <c r="F10" s="4" t="s">
        <v>133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5</v>
      </c>
      <c r="M10">
        <v>15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111</v>
      </c>
      <c r="W10" t="s">
        <v>115</v>
      </c>
      <c r="X10" t="s">
        <v>117</v>
      </c>
      <c r="Y10" s="4" t="s">
        <v>21</v>
      </c>
      <c r="Z10">
        <v>0</v>
      </c>
    </row>
    <row r="11" spans="1:26" s="5" customFormat="1" ht="35.25" customHeight="1" x14ac:dyDescent="0.4">
      <c r="A11" s="5">
        <f t="shared" si="0"/>
        <v>9</v>
      </c>
      <c r="B11" s="5">
        <v>10700</v>
      </c>
      <c r="C11" s="5" t="s">
        <v>1</v>
      </c>
      <c r="D11" s="5" t="s">
        <v>34</v>
      </c>
      <c r="E11" s="5" t="s">
        <v>93</v>
      </c>
      <c r="F11" s="6" t="s">
        <v>97</v>
      </c>
      <c r="G11" s="5">
        <v>0</v>
      </c>
      <c r="H11" s="5">
        <v>5</v>
      </c>
      <c r="I11" s="5">
        <v>12</v>
      </c>
      <c r="J11" s="5">
        <v>31</v>
      </c>
      <c r="K11" s="5">
        <v>3000</v>
      </c>
      <c r="L11" s="5">
        <v>5</v>
      </c>
      <c r="M11" s="5">
        <v>15</v>
      </c>
      <c r="N11" s="5">
        <v>5</v>
      </c>
      <c r="O11" s="5">
        <v>0</v>
      </c>
      <c r="P11" s="5">
        <v>99</v>
      </c>
      <c r="Q11" s="5">
        <v>1</v>
      </c>
      <c r="R11" s="5">
        <v>0</v>
      </c>
      <c r="S11" s="5">
        <v>5</v>
      </c>
      <c r="T11" s="5">
        <v>0</v>
      </c>
      <c r="U11" s="5">
        <v>0</v>
      </c>
      <c r="V11" s="5" t="s">
        <v>111</v>
      </c>
      <c r="W11" s="5" t="s">
        <v>115</v>
      </c>
      <c r="X11" s="5" t="s">
        <v>117</v>
      </c>
      <c r="Y11" s="6" t="s">
        <v>21</v>
      </c>
      <c r="Z1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0"/>
  <sheetViews>
    <sheetView workbookViewId="0">
      <selection activeCell="P4" sqref="P4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s="5" customFormat="1" ht="35.25" customHeight="1" x14ac:dyDescent="0.4">
      <c r="A2" s="5">
        <f t="shared" ref="A2:A9" si="0">ROW()-2+1000</f>
        <v>1000</v>
      </c>
      <c r="B2" s="5">
        <v>20000</v>
      </c>
      <c r="C2" s="5" t="s">
        <v>1</v>
      </c>
      <c r="D2" s="5" t="s">
        <v>38</v>
      </c>
      <c r="E2" s="5" t="s">
        <v>65</v>
      </c>
      <c r="F2" s="6" t="s">
        <v>134</v>
      </c>
      <c r="G2" s="5">
        <v>0</v>
      </c>
      <c r="H2" s="5">
        <v>2</v>
      </c>
      <c r="I2" s="5">
        <v>12</v>
      </c>
      <c r="J2" s="5">
        <v>31</v>
      </c>
      <c r="K2" s="5">
        <v>100</v>
      </c>
      <c r="L2" s="5">
        <v>1</v>
      </c>
      <c r="M2" s="5">
        <v>0</v>
      </c>
      <c r="N2" s="5">
        <v>1</v>
      </c>
      <c r="O2" s="5">
        <v>1</v>
      </c>
      <c r="P2" s="5">
        <v>99</v>
      </c>
      <c r="Q2" s="5">
        <v>1</v>
      </c>
      <c r="R2" s="5">
        <v>0</v>
      </c>
      <c r="S2" s="5">
        <v>3</v>
      </c>
      <c r="T2" s="5">
        <v>0</v>
      </c>
      <c r="U2" s="5">
        <v>0</v>
      </c>
      <c r="V2" s="5" t="s">
        <v>118</v>
      </c>
      <c r="W2" s="5" t="s">
        <v>121</v>
      </c>
      <c r="X2" s="5" t="s">
        <v>117</v>
      </c>
      <c r="Y2" s="6" t="s">
        <v>21</v>
      </c>
      <c r="Z2" s="5">
        <v>0</v>
      </c>
    </row>
    <row r="3" spans="1:26" s="5" customFormat="1" ht="35.25" customHeight="1" x14ac:dyDescent="0.4">
      <c r="A3" s="5">
        <f t="shared" si="0"/>
        <v>1001</v>
      </c>
      <c r="B3" s="5">
        <v>20100</v>
      </c>
      <c r="C3" s="5" t="s">
        <v>1</v>
      </c>
      <c r="D3" s="5" t="s">
        <v>39</v>
      </c>
      <c r="E3" s="5" t="s">
        <v>103</v>
      </c>
      <c r="F3" s="6" t="s">
        <v>66</v>
      </c>
      <c r="G3" s="5">
        <v>0</v>
      </c>
      <c r="H3" s="5">
        <v>2</v>
      </c>
      <c r="I3" s="5">
        <v>12</v>
      </c>
      <c r="J3" s="5">
        <v>31</v>
      </c>
      <c r="K3" s="5">
        <v>200</v>
      </c>
      <c r="L3" s="5">
        <v>10</v>
      </c>
      <c r="M3" s="5">
        <v>5</v>
      </c>
      <c r="N3" s="5">
        <v>2</v>
      </c>
      <c r="O3" s="5">
        <v>1</v>
      </c>
      <c r="P3" s="5">
        <v>99</v>
      </c>
      <c r="Q3" s="5">
        <v>1</v>
      </c>
      <c r="R3" s="5">
        <v>0</v>
      </c>
      <c r="S3" s="5">
        <v>3</v>
      </c>
      <c r="T3" s="5">
        <v>0</v>
      </c>
      <c r="U3" s="5">
        <v>0</v>
      </c>
      <c r="V3" s="5" t="s">
        <v>118</v>
      </c>
      <c r="W3" s="5" t="s">
        <v>121</v>
      </c>
      <c r="X3" s="5" t="s">
        <v>117</v>
      </c>
      <c r="Y3" s="6" t="s">
        <v>24</v>
      </c>
      <c r="Z3" s="5">
        <v>0</v>
      </c>
    </row>
    <row r="4" spans="1:26" s="5" customFormat="1" ht="35.25" customHeight="1" x14ac:dyDescent="0.4">
      <c r="A4" s="5">
        <f t="shared" si="0"/>
        <v>1002</v>
      </c>
      <c r="B4" s="5">
        <v>20200</v>
      </c>
      <c r="C4" s="5" t="s">
        <v>1</v>
      </c>
      <c r="D4" s="5" t="s">
        <v>40</v>
      </c>
      <c r="E4" s="5" t="s">
        <v>101</v>
      </c>
      <c r="F4" s="6" t="s">
        <v>106</v>
      </c>
      <c r="G4" s="5">
        <v>0</v>
      </c>
      <c r="H4" s="5">
        <v>3</v>
      </c>
      <c r="I4" s="5">
        <v>12</v>
      </c>
      <c r="J4" s="5">
        <v>31</v>
      </c>
      <c r="K4" s="5">
        <v>300</v>
      </c>
      <c r="L4" s="5">
        <v>10</v>
      </c>
      <c r="M4" s="5">
        <v>5</v>
      </c>
      <c r="N4" s="5">
        <v>3</v>
      </c>
      <c r="O4" s="5">
        <v>1</v>
      </c>
      <c r="P4" s="5">
        <v>99</v>
      </c>
      <c r="Q4" s="5">
        <v>1</v>
      </c>
      <c r="R4" s="5">
        <v>0</v>
      </c>
      <c r="S4" s="5">
        <v>3</v>
      </c>
      <c r="T4" s="5">
        <v>0</v>
      </c>
      <c r="U4" s="5">
        <v>0</v>
      </c>
      <c r="V4" s="5" t="s">
        <v>118</v>
      </c>
      <c r="W4" s="5" t="s">
        <v>121</v>
      </c>
      <c r="X4" s="5" t="s">
        <v>117</v>
      </c>
      <c r="Y4" s="6" t="s">
        <v>21</v>
      </c>
      <c r="Z4" s="5">
        <v>0</v>
      </c>
    </row>
    <row r="5" spans="1:26" s="5" customFormat="1" ht="35.25" customHeight="1" x14ac:dyDescent="0.4">
      <c r="A5" s="5">
        <f t="shared" si="0"/>
        <v>1003</v>
      </c>
      <c r="B5" s="5">
        <v>20300</v>
      </c>
      <c r="C5" s="5" t="s">
        <v>1</v>
      </c>
      <c r="D5" s="5" t="s">
        <v>41</v>
      </c>
      <c r="E5" s="5" t="s">
        <v>67</v>
      </c>
      <c r="F5" s="6" t="s">
        <v>135</v>
      </c>
      <c r="G5" s="5">
        <v>0</v>
      </c>
      <c r="H5" s="5">
        <v>3</v>
      </c>
      <c r="I5" s="5">
        <v>12</v>
      </c>
      <c r="J5" s="5">
        <v>31</v>
      </c>
      <c r="K5" s="5">
        <v>500</v>
      </c>
      <c r="L5" s="5">
        <v>11</v>
      </c>
      <c r="M5" s="5">
        <v>10</v>
      </c>
      <c r="N5" s="5">
        <v>3</v>
      </c>
      <c r="O5" s="5">
        <v>1</v>
      </c>
      <c r="P5" s="5">
        <v>99</v>
      </c>
      <c r="Q5" s="5">
        <v>1</v>
      </c>
      <c r="R5" s="5">
        <v>0</v>
      </c>
      <c r="S5" s="5">
        <v>3</v>
      </c>
      <c r="T5" s="5">
        <v>0</v>
      </c>
      <c r="U5" s="5">
        <v>0</v>
      </c>
      <c r="V5" s="5" t="s">
        <v>118</v>
      </c>
      <c r="W5" s="5" t="s">
        <v>121</v>
      </c>
      <c r="X5" s="5" t="s">
        <v>117</v>
      </c>
      <c r="Y5" s="6" t="s">
        <v>21</v>
      </c>
      <c r="Z5" s="5">
        <v>0</v>
      </c>
    </row>
    <row r="6" spans="1:26" s="5" customFormat="1" ht="35.25" customHeight="1" x14ac:dyDescent="0.4">
      <c r="A6" s="5">
        <f t="shared" si="0"/>
        <v>1004</v>
      </c>
      <c r="B6" s="5">
        <v>20400</v>
      </c>
      <c r="C6" s="5" t="s">
        <v>1</v>
      </c>
      <c r="D6" s="5" t="s">
        <v>42</v>
      </c>
      <c r="E6" s="5" t="s">
        <v>68</v>
      </c>
      <c r="F6" s="6" t="s">
        <v>69</v>
      </c>
      <c r="G6" s="5">
        <v>0</v>
      </c>
      <c r="H6" s="5">
        <v>4</v>
      </c>
      <c r="I6" s="5">
        <v>12</v>
      </c>
      <c r="J6" s="5">
        <v>31</v>
      </c>
      <c r="K6" s="5">
        <v>1000</v>
      </c>
      <c r="L6" s="5">
        <v>11</v>
      </c>
      <c r="M6" s="5">
        <v>10</v>
      </c>
      <c r="N6" s="5">
        <v>4</v>
      </c>
      <c r="O6" s="5">
        <v>1</v>
      </c>
      <c r="P6" s="5">
        <v>99</v>
      </c>
      <c r="Q6" s="5">
        <v>1</v>
      </c>
      <c r="R6" s="5">
        <v>0</v>
      </c>
      <c r="S6" s="5">
        <v>5</v>
      </c>
      <c r="T6" s="5">
        <v>0</v>
      </c>
      <c r="U6" s="5">
        <v>0</v>
      </c>
      <c r="V6" s="5" t="s">
        <v>118</v>
      </c>
      <c r="W6" s="5" t="s">
        <v>121</v>
      </c>
      <c r="X6" s="5" t="s">
        <v>117</v>
      </c>
      <c r="Y6" s="6" t="s">
        <v>21</v>
      </c>
      <c r="Z6" s="5">
        <v>0</v>
      </c>
    </row>
    <row r="7" spans="1:26" s="5" customFormat="1" ht="35.25" customHeight="1" x14ac:dyDescent="0.4">
      <c r="A7" s="5">
        <f t="shared" si="0"/>
        <v>1005</v>
      </c>
      <c r="B7" s="5">
        <v>20500</v>
      </c>
      <c r="C7" s="5" t="s">
        <v>1</v>
      </c>
      <c r="D7" s="5" t="s">
        <v>43</v>
      </c>
      <c r="E7" s="5" t="s">
        <v>102</v>
      </c>
      <c r="F7" s="6" t="s">
        <v>104</v>
      </c>
      <c r="G7" s="5">
        <v>0</v>
      </c>
      <c r="H7" s="5">
        <v>4</v>
      </c>
      <c r="I7" s="5">
        <v>12</v>
      </c>
      <c r="J7" s="5">
        <v>31</v>
      </c>
      <c r="K7" s="5">
        <v>1500</v>
      </c>
      <c r="L7" s="5">
        <v>10</v>
      </c>
      <c r="M7" s="5">
        <v>15</v>
      </c>
      <c r="N7" s="5">
        <v>4</v>
      </c>
      <c r="O7" s="5">
        <v>1</v>
      </c>
      <c r="P7" s="5">
        <v>99</v>
      </c>
      <c r="Q7" s="5">
        <v>1</v>
      </c>
      <c r="R7" s="5">
        <v>0</v>
      </c>
      <c r="S7" s="5">
        <v>7</v>
      </c>
      <c r="T7" s="5">
        <v>0</v>
      </c>
      <c r="U7" s="5">
        <v>0</v>
      </c>
      <c r="V7" s="5" t="s">
        <v>118</v>
      </c>
      <c r="W7" s="5" t="s">
        <v>121</v>
      </c>
      <c r="X7" s="5" t="s">
        <v>117</v>
      </c>
      <c r="Y7" s="6" t="s">
        <v>21</v>
      </c>
      <c r="Z7" s="5">
        <v>0</v>
      </c>
    </row>
    <row r="8" spans="1:26" s="5" customFormat="1" ht="35.25" customHeight="1" x14ac:dyDescent="0.4">
      <c r="A8" s="5">
        <f t="shared" si="0"/>
        <v>1006</v>
      </c>
      <c r="B8" s="5">
        <v>20600</v>
      </c>
      <c r="C8" s="5" t="s">
        <v>1</v>
      </c>
      <c r="D8" s="5" t="s">
        <v>44</v>
      </c>
      <c r="E8" s="5" t="s">
        <v>75</v>
      </c>
      <c r="F8" s="6" t="s">
        <v>105</v>
      </c>
      <c r="G8" s="5">
        <v>0</v>
      </c>
      <c r="H8" s="5">
        <v>3</v>
      </c>
      <c r="I8" s="5">
        <v>12</v>
      </c>
      <c r="J8" s="5">
        <v>31</v>
      </c>
      <c r="K8" s="5">
        <v>2000</v>
      </c>
      <c r="L8" s="5">
        <v>12</v>
      </c>
      <c r="M8" s="5">
        <v>20</v>
      </c>
      <c r="N8" s="5">
        <v>4</v>
      </c>
      <c r="O8" s="5">
        <v>1</v>
      </c>
      <c r="P8" s="5">
        <v>99</v>
      </c>
      <c r="Q8" s="5">
        <v>1</v>
      </c>
      <c r="R8" s="5">
        <v>0</v>
      </c>
      <c r="S8" s="5">
        <v>7</v>
      </c>
      <c r="T8" s="5">
        <v>0</v>
      </c>
      <c r="U8" s="5">
        <v>0</v>
      </c>
      <c r="V8" s="5" t="s">
        <v>118</v>
      </c>
      <c r="W8" s="5" t="s">
        <v>121</v>
      </c>
      <c r="X8" s="5" t="s">
        <v>117</v>
      </c>
      <c r="Y8" s="6" t="s">
        <v>21</v>
      </c>
      <c r="Z8" s="5">
        <v>0</v>
      </c>
    </row>
    <row r="9" spans="1:26" s="5" customFormat="1" ht="35.25" customHeight="1" x14ac:dyDescent="0.4">
      <c r="A9" s="5">
        <f t="shared" si="0"/>
        <v>1007</v>
      </c>
      <c r="B9" s="5">
        <v>20700</v>
      </c>
      <c r="C9" s="5" t="s">
        <v>1</v>
      </c>
      <c r="D9" s="5" t="s">
        <v>45</v>
      </c>
      <c r="E9" s="5" t="s">
        <v>88</v>
      </c>
      <c r="F9" s="6" t="s">
        <v>136</v>
      </c>
      <c r="G9" s="5">
        <v>0</v>
      </c>
      <c r="H9" s="5">
        <v>5</v>
      </c>
      <c r="I9" s="5">
        <v>12</v>
      </c>
      <c r="J9" s="5">
        <v>31</v>
      </c>
      <c r="K9" s="5">
        <v>5000</v>
      </c>
      <c r="L9" s="5">
        <v>12</v>
      </c>
      <c r="M9" s="5">
        <v>35</v>
      </c>
      <c r="N9" s="5">
        <v>5</v>
      </c>
      <c r="O9" s="5">
        <v>1</v>
      </c>
      <c r="P9" s="5">
        <v>99</v>
      </c>
      <c r="Q9" s="5">
        <v>1</v>
      </c>
      <c r="R9" s="5">
        <v>0</v>
      </c>
      <c r="S9" s="5">
        <v>10</v>
      </c>
      <c r="T9" s="5">
        <v>0</v>
      </c>
      <c r="U9" s="5">
        <v>0</v>
      </c>
      <c r="V9" s="5" t="s">
        <v>118</v>
      </c>
      <c r="W9" s="5" t="s">
        <v>121</v>
      </c>
      <c r="X9" s="5" t="s">
        <v>117</v>
      </c>
      <c r="Y9" s="6" t="s">
        <v>21</v>
      </c>
      <c r="Z9" s="5">
        <v>0</v>
      </c>
    </row>
    <row r="10" spans="1:26" s="5" customFormat="1" ht="30" customHeight="1" x14ac:dyDescent="0.4">
      <c r="A10" s="5">
        <f>ROW()-2+1000</f>
        <v>1008</v>
      </c>
      <c r="B10" s="5">
        <v>2000</v>
      </c>
      <c r="C10" s="5" t="s">
        <v>1</v>
      </c>
      <c r="D10" s="5" t="s">
        <v>37</v>
      </c>
      <c r="E10" s="5" t="s">
        <v>29</v>
      </c>
      <c r="F10" s="6" t="s">
        <v>151</v>
      </c>
      <c r="G10" s="5">
        <v>0</v>
      </c>
      <c r="H10" s="5">
        <v>5</v>
      </c>
      <c r="I10" s="5">
        <v>12</v>
      </c>
      <c r="J10" s="5">
        <v>31</v>
      </c>
      <c r="K10" s="5">
        <v>3000</v>
      </c>
      <c r="L10" s="5">
        <v>100</v>
      </c>
      <c r="M10" s="5">
        <v>15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10</v>
      </c>
      <c r="T10" s="5">
        <v>0</v>
      </c>
      <c r="U10" s="5">
        <v>0</v>
      </c>
      <c r="V10" s="5" t="s">
        <v>118</v>
      </c>
      <c r="W10" s="5" t="s">
        <v>121</v>
      </c>
      <c r="X10" s="5" t="s">
        <v>116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workbookViewId="0">
      <selection activeCell="O11" sqref="O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s="5" customFormat="1" ht="35.25" customHeight="1" x14ac:dyDescent="0.4">
      <c r="A2" s="5">
        <f t="shared" ref="A2:A10" si="0">ROW()-2+2000</f>
        <v>2000</v>
      </c>
      <c r="B2" s="5">
        <v>30000</v>
      </c>
      <c r="C2" s="5" t="s">
        <v>1</v>
      </c>
      <c r="D2" s="5" t="s">
        <v>48</v>
      </c>
      <c r="E2" s="5" t="s">
        <v>76</v>
      </c>
      <c r="F2" s="6" t="s">
        <v>99</v>
      </c>
      <c r="G2" s="5">
        <v>0</v>
      </c>
      <c r="H2" s="5">
        <v>1</v>
      </c>
      <c r="I2" s="5">
        <v>12</v>
      </c>
      <c r="J2" s="5">
        <v>31</v>
      </c>
      <c r="K2" s="5">
        <v>300</v>
      </c>
      <c r="L2" s="5">
        <v>1</v>
      </c>
      <c r="M2" s="5">
        <v>0</v>
      </c>
      <c r="N2" s="5">
        <v>2</v>
      </c>
      <c r="O2" s="5">
        <v>0</v>
      </c>
      <c r="P2" s="5">
        <v>99</v>
      </c>
      <c r="Q2" s="5">
        <v>1</v>
      </c>
      <c r="R2" s="5">
        <v>0</v>
      </c>
      <c r="S2" s="5">
        <v>3</v>
      </c>
      <c r="T2" s="5">
        <v>0</v>
      </c>
      <c r="U2" s="5">
        <v>0</v>
      </c>
      <c r="V2" s="5" t="s">
        <v>119</v>
      </c>
      <c r="W2" s="5" t="s">
        <v>123</v>
      </c>
      <c r="X2" s="5" t="s">
        <v>117</v>
      </c>
      <c r="Y2" s="6" t="s">
        <v>21</v>
      </c>
      <c r="Z2" s="5">
        <v>0</v>
      </c>
    </row>
    <row r="3" spans="1:26" s="5" customFormat="1" ht="35.25" customHeight="1" x14ac:dyDescent="0.4">
      <c r="A3" s="5">
        <f t="shared" si="0"/>
        <v>2001</v>
      </c>
      <c r="B3" s="5">
        <v>30100</v>
      </c>
      <c r="C3" s="5" t="s">
        <v>1</v>
      </c>
      <c r="D3" s="5" t="s">
        <v>49</v>
      </c>
      <c r="E3" s="5" t="s">
        <v>83</v>
      </c>
      <c r="F3" s="6" t="s">
        <v>137</v>
      </c>
      <c r="G3" s="5">
        <v>0</v>
      </c>
      <c r="H3" s="5">
        <v>2</v>
      </c>
      <c r="I3" s="5">
        <v>12</v>
      </c>
      <c r="J3" s="5">
        <v>31</v>
      </c>
      <c r="K3" s="5">
        <v>500</v>
      </c>
      <c r="L3" s="5">
        <v>20</v>
      </c>
      <c r="M3" s="5">
        <v>10</v>
      </c>
      <c r="N3" s="5">
        <v>2</v>
      </c>
      <c r="O3" s="5">
        <v>1</v>
      </c>
      <c r="P3" s="5">
        <v>99</v>
      </c>
      <c r="Q3" s="5">
        <v>1</v>
      </c>
      <c r="R3" s="5">
        <v>0</v>
      </c>
      <c r="S3" s="5">
        <v>3</v>
      </c>
      <c r="T3" s="5">
        <v>0</v>
      </c>
      <c r="U3" s="5">
        <v>0</v>
      </c>
      <c r="V3" s="5" t="s">
        <v>119</v>
      </c>
      <c r="W3" s="5" t="s">
        <v>123</v>
      </c>
      <c r="X3" s="5" t="s">
        <v>117</v>
      </c>
      <c r="Y3" s="6" t="s">
        <v>24</v>
      </c>
      <c r="Z3" s="5">
        <v>0</v>
      </c>
    </row>
    <row r="4" spans="1:26" s="5" customFormat="1" ht="35.25" customHeight="1" x14ac:dyDescent="0.4">
      <c r="A4" s="5">
        <f t="shared" si="0"/>
        <v>2002</v>
      </c>
      <c r="B4" s="5">
        <v>30200</v>
      </c>
      <c r="C4" s="5" t="s">
        <v>1</v>
      </c>
      <c r="D4" s="5" t="s">
        <v>50</v>
      </c>
      <c r="E4" s="5" t="s">
        <v>73</v>
      </c>
      <c r="F4" s="6" t="s">
        <v>138</v>
      </c>
      <c r="G4" s="5">
        <v>0</v>
      </c>
      <c r="H4" s="5">
        <v>3</v>
      </c>
      <c r="I4" s="5">
        <v>12</v>
      </c>
      <c r="J4" s="5">
        <v>31</v>
      </c>
      <c r="K4" s="5">
        <v>1200</v>
      </c>
      <c r="L4" s="5">
        <v>20</v>
      </c>
      <c r="M4" s="5">
        <v>20</v>
      </c>
      <c r="N4" s="5">
        <v>3</v>
      </c>
      <c r="O4" s="5">
        <v>1</v>
      </c>
      <c r="P4" s="5">
        <v>99</v>
      </c>
      <c r="Q4" s="5">
        <v>1</v>
      </c>
      <c r="R4" s="5">
        <v>0</v>
      </c>
      <c r="S4" s="5">
        <v>5</v>
      </c>
      <c r="T4" s="5">
        <v>0</v>
      </c>
      <c r="U4" s="5">
        <v>0</v>
      </c>
      <c r="V4" s="5" t="s">
        <v>119</v>
      </c>
      <c r="W4" s="5" t="s">
        <v>123</v>
      </c>
      <c r="X4" s="5" t="s">
        <v>117</v>
      </c>
      <c r="Y4" s="6" t="s">
        <v>21</v>
      </c>
      <c r="Z4" s="5">
        <v>0</v>
      </c>
    </row>
    <row r="5" spans="1:26" s="5" customFormat="1" ht="35.25" customHeight="1" x14ac:dyDescent="0.4">
      <c r="A5" s="5">
        <f t="shared" si="0"/>
        <v>2003</v>
      </c>
      <c r="B5" s="5">
        <v>30300</v>
      </c>
      <c r="C5" s="5" t="s">
        <v>1</v>
      </c>
      <c r="D5" s="5" t="s">
        <v>51</v>
      </c>
      <c r="E5" s="5" t="s">
        <v>84</v>
      </c>
      <c r="F5" s="6" t="s">
        <v>139</v>
      </c>
      <c r="G5" s="5">
        <v>0</v>
      </c>
      <c r="H5" s="5">
        <v>4</v>
      </c>
      <c r="I5" s="5">
        <v>12</v>
      </c>
      <c r="J5" s="5">
        <v>31</v>
      </c>
      <c r="K5" s="5">
        <v>500</v>
      </c>
      <c r="L5" s="5">
        <v>20</v>
      </c>
      <c r="M5" s="5">
        <v>0</v>
      </c>
      <c r="N5" s="5">
        <v>3</v>
      </c>
      <c r="O5" s="5">
        <v>1</v>
      </c>
      <c r="P5" s="5">
        <v>99</v>
      </c>
      <c r="Q5" s="5">
        <v>1</v>
      </c>
      <c r="R5" s="5">
        <v>0</v>
      </c>
      <c r="S5" s="5">
        <v>3</v>
      </c>
      <c r="T5" s="5">
        <v>0</v>
      </c>
      <c r="U5" s="5">
        <v>0</v>
      </c>
      <c r="V5" s="5" t="s">
        <v>119</v>
      </c>
      <c r="W5" s="5" t="s">
        <v>123</v>
      </c>
      <c r="X5" s="5" t="s">
        <v>117</v>
      </c>
      <c r="Y5" s="6" t="s">
        <v>21</v>
      </c>
      <c r="Z5" s="5">
        <v>0</v>
      </c>
    </row>
    <row r="6" spans="1:26" s="5" customFormat="1" ht="35.25" customHeight="1" x14ac:dyDescent="0.4">
      <c r="A6" s="5">
        <f t="shared" si="0"/>
        <v>2004</v>
      </c>
      <c r="B6" s="5">
        <v>30400</v>
      </c>
      <c r="C6" s="5" t="s">
        <v>1</v>
      </c>
      <c r="D6" s="5" t="s">
        <v>52</v>
      </c>
      <c r="E6" s="5" t="s">
        <v>64</v>
      </c>
      <c r="F6" s="6" t="s">
        <v>140</v>
      </c>
      <c r="G6" s="5">
        <v>0</v>
      </c>
      <c r="H6" s="5">
        <v>3</v>
      </c>
      <c r="I6" s="5">
        <v>12</v>
      </c>
      <c r="J6" s="5">
        <v>31</v>
      </c>
      <c r="K6" s="5">
        <v>1000</v>
      </c>
      <c r="L6" s="5">
        <v>21</v>
      </c>
      <c r="M6" s="5">
        <v>25</v>
      </c>
      <c r="N6" s="5">
        <v>4</v>
      </c>
      <c r="O6" s="5">
        <v>1</v>
      </c>
      <c r="P6" s="5">
        <v>99</v>
      </c>
      <c r="Q6" s="5">
        <v>1</v>
      </c>
      <c r="R6" s="5">
        <v>0</v>
      </c>
      <c r="S6" s="5">
        <v>3</v>
      </c>
      <c r="T6" s="5">
        <v>0</v>
      </c>
      <c r="U6" s="5">
        <v>0</v>
      </c>
      <c r="V6" s="5" t="s">
        <v>119</v>
      </c>
      <c r="W6" s="5" t="s">
        <v>123</v>
      </c>
      <c r="X6" s="5" t="s">
        <v>117</v>
      </c>
      <c r="Y6" s="6" t="s">
        <v>21</v>
      </c>
      <c r="Z6" s="5">
        <v>0</v>
      </c>
    </row>
    <row r="7" spans="1:26" s="5" customFormat="1" ht="35.25" customHeight="1" x14ac:dyDescent="0.4">
      <c r="A7" s="5">
        <f t="shared" si="0"/>
        <v>2005</v>
      </c>
      <c r="B7" s="5">
        <v>30500</v>
      </c>
      <c r="C7" s="5" t="s">
        <v>1</v>
      </c>
      <c r="D7" s="5" t="s">
        <v>53</v>
      </c>
      <c r="E7" s="5" t="s">
        <v>86</v>
      </c>
      <c r="F7" s="6" t="s">
        <v>141</v>
      </c>
      <c r="G7" s="5">
        <v>0</v>
      </c>
      <c r="H7" s="5">
        <v>5</v>
      </c>
      <c r="I7" s="5">
        <v>12</v>
      </c>
      <c r="J7" s="5">
        <v>31</v>
      </c>
      <c r="K7" s="5">
        <v>2000</v>
      </c>
      <c r="L7" s="5">
        <v>21</v>
      </c>
      <c r="M7" s="5">
        <v>30</v>
      </c>
      <c r="N7" s="5">
        <v>5</v>
      </c>
      <c r="O7" s="5">
        <v>1</v>
      </c>
      <c r="P7" s="5">
        <v>99</v>
      </c>
      <c r="Q7" s="5">
        <v>1</v>
      </c>
      <c r="R7" s="5">
        <v>0</v>
      </c>
      <c r="S7" s="5">
        <v>5</v>
      </c>
      <c r="T7" s="5">
        <v>0</v>
      </c>
      <c r="U7" s="5">
        <v>0</v>
      </c>
      <c r="V7" s="5" t="s">
        <v>119</v>
      </c>
      <c r="W7" s="5" t="s">
        <v>123</v>
      </c>
      <c r="X7" s="5" t="s">
        <v>117</v>
      </c>
      <c r="Y7" s="6" t="s">
        <v>21</v>
      </c>
      <c r="Z7" s="5">
        <v>0</v>
      </c>
    </row>
    <row r="8" spans="1:26" s="5" customFormat="1" ht="35.25" customHeight="1" x14ac:dyDescent="0.4">
      <c r="A8" s="5">
        <f t="shared" si="0"/>
        <v>2006</v>
      </c>
      <c r="B8" s="5">
        <v>30600</v>
      </c>
      <c r="C8" s="5" t="s">
        <v>1</v>
      </c>
      <c r="D8" s="5" t="s">
        <v>54</v>
      </c>
      <c r="E8" s="5" t="s">
        <v>87</v>
      </c>
      <c r="F8" s="6" t="s">
        <v>142</v>
      </c>
      <c r="G8" s="5">
        <v>0</v>
      </c>
      <c r="H8" s="5">
        <v>3</v>
      </c>
      <c r="I8" s="5">
        <v>12</v>
      </c>
      <c r="J8" s="5">
        <v>31</v>
      </c>
      <c r="K8" s="5">
        <v>2000</v>
      </c>
      <c r="L8" s="5">
        <v>22</v>
      </c>
      <c r="M8" s="5">
        <v>35</v>
      </c>
      <c r="N8" s="5">
        <v>5</v>
      </c>
      <c r="O8" s="5">
        <v>1</v>
      </c>
      <c r="P8" s="5">
        <v>99</v>
      </c>
      <c r="Q8" s="5">
        <v>1</v>
      </c>
      <c r="R8" s="5">
        <v>0</v>
      </c>
      <c r="S8" s="5">
        <v>5</v>
      </c>
      <c r="T8" s="5">
        <v>0</v>
      </c>
      <c r="U8" s="5">
        <v>0</v>
      </c>
      <c r="V8" s="5" t="s">
        <v>119</v>
      </c>
      <c r="W8" s="5" t="s">
        <v>123</v>
      </c>
      <c r="X8" s="5" t="s">
        <v>117</v>
      </c>
      <c r="Y8" s="6" t="s">
        <v>21</v>
      </c>
      <c r="Z8" s="5">
        <v>0</v>
      </c>
    </row>
    <row r="9" spans="1:26" s="5" customFormat="1" ht="35.25" customHeight="1" x14ac:dyDescent="0.4">
      <c r="A9" s="5">
        <f t="shared" si="0"/>
        <v>2007</v>
      </c>
      <c r="B9" s="5">
        <v>30700</v>
      </c>
      <c r="C9" s="5" t="s">
        <v>1</v>
      </c>
      <c r="D9" s="5" t="s">
        <v>55</v>
      </c>
      <c r="E9" s="5" t="s">
        <v>74</v>
      </c>
      <c r="F9" s="6" t="s">
        <v>128</v>
      </c>
      <c r="G9" s="5">
        <v>0</v>
      </c>
      <c r="H9" s="5">
        <v>5</v>
      </c>
      <c r="I9" s="5">
        <v>12</v>
      </c>
      <c r="J9" s="5">
        <v>31</v>
      </c>
      <c r="K9" s="5">
        <v>3000</v>
      </c>
      <c r="L9" s="5">
        <v>22</v>
      </c>
      <c r="M9" s="5">
        <v>38</v>
      </c>
      <c r="N9" s="5">
        <v>4</v>
      </c>
      <c r="O9" s="5">
        <v>1</v>
      </c>
      <c r="P9" s="5">
        <v>99</v>
      </c>
      <c r="Q9" s="5">
        <v>1</v>
      </c>
      <c r="R9" s="5">
        <v>0</v>
      </c>
      <c r="S9" s="5">
        <v>5</v>
      </c>
      <c r="T9" s="5">
        <v>0</v>
      </c>
      <c r="U9" s="5">
        <v>0</v>
      </c>
      <c r="V9" s="5" t="s">
        <v>119</v>
      </c>
      <c r="W9" s="5" t="s">
        <v>123</v>
      </c>
      <c r="X9" s="5" t="s">
        <v>117</v>
      </c>
      <c r="Y9" s="6" t="s">
        <v>21</v>
      </c>
      <c r="Z9" s="5">
        <v>0</v>
      </c>
    </row>
    <row r="10" spans="1:26" s="2" customFormat="1" ht="35.25" customHeight="1" x14ac:dyDescent="0.4">
      <c r="A10" s="2">
        <f t="shared" si="0"/>
        <v>2008</v>
      </c>
      <c r="B10" s="2">
        <v>30800</v>
      </c>
      <c r="C10" s="2" t="s">
        <v>1</v>
      </c>
      <c r="D10" s="2" t="s">
        <v>126</v>
      </c>
      <c r="E10" s="2" t="s">
        <v>127</v>
      </c>
      <c r="F10" s="3" t="s">
        <v>131</v>
      </c>
      <c r="G10" s="2">
        <v>0</v>
      </c>
      <c r="H10" s="2">
        <v>5</v>
      </c>
      <c r="I10" s="2">
        <v>12</v>
      </c>
      <c r="J10" s="2">
        <v>31</v>
      </c>
      <c r="K10" s="2">
        <v>3000</v>
      </c>
      <c r="L10" s="2">
        <v>22</v>
      </c>
      <c r="M10" s="2">
        <v>38</v>
      </c>
      <c r="N10" s="2">
        <v>3</v>
      </c>
      <c r="O10" s="2">
        <v>0</v>
      </c>
      <c r="P10" s="2">
        <v>99</v>
      </c>
      <c r="Q10" s="2">
        <v>1</v>
      </c>
      <c r="R10" s="2">
        <v>0</v>
      </c>
      <c r="S10" s="2">
        <v>5</v>
      </c>
      <c r="T10" s="2">
        <v>0</v>
      </c>
      <c r="U10" s="2">
        <v>0</v>
      </c>
      <c r="V10" s="2" t="s">
        <v>119</v>
      </c>
      <c r="W10" s="2" t="s">
        <v>123</v>
      </c>
      <c r="X10" s="2" t="s">
        <v>117</v>
      </c>
      <c r="Y10" s="3" t="s">
        <v>21</v>
      </c>
      <c r="Z10" s="2">
        <v>0</v>
      </c>
    </row>
    <row r="11" spans="1:26" s="5" customFormat="1" ht="30" customHeight="1" x14ac:dyDescent="0.4">
      <c r="A11" s="5">
        <f>ROW()-2+2000</f>
        <v>2009</v>
      </c>
      <c r="B11" s="5">
        <v>3000</v>
      </c>
      <c r="C11" s="5" t="s">
        <v>1</v>
      </c>
      <c r="D11" s="5" t="s">
        <v>46</v>
      </c>
      <c r="E11" s="5" t="s">
        <v>149</v>
      </c>
      <c r="F11" s="6" t="s">
        <v>150</v>
      </c>
      <c r="G11" s="5">
        <v>0</v>
      </c>
      <c r="H11" s="5">
        <v>5</v>
      </c>
      <c r="I11" s="5">
        <v>12</v>
      </c>
      <c r="J11" s="5">
        <v>31</v>
      </c>
      <c r="K11" s="5">
        <v>5000</v>
      </c>
      <c r="L11" s="5">
        <v>200</v>
      </c>
      <c r="M11" s="5">
        <v>30</v>
      </c>
      <c r="N11" s="5">
        <v>5</v>
      </c>
      <c r="O11" s="5">
        <v>1</v>
      </c>
      <c r="P11" s="5">
        <v>99</v>
      </c>
      <c r="Q11" s="5">
        <v>0</v>
      </c>
      <c r="R11" s="5">
        <v>0</v>
      </c>
      <c r="S11" s="5">
        <v>10</v>
      </c>
      <c r="T11" s="5">
        <v>0</v>
      </c>
      <c r="U11" s="5">
        <v>0</v>
      </c>
      <c r="V11" s="5" t="s">
        <v>119</v>
      </c>
      <c r="W11" s="5" t="s">
        <v>123</v>
      </c>
      <c r="X11" s="5" t="s">
        <v>116</v>
      </c>
      <c r="Y11" s="6" t="s">
        <v>20</v>
      </c>
      <c r="Z1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workbookViewId="0">
      <selection activeCell="P3" sqref="P3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70</v>
      </c>
      <c r="F2" s="6" t="s">
        <v>153</v>
      </c>
      <c r="G2" s="5">
        <v>0</v>
      </c>
      <c r="H2" s="5">
        <v>1</v>
      </c>
      <c r="I2" s="5">
        <v>12</v>
      </c>
      <c r="J2" s="5">
        <v>31</v>
      </c>
      <c r="K2" s="5">
        <v>0</v>
      </c>
      <c r="L2" s="5">
        <v>1</v>
      </c>
      <c r="M2" s="5">
        <v>0</v>
      </c>
      <c r="N2" s="5">
        <v>1</v>
      </c>
      <c r="O2" s="5">
        <v>0</v>
      </c>
      <c r="P2" s="5">
        <v>99</v>
      </c>
      <c r="Q2" s="5">
        <v>1</v>
      </c>
      <c r="R2" s="5">
        <v>0</v>
      </c>
      <c r="S2" s="5">
        <v>3</v>
      </c>
      <c r="T2" s="5">
        <v>0</v>
      </c>
      <c r="U2" s="5">
        <v>0</v>
      </c>
      <c r="V2" s="5" t="s">
        <v>120</v>
      </c>
      <c r="W2" s="5" t="s">
        <v>122</v>
      </c>
      <c r="X2" s="5" t="s">
        <v>117</v>
      </c>
      <c r="Y2" s="6" t="s">
        <v>21</v>
      </c>
      <c r="Z2" s="5">
        <v>0</v>
      </c>
    </row>
    <row r="3" spans="1:26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82</v>
      </c>
      <c r="F3" s="6" t="s">
        <v>129</v>
      </c>
      <c r="G3" s="5">
        <v>0</v>
      </c>
      <c r="H3" s="5">
        <v>2</v>
      </c>
      <c r="I3" s="5">
        <v>12</v>
      </c>
      <c r="J3" s="5">
        <v>31</v>
      </c>
      <c r="K3" s="5">
        <v>800</v>
      </c>
      <c r="L3" s="5">
        <v>30</v>
      </c>
      <c r="M3" s="5">
        <v>20</v>
      </c>
      <c r="N3" s="5">
        <v>3</v>
      </c>
      <c r="O3" s="5">
        <v>1</v>
      </c>
      <c r="P3" s="5">
        <v>99</v>
      </c>
      <c r="Q3" s="5">
        <v>1</v>
      </c>
      <c r="R3" s="5">
        <v>0</v>
      </c>
      <c r="S3" s="5">
        <v>5</v>
      </c>
      <c r="T3" s="5">
        <v>0</v>
      </c>
      <c r="U3" s="5">
        <v>0</v>
      </c>
      <c r="V3" s="5" t="s">
        <v>120</v>
      </c>
      <c r="W3" s="5" t="s">
        <v>122</v>
      </c>
      <c r="X3" s="5" t="s">
        <v>117</v>
      </c>
      <c r="Y3" s="6" t="s">
        <v>24</v>
      </c>
      <c r="Z3" s="5">
        <v>0</v>
      </c>
    </row>
    <row r="4" spans="1:26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81</v>
      </c>
      <c r="F4" s="6" t="s">
        <v>71</v>
      </c>
      <c r="G4" s="5">
        <v>0</v>
      </c>
      <c r="H4" s="5">
        <v>3</v>
      </c>
      <c r="I4" s="5">
        <v>12</v>
      </c>
      <c r="J4" s="5">
        <v>31</v>
      </c>
      <c r="K4" s="5">
        <v>1000</v>
      </c>
      <c r="L4" s="5">
        <v>30</v>
      </c>
      <c r="M4" s="5">
        <v>30</v>
      </c>
      <c r="N4" s="5">
        <v>4</v>
      </c>
      <c r="O4" s="5">
        <v>1</v>
      </c>
      <c r="P4" s="5">
        <v>99</v>
      </c>
      <c r="Q4" s="5">
        <v>1</v>
      </c>
      <c r="R4" s="5">
        <v>0</v>
      </c>
      <c r="S4" s="5">
        <v>5</v>
      </c>
      <c r="T4" s="5">
        <v>0</v>
      </c>
      <c r="U4" s="5">
        <v>0</v>
      </c>
      <c r="V4" s="5" t="s">
        <v>120</v>
      </c>
      <c r="W4" s="5" t="s">
        <v>122</v>
      </c>
      <c r="X4" s="5" t="s">
        <v>117</v>
      </c>
      <c r="Y4" s="6" t="s">
        <v>21</v>
      </c>
      <c r="Z4" s="5">
        <v>0</v>
      </c>
    </row>
    <row r="5" spans="1:26" s="5" customFormat="1" ht="35.25" customHeight="1" x14ac:dyDescent="0.4">
      <c r="A5" s="5">
        <f t="shared" si="0"/>
        <v>3003</v>
      </c>
      <c r="B5" s="5">
        <v>40300</v>
      </c>
      <c r="C5" s="5" t="s">
        <v>1</v>
      </c>
      <c r="D5" s="5" t="s">
        <v>59</v>
      </c>
      <c r="E5" s="5" t="s">
        <v>100</v>
      </c>
      <c r="F5" s="6" t="s">
        <v>143</v>
      </c>
      <c r="G5" s="5">
        <v>0</v>
      </c>
      <c r="H5" s="5">
        <v>2</v>
      </c>
      <c r="I5" s="5">
        <v>12</v>
      </c>
      <c r="J5" s="5">
        <v>31</v>
      </c>
      <c r="K5" s="5">
        <v>1200</v>
      </c>
      <c r="L5" s="5">
        <v>31</v>
      </c>
      <c r="M5" s="5">
        <v>40</v>
      </c>
      <c r="N5" s="5">
        <v>3</v>
      </c>
      <c r="O5" s="5">
        <v>1</v>
      </c>
      <c r="P5" s="5">
        <v>99</v>
      </c>
      <c r="Q5" s="5">
        <v>1</v>
      </c>
      <c r="R5" s="5">
        <v>0</v>
      </c>
      <c r="S5" s="5">
        <v>3</v>
      </c>
      <c r="T5" s="5">
        <v>0</v>
      </c>
      <c r="U5" s="5">
        <v>0</v>
      </c>
      <c r="V5" s="5" t="s">
        <v>120</v>
      </c>
      <c r="W5" s="5" t="s">
        <v>122</v>
      </c>
      <c r="X5" s="5" t="s">
        <v>117</v>
      </c>
      <c r="Y5" s="6" t="s">
        <v>21</v>
      </c>
      <c r="Z5" s="5">
        <v>0</v>
      </c>
    </row>
    <row r="6" spans="1:26" s="5" customFormat="1" ht="35.25" customHeight="1" x14ac:dyDescent="0.4">
      <c r="A6" s="5">
        <f t="shared" si="0"/>
        <v>3004</v>
      </c>
      <c r="B6" s="5">
        <v>40400</v>
      </c>
      <c r="C6" s="5" t="s">
        <v>1</v>
      </c>
      <c r="D6" s="5" t="s">
        <v>60</v>
      </c>
      <c r="E6" s="5" t="s">
        <v>144</v>
      </c>
      <c r="F6" s="6" t="s">
        <v>145</v>
      </c>
      <c r="G6" s="5">
        <v>0</v>
      </c>
      <c r="H6" s="5">
        <v>3</v>
      </c>
      <c r="I6" s="5">
        <v>12</v>
      </c>
      <c r="J6" s="5">
        <v>31</v>
      </c>
      <c r="K6" s="5">
        <v>1000</v>
      </c>
      <c r="L6" s="5">
        <v>30</v>
      </c>
      <c r="M6" s="5">
        <v>50</v>
      </c>
      <c r="N6" s="5">
        <v>4</v>
      </c>
      <c r="O6" s="5">
        <v>1</v>
      </c>
      <c r="P6" s="5">
        <v>99</v>
      </c>
      <c r="Q6" s="5">
        <v>1</v>
      </c>
      <c r="R6" s="5">
        <v>0</v>
      </c>
      <c r="S6" s="5">
        <v>5</v>
      </c>
      <c r="T6" s="5">
        <v>0</v>
      </c>
      <c r="U6" s="5">
        <v>0</v>
      </c>
      <c r="V6" s="5" t="s">
        <v>120</v>
      </c>
      <c r="W6" s="5" t="s">
        <v>122</v>
      </c>
      <c r="X6" s="5" t="s">
        <v>117</v>
      </c>
      <c r="Y6" s="6" t="s">
        <v>21</v>
      </c>
      <c r="Z6" s="5">
        <v>0</v>
      </c>
    </row>
    <row r="7" spans="1:26" s="5" customFormat="1" ht="35.25" customHeight="1" x14ac:dyDescent="0.4">
      <c r="A7" s="5">
        <f t="shared" si="0"/>
        <v>3005</v>
      </c>
      <c r="B7" s="5">
        <v>40500</v>
      </c>
      <c r="C7" s="5" t="s">
        <v>1</v>
      </c>
      <c r="D7" s="5" t="s">
        <v>61</v>
      </c>
      <c r="E7" s="5" t="s">
        <v>78</v>
      </c>
      <c r="F7" s="6" t="s">
        <v>79</v>
      </c>
      <c r="G7" s="5">
        <v>0</v>
      </c>
      <c r="H7" s="5">
        <v>5</v>
      </c>
      <c r="I7" s="5">
        <v>12</v>
      </c>
      <c r="J7" s="5">
        <v>31</v>
      </c>
      <c r="K7" s="5">
        <v>700</v>
      </c>
      <c r="L7" s="5">
        <v>31</v>
      </c>
      <c r="M7" s="5">
        <v>55</v>
      </c>
      <c r="N7" s="5">
        <v>5</v>
      </c>
      <c r="O7" s="5">
        <v>1</v>
      </c>
      <c r="P7" s="5">
        <v>99</v>
      </c>
      <c r="Q7" s="5">
        <v>1</v>
      </c>
      <c r="R7" s="5">
        <v>0</v>
      </c>
      <c r="S7" s="5">
        <v>5</v>
      </c>
      <c r="T7" s="5">
        <v>0</v>
      </c>
      <c r="U7" s="5">
        <v>0</v>
      </c>
      <c r="V7" s="5" t="s">
        <v>120</v>
      </c>
      <c r="W7" s="5" t="s">
        <v>122</v>
      </c>
      <c r="X7" s="5" t="s">
        <v>117</v>
      </c>
      <c r="Y7" s="6" t="s">
        <v>21</v>
      </c>
      <c r="Z7" s="5">
        <v>0</v>
      </c>
    </row>
    <row r="8" spans="1:26" s="5" customFormat="1" ht="35.25" customHeight="1" x14ac:dyDescent="0.4">
      <c r="A8" s="5">
        <f t="shared" si="0"/>
        <v>3006</v>
      </c>
      <c r="B8" s="5">
        <v>40600</v>
      </c>
      <c r="C8" s="5" t="s">
        <v>1</v>
      </c>
      <c r="D8" s="5" t="s">
        <v>62</v>
      </c>
      <c r="E8" s="5" t="s">
        <v>80</v>
      </c>
      <c r="F8" s="6" t="s">
        <v>146</v>
      </c>
      <c r="G8" s="5">
        <v>0</v>
      </c>
      <c r="H8" s="5">
        <v>5</v>
      </c>
      <c r="I8" s="5">
        <v>12</v>
      </c>
      <c r="J8" s="5">
        <v>31</v>
      </c>
      <c r="K8" s="5">
        <v>1500</v>
      </c>
      <c r="L8" s="5">
        <v>32</v>
      </c>
      <c r="M8" s="5">
        <v>60</v>
      </c>
      <c r="N8" s="5">
        <v>5</v>
      </c>
      <c r="O8" s="5">
        <v>1</v>
      </c>
      <c r="P8" s="5">
        <v>99</v>
      </c>
      <c r="Q8" s="5">
        <v>1</v>
      </c>
      <c r="R8" s="5">
        <v>0</v>
      </c>
      <c r="S8" s="5">
        <v>5</v>
      </c>
      <c r="T8" s="5">
        <v>0</v>
      </c>
      <c r="U8" s="5">
        <v>0</v>
      </c>
      <c r="V8" s="5" t="s">
        <v>120</v>
      </c>
      <c r="W8" s="5" t="s">
        <v>122</v>
      </c>
      <c r="X8" s="5" t="s">
        <v>117</v>
      </c>
      <c r="Y8" s="6" t="s">
        <v>21</v>
      </c>
      <c r="Z8" s="5">
        <v>0</v>
      </c>
    </row>
    <row r="9" spans="1:26" s="5" customFormat="1" ht="35.25" customHeight="1" x14ac:dyDescent="0.4">
      <c r="A9" s="5">
        <f t="shared" si="0"/>
        <v>3007</v>
      </c>
      <c r="B9" s="5">
        <v>40700</v>
      </c>
      <c r="C9" s="5" t="s">
        <v>1</v>
      </c>
      <c r="D9" s="5" t="s">
        <v>63</v>
      </c>
      <c r="E9" s="5" t="s">
        <v>130</v>
      </c>
      <c r="F9" s="6" t="s">
        <v>147</v>
      </c>
      <c r="G9" s="5">
        <v>0</v>
      </c>
      <c r="H9" s="5">
        <v>6</v>
      </c>
      <c r="I9" s="5">
        <v>12</v>
      </c>
      <c r="J9" s="5">
        <v>31</v>
      </c>
      <c r="K9" s="5">
        <v>3000</v>
      </c>
      <c r="L9" s="5">
        <v>32</v>
      </c>
      <c r="M9" s="5">
        <v>65</v>
      </c>
      <c r="N9" s="5">
        <v>5</v>
      </c>
      <c r="O9" s="5">
        <v>1</v>
      </c>
      <c r="P9" s="5">
        <v>99</v>
      </c>
      <c r="Q9" s="5">
        <v>1</v>
      </c>
      <c r="R9" s="5">
        <v>0</v>
      </c>
      <c r="S9" s="5">
        <v>10</v>
      </c>
      <c r="T9" s="5">
        <v>0</v>
      </c>
      <c r="U9" s="5">
        <v>0</v>
      </c>
      <c r="V9" s="5" t="s">
        <v>120</v>
      </c>
      <c r="W9" s="5" t="s">
        <v>122</v>
      </c>
      <c r="X9" s="5" t="s">
        <v>117</v>
      </c>
      <c r="Y9" s="6" t="s">
        <v>21</v>
      </c>
      <c r="Z9" s="5">
        <v>0</v>
      </c>
    </row>
    <row r="10" spans="1:26" s="5" customFormat="1" ht="30" customHeight="1" x14ac:dyDescent="0.4">
      <c r="A10" s="5">
        <f>ROW()-2+3000</f>
        <v>3008</v>
      </c>
      <c r="B10" s="5">
        <v>4000</v>
      </c>
      <c r="C10" s="5" t="s">
        <v>1</v>
      </c>
      <c r="D10" s="5" t="s">
        <v>47</v>
      </c>
      <c r="E10" s="5" t="s">
        <v>148</v>
      </c>
      <c r="F10" s="6" t="s">
        <v>152</v>
      </c>
      <c r="G10" s="5">
        <v>0</v>
      </c>
      <c r="H10" s="5">
        <v>5</v>
      </c>
      <c r="I10" s="5">
        <v>12</v>
      </c>
      <c r="J10" s="5">
        <v>31</v>
      </c>
      <c r="K10" s="5">
        <v>7000</v>
      </c>
      <c r="L10" s="5">
        <v>300</v>
      </c>
      <c r="M10" s="5">
        <v>30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10</v>
      </c>
      <c r="T10" s="5">
        <v>0</v>
      </c>
      <c r="U10" s="5">
        <v>0</v>
      </c>
      <c r="V10" s="5" t="s">
        <v>120</v>
      </c>
      <c r="W10" s="5" t="s">
        <v>122</v>
      </c>
      <c r="X10" s="5" t="s">
        <v>116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2024-12-06T02:37:18Z</dcterms:modified>
</cp:coreProperties>
</file>