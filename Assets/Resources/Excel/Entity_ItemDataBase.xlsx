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D9AF93EB-3751-40E6-A7F3-7A5D6905D83D}" xr6:coauthVersionLast="47" xr6:coauthVersionMax="47" xr10:uidLastSave="{00000000-0000-0000-0000-000000000000}"/>
  <bookViews>
    <workbookView xWindow="2505" yWindow="1275" windowWidth="25560" windowHeight="14325" activeTab="3"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8" i="3" l="1"/>
  <c r="A29" i="3"/>
  <c r="A98" i="3"/>
  <c r="A97" i="3"/>
  <c r="A96" i="3"/>
  <c r="A95" i="3"/>
  <c r="A22" i="3"/>
  <c r="A21" i="3"/>
  <c r="A28" i="1"/>
  <c r="A29" i="1"/>
  <c r="A39" i="1"/>
  <c r="A58" i="3"/>
  <c r="A104" i="3"/>
  <c r="A103" i="3"/>
  <c r="A102" i="3"/>
  <c r="A101" i="3"/>
  <c r="A100" i="3"/>
  <c r="A99" i="3"/>
  <c r="A94" i="3"/>
  <c r="A93" i="3"/>
  <c r="A92" i="3"/>
  <c r="A111" i="4"/>
  <c r="A48" i="4"/>
  <c r="A59" i="1"/>
  <c r="A20" i="4"/>
  <c r="A292" i="1"/>
  <c r="A291" i="1"/>
  <c r="A185" i="2"/>
  <c r="A133" i="1"/>
  <c r="A320" i="2"/>
  <c r="A35" i="3"/>
  <c r="A241" i="1"/>
  <c r="A276" i="2"/>
  <c r="A275" i="2"/>
  <c r="A274" i="2"/>
  <c r="A273" i="2"/>
  <c r="A272" i="2"/>
  <c r="A271" i="2"/>
  <c r="A270" i="2"/>
  <c r="A269" i="2"/>
  <c r="A268" i="2"/>
  <c r="A267" i="2"/>
  <c r="A266" i="2"/>
  <c r="A265" i="2"/>
  <c r="A161" i="4"/>
  <c r="A181" i="1"/>
  <c r="A114" i="1"/>
  <c r="A113" i="1"/>
  <c r="A274" i="1"/>
  <c r="A25" i="2"/>
  <c r="A72" i="1"/>
  <c r="A240" i="1"/>
  <c r="A182" i="1"/>
  <c r="A46" i="4"/>
  <c r="A8" i="4"/>
  <c r="A9" i="1"/>
  <c r="A4" i="1"/>
  <c r="A135" i="1"/>
  <c r="A134" i="1"/>
  <c r="A285" i="1"/>
  <c r="A290" i="1"/>
  <c r="A289" i="1"/>
  <c r="A288" i="1"/>
  <c r="A287" i="1"/>
  <c r="A286" i="1"/>
  <c r="A284" i="1"/>
  <c r="A283" i="1"/>
  <c r="A350" i="2"/>
  <c r="A242" i="1"/>
  <c r="A112" i="2"/>
  <c r="A159" i="4"/>
  <c r="A47" i="4"/>
  <c r="A123" i="1"/>
  <c r="A64" i="1"/>
  <c r="A204" i="2"/>
  <c r="A218" i="1"/>
  <c r="A206" i="2"/>
  <c r="A205" i="2"/>
  <c r="A203" i="2"/>
  <c r="A202" i="2"/>
  <c r="A218" i="2"/>
  <c r="A7" i="4"/>
  <c r="A191" i="1"/>
  <c r="A6" i="4"/>
  <c r="A221" i="2"/>
  <c r="A220" i="2"/>
  <c r="A219" i="2"/>
  <c r="A217" i="2"/>
  <c r="A208" i="1"/>
  <c r="A210" i="1"/>
  <c r="A207" i="1"/>
  <c r="A206" i="1"/>
  <c r="A172" i="1"/>
  <c r="A17" i="3"/>
  <c r="A215" i="2"/>
  <c r="A214" i="2"/>
  <c r="A213" i="2"/>
  <c r="A212" i="2"/>
  <c r="A211" i="2"/>
  <c r="A210" i="2"/>
  <c r="A209" i="2"/>
  <c r="A167" i="1"/>
  <c r="A168" i="1"/>
  <c r="A166" i="1"/>
  <c r="A217" i="1"/>
  <c r="A209" i="1"/>
  <c r="A208" i="2"/>
  <c r="A214" i="1"/>
  <c r="A180" i="1"/>
  <c r="A258" i="1"/>
  <c r="A213" i="1"/>
  <c r="A257" i="1"/>
  <c r="A10" i="4"/>
  <c r="A53" i="3"/>
  <c r="A165" i="1"/>
  <c r="A215" i="1"/>
  <c r="A267" i="1"/>
  <c r="A198" i="2"/>
  <c r="A197" i="2"/>
  <c r="A112" i="1"/>
  <c r="A279" i="1"/>
  <c r="A34" i="3"/>
  <c r="A33" i="3"/>
  <c r="A32" i="3"/>
  <c r="A363" i="2"/>
  <c r="A365" i="2"/>
  <c r="A369" i="2"/>
  <c r="A370" i="2"/>
  <c r="A367" i="2"/>
  <c r="A368" i="2"/>
  <c r="A366" i="2"/>
  <c r="A364" i="2"/>
  <c r="A81" i="3"/>
  <c r="A82" i="3"/>
  <c r="A80" i="3"/>
  <c r="A79" i="3"/>
  <c r="A78" i="3"/>
  <c r="A77" i="3"/>
  <c r="A76" i="3"/>
  <c r="A75" i="3"/>
  <c r="A73" i="3"/>
  <c r="A74" i="3"/>
  <c r="A72" i="3"/>
  <c r="A160" i="4"/>
  <c r="A75" i="2"/>
  <c r="A74" i="2"/>
  <c r="A73" i="2"/>
  <c r="A347" i="2"/>
  <c r="A346" i="2"/>
  <c r="A345" i="2"/>
  <c r="A344" i="2"/>
  <c r="A343" i="2"/>
  <c r="A342" i="2"/>
  <c r="A50" i="2"/>
  <c r="A49" i="2"/>
  <c r="A48" i="2"/>
  <c r="A47" i="2"/>
  <c r="A46" i="2"/>
  <c r="A88" i="3"/>
  <c r="A87" i="3"/>
  <c r="A60" i="2"/>
  <c r="A61" i="2"/>
  <c r="A59" i="2"/>
  <c r="A91" i="3"/>
  <c r="A90" i="3"/>
  <c r="A89" i="3"/>
  <c r="A86" i="3"/>
  <c r="A85" i="3"/>
  <c r="A84" i="3"/>
  <c r="A83" i="3"/>
  <c r="A12" i="3"/>
  <c r="A11" i="3"/>
  <c r="A10" i="3"/>
  <c r="A9" i="3"/>
  <c r="A223" i="2"/>
  <c r="A222" i="2"/>
  <c r="A200" i="2"/>
  <c r="A199" i="2"/>
  <c r="A385" i="2"/>
  <c r="A278" i="1"/>
  <c r="A184" i="2"/>
  <c r="A181" i="2"/>
  <c r="A282" i="1"/>
  <c r="A117" i="2"/>
  <c r="A125" i="1"/>
  <c r="A271" i="1"/>
  <c r="A270" i="1"/>
  <c r="A57" i="2"/>
  <c r="A56" i="2"/>
  <c r="A55" i="2"/>
  <c r="A303" i="1"/>
  <c r="A260" i="1"/>
  <c r="A203" i="1"/>
  <c r="A315" i="2"/>
  <c r="A264" i="1"/>
  <c r="A263" i="1"/>
  <c r="A268" i="1"/>
  <c r="A269" i="1"/>
  <c r="A120" i="2"/>
  <c r="A262" i="1"/>
  <c r="A261" i="1"/>
  <c r="A216" i="1"/>
  <c r="A266" i="1"/>
  <c r="A161" i="2"/>
  <c r="A265" i="1"/>
  <c r="A136" i="1"/>
  <c r="A132" i="1"/>
  <c r="A196" i="2"/>
  <c r="A195" i="2"/>
  <c r="A192" i="2"/>
  <c r="A193" i="2"/>
  <c r="A264" i="2"/>
  <c r="A258" i="2"/>
  <c r="A252" i="2"/>
  <c r="A238" i="1"/>
  <c r="A232" i="1"/>
  <c r="A226" i="1"/>
  <c r="A194" i="2"/>
  <c r="A281" i="1"/>
  <c r="A280" i="1"/>
  <c r="A277" i="1"/>
  <c r="A122" i="2"/>
  <c r="A54" i="2"/>
  <c r="A191" i="2"/>
  <c r="A54" i="1"/>
  <c r="A254" i="1"/>
  <c r="A178" i="1"/>
  <c r="A251" i="1"/>
  <c r="A252" i="1"/>
  <c r="A52" i="2"/>
  <c r="A179" i="1"/>
  <c r="A259" i="1"/>
  <c r="A253" i="1"/>
  <c r="A250" i="1"/>
  <c r="A198" i="1"/>
  <c r="A249" i="1"/>
  <c r="A286" i="2"/>
  <c r="A288" i="2"/>
  <c r="A200" i="1"/>
  <c r="A199" i="1"/>
  <c r="A53" i="2"/>
  <c r="A177" i="1"/>
  <c r="A31" i="3"/>
  <c r="A121" i="2"/>
  <c r="A71" i="1"/>
  <c r="A70" i="1"/>
  <c r="A239" i="1"/>
  <c r="A300" i="2"/>
  <c r="A156" i="2"/>
  <c r="A164" i="2"/>
  <c r="A163" i="2"/>
  <c r="A162" i="2"/>
  <c r="A160" i="2"/>
  <c r="A159" i="2"/>
  <c r="A119" i="2"/>
  <c r="A27" i="3"/>
  <c r="A361" i="2"/>
  <c r="A360" i="2"/>
  <c r="A358" i="2"/>
  <c r="A359" i="2"/>
  <c r="A357" i="2"/>
  <c r="A353" i="2"/>
  <c r="A356" i="2"/>
  <c r="A355" i="2"/>
  <c r="A354" i="2"/>
  <c r="A352" i="2"/>
  <c r="A186" i="1"/>
  <c r="A187" i="1"/>
  <c r="A188" i="1"/>
  <c r="A189" i="1"/>
  <c r="A190" i="1"/>
  <c r="A185" i="1"/>
  <c r="A184" i="1"/>
  <c r="A122" i="1"/>
  <c r="A362" i="2"/>
  <c r="A351" i="2"/>
  <c r="A63" i="1"/>
  <c r="A42" i="4"/>
  <c r="A41" i="4"/>
  <c r="A139" i="4"/>
  <c r="A34" i="4"/>
  <c r="A158" i="4"/>
  <c r="A157" i="4"/>
  <c r="A129" i="1"/>
  <c r="A40" i="4"/>
  <c r="A39" i="4"/>
  <c r="A38" i="4"/>
  <c r="A59" i="3"/>
  <c r="A71" i="3"/>
  <c r="A60" i="3"/>
  <c r="A169" i="1"/>
  <c r="A158" i="2"/>
  <c r="A26" i="1"/>
  <c r="A64" i="3"/>
  <c r="A38" i="1"/>
  <c r="A37" i="1"/>
  <c r="A36" i="1"/>
  <c r="A35" i="1"/>
  <c r="A34" i="1"/>
  <c r="A25" i="1"/>
  <c r="A24" i="1"/>
  <c r="A23" i="1"/>
  <c r="A27" i="1"/>
  <c r="A22" i="1"/>
  <c r="A21" i="1"/>
  <c r="A148" i="4"/>
  <c r="A85" i="1"/>
  <c r="A131" i="1"/>
  <c r="A100" i="1"/>
  <c r="A103" i="1"/>
  <c r="A108" i="1"/>
  <c r="A128" i="1"/>
  <c r="A83" i="1"/>
  <c r="A121" i="1"/>
  <c r="A141" i="4"/>
  <c r="A140" i="4"/>
  <c r="A120" i="1"/>
  <c r="A162" i="4"/>
  <c r="A37" i="2"/>
  <c r="A302" i="2"/>
  <c r="A280" i="2"/>
  <c r="A301" i="2"/>
  <c r="A322" i="2"/>
  <c r="A115" i="2"/>
  <c r="A143" i="2"/>
  <c r="A147" i="2"/>
  <c r="A148" i="2"/>
  <c r="A149" i="2"/>
  <c r="A381" i="2"/>
  <c r="A129" i="2"/>
  <c r="A132" i="2"/>
  <c r="A63" i="2"/>
  <c r="A113" i="2"/>
  <c r="A76" i="2"/>
  <c r="A123" i="2"/>
  <c r="A133" i="2"/>
  <c r="A139" i="2"/>
  <c r="A169" i="2"/>
  <c r="A165" i="2"/>
  <c r="A216" i="2"/>
  <c r="A107" i="1"/>
  <c r="A109" i="1"/>
  <c r="A110" i="1"/>
  <c r="A207" i="2"/>
  <c r="A289" i="2"/>
  <c r="A282" i="2"/>
  <c r="A281" i="2"/>
  <c r="A211" i="1"/>
  <c r="A291" i="2"/>
  <c r="A371" i="2"/>
  <c r="A328" i="2"/>
  <c r="A324" i="2"/>
  <c r="A303" i="2"/>
  <c r="A186" i="2"/>
  <c r="A244" i="2"/>
  <c r="A30" i="4"/>
  <c r="A18" i="4"/>
  <c r="A14" i="4"/>
  <c r="A13" i="4"/>
  <c r="A33" i="4"/>
  <c r="A32" i="4"/>
  <c r="A31" i="4"/>
  <c r="A29" i="4"/>
  <c r="A33" i="1"/>
  <c r="A137" i="2"/>
  <c r="A70" i="3"/>
  <c r="A69" i="3"/>
  <c r="A68" i="3"/>
  <c r="A67" i="3"/>
  <c r="A66" i="3"/>
  <c r="A65" i="3"/>
  <c r="A63" i="3"/>
  <c r="A62" i="3"/>
  <c r="A61" i="3"/>
  <c r="A138" i="2"/>
  <c r="A146" i="1"/>
  <c r="A45" i="2"/>
  <c r="A44" i="2"/>
  <c r="A40" i="2"/>
  <c r="A43" i="2"/>
  <c r="A42" i="2"/>
  <c r="A41" i="2"/>
  <c r="A12" i="1"/>
  <c r="A8" i="1"/>
  <c r="A3" i="1"/>
  <c r="A18" i="1"/>
  <c r="A224" i="2"/>
  <c r="A69" i="1"/>
  <c r="A118" i="1"/>
  <c r="A117" i="1"/>
  <c r="A74" i="1"/>
  <c r="A263" i="2"/>
  <c r="A262" i="2"/>
  <c r="A261" i="2"/>
  <c r="A260" i="2"/>
  <c r="A259" i="2"/>
  <c r="A237" i="1"/>
  <c r="A236" i="1"/>
  <c r="A235" i="1"/>
  <c r="A234" i="1"/>
  <c r="A233" i="1"/>
  <c r="A257" i="2"/>
  <c r="A256" i="2"/>
  <c r="A255" i="2"/>
  <c r="A254" i="2"/>
  <c r="A253" i="2"/>
  <c r="A250" i="2"/>
  <c r="A251" i="2"/>
  <c r="A231" i="1"/>
  <c r="A230" i="1"/>
  <c r="A229" i="1"/>
  <c r="A228" i="1"/>
  <c r="A227" i="1"/>
  <c r="A225" i="1"/>
  <c r="A224" i="1"/>
  <c r="A23" i="4"/>
  <c r="A22" i="4"/>
  <c r="A247" i="2"/>
  <c r="A221" i="1"/>
  <c r="A248" i="2"/>
  <c r="A222" i="1"/>
  <c r="A136" i="2"/>
  <c r="A135" i="2"/>
  <c r="A317" i="2"/>
  <c r="A319" i="2"/>
  <c r="A321" i="2"/>
  <c r="A316" i="2"/>
  <c r="A318" i="2"/>
  <c r="A245" i="1"/>
  <c r="A244" i="1"/>
  <c r="A243" i="1"/>
  <c r="A249" i="2"/>
  <c r="A223" i="1"/>
  <c r="A21" i="4"/>
  <c r="A246" i="2"/>
  <c r="A220" i="1"/>
  <c r="A219" i="1"/>
  <c r="A68" i="1"/>
  <c r="A19" i="4"/>
  <c r="A67" i="1"/>
  <c r="A66" i="1"/>
  <c r="A32" i="1"/>
  <c r="A95" i="1"/>
  <c r="A94"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5" i="3"/>
  <c r="A57" i="3"/>
  <c r="A56" i="3"/>
  <c r="A55" i="3"/>
  <c r="A54" i="3"/>
  <c r="A52" i="3"/>
  <c r="A51" i="3"/>
  <c r="A50" i="3"/>
  <c r="A49" i="3"/>
  <c r="A48" i="3"/>
  <c r="A47" i="3"/>
  <c r="A46" i="3"/>
  <c r="A45" i="3"/>
  <c r="A44" i="3"/>
  <c r="A43" i="3"/>
  <c r="A42" i="3"/>
  <c r="A41" i="3"/>
  <c r="A40" i="3"/>
  <c r="A39" i="3"/>
  <c r="A38" i="3"/>
  <c r="A37" i="3"/>
  <c r="A36" i="3"/>
  <c r="A30" i="3"/>
  <c r="A26" i="3"/>
  <c r="A25" i="3"/>
  <c r="A24" i="3"/>
  <c r="A23" i="3"/>
  <c r="A20" i="3"/>
  <c r="A19" i="3"/>
  <c r="A18" i="3"/>
  <c r="A16" i="3"/>
  <c r="A15" i="3"/>
  <c r="A14" i="3"/>
  <c r="A13" i="3"/>
  <c r="A8" i="3"/>
  <c r="A7" i="3"/>
  <c r="A6" i="3"/>
  <c r="A5" i="3"/>
  <c r="A4" i="3"/>
  <c r="A3" i="3"/>
  <c r="A2" i="3"/>
  <c r="A163" i="4"/>
  <c r="A156" i="4"/>
  <c r="A155" i="4"/>
  <c r="A154" i="4"/>
  <c r="A153" i="4"/>
  <c r="A152" i="4"/>
  <c r="A151" i="4"/>
  <c r="A150" i="4"/>
  <c r="A149" i="4"/>
  <c r="A147" i="4"/>
  <c r="A146" i="4"/>
  <c r="A145" i="4"/>
  <c r="A144" i="4"/>
  <c r="A143" i="4"/>
  <c r="A142"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1" i="1"/>
  <c r="A40" i="1"/>
  <c r="A30" i="1"/>
  <c r="A31" i="1"/>
  <c r="A89" i="1"/>
  <c r="A173" i="1"/>
  <c r="A248" i="1"/>
  <c r="A147" i="1"/>
  <c r="A163" i="1"/>
  <c r="A79" i="1"/>
  <c r="A105" i="1"/>
  <c r="A116" i="1"/>
  <c r="A88" i="1"/>
  <c r="A176" i="1"/>
  <c r="A164" i="1"/>
  <c r="A20" i="1"/>
  <c r="A19" i="1"/>
  <c r="A75" i="1"/>
  <c r="A126" i="1"/>
  <c r="A124" i="1"/>
  <c r="A130" i="1"/>
  <c r="A255" i="1"/>
  <c r="A201" i="1"/>
  <c r="A204" i="1"/>
  <c r="A162" i="1"/>
  <c r="A73" i="1"/>
  <c r="A161" i="1"/>
  <c r="A47" i="1"/>
  <c r="A46" i="1"/>
  <c r="A84" i="1"/>
  <c r="A143" i="1"/>
  <c r="A156" i="1"/>
  <c r="A159" i="1"/>
  <c r="A158" i="1"/>
  <c r="A157" i="1"/>
  <c r="A50" i="1"/>
  <c r="A256" i="1"/>
  <c r="A5" i="1"/>
  <c r="A273" i="1"/>
  <c r="A104" i="1"/>
  <c r="A276" i="1"/>
  <c r="A275" i="1"/>
  <c r="A62" i="1"/>
  <c r="A15" i="1"/>
  <c r="A272" i="1"/>
  <c r="A145" i="1"/>
  <c r="A144" i="1"/>
  <c r="A142" i="1"/>
  <c r="A137" i="1"/>
  <c r="A58" i="1"/>
  <c r="A92" i="1"/>
  <c r="A91" i="1"/>
  <c r="A90" i="1"/>
  <c r="A87" i="1"/>
  <c r="A183" i="1"/>
  <c r="A197" i="1"/>
  <c r="A138" i="1"/>
  <c r="A57" i="1"/>
  <c r="A151" i="1"/>
  <c r="A56" i="1"/>
  <c r="A53" i="1"/>
  <c r="A55" i="1"/>
  <c r="A141" i="1"/>
  <c r="A45" i="1"/>
  <c r="A102" i="1"/>
  <c r="A51" i="1"/>
  <c r="A140" i="1"/>
  <c r="A96" i="1"/>
  <c r="A160" i="1"/>
  <c r="A154" i="1"/>
  <c r="A153" i="1"/>
  <c r="A152" i="1"/>
  <c r="A155" i="1"/>
  <c r="A196" i="1"/>
  <c r="A139" i="1"/>
  <c r="A127" i="1"/>
  <c r="A150" i="1"/>
  <c r="A194" i="1"/>
  <c r="A193" i="1"/>
  <c r="A192" i="1"/>
  <c r="A149" i="1"/>
  <c r="A101" i="1"/>
  <c r="A106" i="1"/>
  <c r="A52" i="1"/>
  <c r="A99" i="1"/>
  <c r="A247" i="1"/>
  <c r="A61" i="1"/>
  <c r="A48" i="1"/>
  <c r="A171" i="1"/>
  <c r="A81" i="1"/>
  <c r="A246" i="1"/>
  <c r="A205" i="1"/>
  <c r="A212" i="1"/>
  <c r="A202" i="1"/>
  <c r="A175" i="1"/>
  <c r="A119" i="1"/>
  <c r="A174" i="1"/>
  <c r="A111" i="1"/>
  <c r="A148" i="1"/>
  <c r="A98" i="1"/>
  <c r="A97" i="1"/>
  <c r="A295" i="1"/>
  <c r="A76" i="1"/>
  <c r="A17" i="1"/>
  <c r="A16" i="1"/>
  <c r="A293" i="1"/>
  <c r="A170" i="1"/>
  <c r="A195" i="1"/>
  <c r="A80" i="1"/>
  <c r="A14" i="1"/>
  <c r="A44" i="1"/>
  <c r="A77" i="1"/>
  <c r="A10" i="1"/>
  <c r="A305" i="1"/>
  <c r="A60" i="1"/>
  <c r="A43" i="1"/>
  <c r="A302" i="1"/>
  <c r="A304" i="1"/>
  <c r="A65" i="1"/>
  <c r="A301" i="1"/>
  <c r="A300" i="1"/>
  <c r="A299" i="1"/>
  <c r="A297" i="1"/>
  <c r="A298" i="1"/>
  <c r="A294" i="1"/>
  <c r="A13" i="1"/>
  <c r="A78" i="1"/>
  <c r="A6" i="1"/>
  <c r="A82" i="1"/>
  <c r="A86" i="1"/>
  <c r="A93" i="1"/>
  <c r="A115" i="1"/>
  <c r="A2" i="1"/>
  <c r="A42" i="1"/>
  <c r="A7" i="1"/>
  <c r="A11" i="1"/>
  <c r="A49" i="1"/>
  <c r="A296" i="1"/>
</calcChain>
</file>

<file path=xl/sharedStrings.xml><?xml version="1.0" encoding="utf-8"?>
<sst xmlns="http://schemas.openxmlformats.org/spreadsheetml/2006/main" count="25252" uniqueCount="3640">
  <si>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</si>
  <si>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</si>
  <si>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</si>
  <si>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</si>
  <si>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</si>
  <si>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</si>
  <si>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</si>
  <si>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</si>
  <si>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</si>
  <si>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</si>
  <si>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</si>
  <si>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</si>
  <si>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</si>
  <si>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</si>
  <si>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</si>
  <si>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</si>
  <si>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</si>
  <si>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</si>
  <si>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</si>
  <si>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</si>
  <si>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</si>
  <si>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</si>
  <si>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</si>
  <si>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</si>
  <si>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</si>
  <si>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</si>
  <si>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</si>
  <si>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</si>
  <si>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</si>
  <si>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</si>
  <si>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</si>
  <si>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</si>
  <si>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</si>
  <si>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</si>
  <si>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</si>
  <si>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</si>
  <si>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</si>
  <si>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</si>
  <si>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</si>
  <si>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</si>
  <si>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</si>
  <si>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</si>
  <si>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</si>
  <si>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</si>
  <si>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</si>
  <si>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</si>
  <si>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</si>
  <si>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</si>
  <si>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</si>
  <si>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</si>
  <si>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</si>
  <si>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</si>
  <si>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</si>
  <si>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</si>
  <si>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</si>
  <si>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</si>
  <si>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</si>
  <si>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</si>
  <si>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</si>
  <si>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</si>
  <si>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</si>
  <si>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</si>
  <si>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</si>
  <si>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</si>
  <si>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</si>
  <si>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</si>
  <si>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</si>
  <si>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</si>
  <si>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</si>
  <si>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</si>
  <si>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</si>
  <si>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</si>
  <si>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</si>
  <si>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</si>
  <si>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</si>
  <si>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</si>
  <si>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</si>
  <si>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</si>
  <si>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</si>
  <si>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</si>
  <si>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</si>
  <si>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</si>
  <si>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</si>
  <si>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</si>
  <si>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</si>
  <si>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</si>
  <si>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</si>
  <si>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</si>
  <si>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</si>
  <si>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</si>
  <si>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</si>
  <si>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</si>
  <si>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</si>
  <si>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</si>
  <si>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</si>
  <si>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</si>
  <si>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</si>
  <si>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</si>
  <si>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</si>
  <si>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</si>
  <si>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</si>
  <si>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</si>
  <si>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</si>
  <si>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</si>
  <si>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</si>
  <si>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</si>
  <si>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</si>
  <si>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</si>
  <si>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</si>
  <si>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</si>
  <si>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</si>
  <si>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</si>
  <si>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</si>
  <si>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</si>
  <si>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</si>
  <si>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</si>
  <si>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</si>
  <si>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</si>
  <si>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</si>
  <si>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</si>
  <si>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</si>
  <si>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</si>
  <si>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</si>
  <si>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</si>
  <si>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</si>
  <si>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</si>
  <si>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</si>
  <si>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</si>
  <si>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</si>
  <si>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</si>
  <si>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</si>
  <si>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</si>
  <si>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</si>
  <si>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</si>
  <si>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</si>
  <si>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</si>
  <si>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</si>
  <si>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</si>
  <si>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</si>
  <si>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</si>
  <si>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</si>
  <si>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</si>
  <si>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</si>
  <si>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</si>
  <si>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</si>
  <si>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</si>
  <si>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</si>
  <si>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</si>
  <si>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</si>
  <si>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</si>
  <si>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</si>
  <si>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</si>
  <si>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</si>
  <si>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</si>
  <si>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</si>
  <si>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</si>
  <si>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</si>
  <si>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</si>
  <si>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</si>
  <si>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</si>
  <si>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</si>
  <si>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</si>
  <si>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</si>
  <si>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</si>
  <si>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</si>
  <si>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</si>
  <si>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</si>
  <si>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</si>
  <si>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</si>
  <si>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</si>
  <si>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</si>
  <si>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</si>
  <si>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</si>
  <si>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</si>
  <si>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</si>
  <si>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</si>
  <si>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</si>
  <si>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</si>
  <si>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</si>
  <si>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</si>
  <si>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</si>
  <si>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</si>
  <si>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</si>
  <si>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</si>
  <si>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</si>
  <si>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</si>
  <si>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</si>
  <si>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</si>
  <si>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</si>
  <si>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</si>
  <si>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</si>
  <si>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</si>
  <si>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</si>
  <si>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</si>
  <si>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</si>
  <si>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</si>
  <si>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</si>
  <si>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</si>
  <si>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</si>
  <si>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</si>
  <si>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</si>
  <si>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</si>
  <si>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</si>
  <si>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</si>
  <si>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</si>
  <si>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</si>
  <si>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</si>
  <si>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</si>
  <si>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</si>
  <si>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</si>
  <si>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</si>
  <si>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</si>
  <si>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</si>
  <si>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</si>
  <si>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</si>
  <si>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</si>
  <si>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</si>
  <si>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</si>
  <si>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</si>
  <si>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</si>
  <si>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</si>
  <si>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</si>
  <si>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</si>
  <si>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</si>
  <si>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</si>
  <si>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</si>
  <si>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</si>
  <si>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</si>
  <si>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</si>
  <si>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</si>
  <si>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</si>
  <si>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</si>
  <si>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</si>
  <si>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</si>
  <si>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</si>
  <si>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</si>
  <si>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</si>
  <si>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</si>
  <si>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</si>
  <si>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</si>
  <si>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</si>
  <si>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</si>
  <si>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</si>
  <si>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</si>
  <si>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</si>
  <si>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</si>
  <si>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</si>
  <si>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</si>
  <si>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</si>
  <si>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</si>
  <si>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</si>
  <si>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</si>
  <si>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</si>
  <si>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</si>
  <si>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</si>
  <si>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</si>
  <si>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</si>
  <si>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</si>
  <si>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</si>
  <si>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</si>
  <si>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</si>
  <si>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</si>
  <si>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</si>
  <si>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</si>
  <si>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</si>
  <si>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</si>
  <si>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</si>
  <si>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</si>
  <si>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</si>
  <si>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</si>
  <si>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</si>
  <si>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</si>
  <si>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</si>
  <si>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</si>
  <si>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</si>
  <si>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</si>
  <si>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</si>
  <si>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</si>
  <si>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</si>
  <si>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</si>
  <si>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</si>
  <si>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</si>
  <si>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</si>
  <si>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</si>
  <si>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</si>
  <si>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</si>
  <si>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</si>
  <si>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</si>
  <si>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</si>
  <si>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</si>
  <si>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</si>
  <si>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</si>
  <si>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</si>
  <si>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</si>
  <si>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</si>
  <si>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</si>
  <si>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</si>
  <si>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</si>
  <si>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</si>
  <si>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</si>
  <si>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</si>
  <si>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</si>
  <si>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</si>
  <si>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</si>
  <si>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</si>
  <si>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</si>
  <si>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</si>
  <si>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</si>
  <si>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</si>
  <si>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</si>
  <si>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</si>
  <si>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</si>
  <si>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</si>
  <si>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</si>
  <si>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</si>
  <si>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</si>
  <si>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</si>
  <si>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</si>
  <si>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</si>
  <si>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</si>
  <si>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</si>
  <si>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</si>
  <si>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</si>
  <si>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</si>
  <si>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</si>
  <si>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</si>
  <si>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</si>
  <si>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</si>
  <si>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</si>
  <si>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</si>
  <si>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</si>
  <si>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</si>
  <si>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</si>
  <si>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</si>
  <si>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</si>
  <si>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</si>
  <si>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</si>
  <si>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</si>
  <si>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</si>
  <si>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</si>
  <si>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</si>
  <si>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</si>
  <si>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</si>
  <si>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</si>
  <si>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</si>
  <si>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</si>
  <si>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</si>
  <si>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</si>
  <si>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</si>
  <si>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</si>
  <si>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</si>
  <si>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</si>
  <si>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</si>
  <si>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</si>
  <si>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</si>
  <si>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</si>
  <si>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</si>
  <si>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</si>
  <si>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</si>
  <si>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</si>
  <si>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</si>
  <si>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</si>
  <si>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</si>
  <si>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</si>
  <si>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</si>
  <si>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</si>
  <si>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</si>
  <si>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</si>
  <si>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</si>
  <si>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</si>
  <si>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</si>
  <si>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</si>
  <si>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</si>
  <si>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</si>
  <si>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</si>
  <si>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</si>
  <si>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</si>
  <si>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</si>
  <si>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</si>
  <si>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</si>
  <si>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</si>
  <si>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</si>
  <si>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</si>
  <si>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</si>
  <si>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</si>
  <si>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</si>
  <si>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</si>
  <si>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</si>
  <si>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</si>
  <si>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</si>
  <si>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</si>
  <si>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</si>
  <si>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</si>
  <si>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</si>
  <si>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</si>
  <si>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</si>
  <si>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</si>
  <si>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</si>
  <si>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</si>
  <si>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</si>
  <si>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</si>
  <si>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</si>
  <si>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</si>
  <si>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</si>
  <si>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</si>
  <si>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</si>
  <si>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</si>
  <si>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</si>
  <si>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</si>
  <si>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</si>
  <si>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</si>
  <si>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</si>
  <si>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</si>
  <si>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</si>
  <si>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</si>
  <si>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</si>
  <si>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</si>
  <si>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</si>
  <si>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</si>
  <si>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</si>
  <si>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</si>
  <si>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</si>
  <si>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</si>
  <si>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</si>
  <si>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</si>
  <si>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</si>
  <si>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</si>
  <si>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</si>
  <si>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</si>
  <si>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</si>
  <si>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</si>
  <si>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</si>
  <si>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</si>
  <si>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</si>
  <si>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</si>
  <si>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</si>
  <si>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</si>
  <si>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</si>
  <si>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</si>
  <si>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</si>
  <si>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</si>
  <si>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</si>
  <si>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</si>
  <si>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</si>
  <si>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</si>
  <si>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</si>
  <si>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</si>
  <si>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</si>
  <si>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</si>
  <si>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</si>
  <si>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</si>
  <si>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</si>
  <si>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</si>
  <si>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</si>
  <si>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</si>
  <si>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</si>
  <si>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</si>
  <si>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</si>
  <si>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</si>
  <si>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</si>
  <si>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</si>
  <si>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</si>
  <si>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</si>
  <si>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</si>
  <si>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</si>
  <si>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</si>
  <si>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</si>
  <si>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</si>
  <si>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</si>
  <si>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</si>
  <si>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</si>
  <si>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</si>
  <si>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</si>
  <si>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</si>
  <si>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</si>
  <si>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</si>
  <si>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</si>
  <si>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</si>
  <si>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</si>
  <si>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</si>
  <si>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</si>
  <si>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</si>
  <si>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</si>
  <si>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</si>
  <si>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</si>
  <si>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</si>
  <si>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</si>
  <si>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</si>
  <si>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</si>
  <si>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</si>
  <si>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</si>
  <si>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</si>
  <si>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</si>
  <si>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</si>
  <si>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</si>
  <si>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</si>
  <si>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</si>
  <si>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</si>
  <si>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</si>
  <si>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</si>
  <si>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</si>
  <si>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</si>
  <si>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</si>
  <si>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</si>
  <si>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</si>
  <si>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</si>
  <si>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</si>
  <si>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</si>
  <si>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</si>
  <si>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</si>
  <si>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</si>
  <si>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</si>
  <si>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</si>
  <si>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</si>
  <si>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</si>
  <si>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</si>
  <si>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</si>
  <si>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</si>
  <si>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</si>
  <si>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</si>
  <si>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</si>
  <si>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</si>
  <si>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</si>
  <si>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</si>
  <si>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</si>
  <si>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</si>
  <si>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</si>
  <si>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</si>
  <si>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</si>
  <si>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</si>
  <si>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</si>
  <si>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</si>
  <si>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</si>
  <si>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</si>
  <si>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</si>
  <si>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</si>
  <si>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</si>
  <si>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</si>
  <si>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</si>
  <si>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</si>
  <si>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</si>
  <si>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</si>
  <si>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</si>
  <si>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</si>
  <si>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</si>
  <si>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</si>
  <si>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</si>
  <si>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</si>
  <si>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</si>
  <si>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</si>
  <si>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</si>
  <si>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</si>
  <si>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</si>
  <si>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</si>
  <si>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</si>
  <si>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</si>
  <si>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</si>
  <si>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</si>
  <si>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</si>
  <si>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</si>
  <si>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</si>
  <si>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</si>
  <si>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</si>
  <si>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</si>
  <si>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</si>
  <si>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</si>
  <si>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</si>
  <si>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</si>
  <si>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</si>
  <si>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</si>
  <si>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</si>
  <si>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</si>
  <si>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</si>
  <si>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</si>
  <si>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</si>
  <si>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</si>
  <si>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</si>
  <si>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</si>
  <si>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</si>
  <si>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</si>
  <si>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</si>
  <si>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</si>
  <si>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</si>
  <si>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</si>
  <si>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</si>
  <si>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</si>
  <si>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</si>
  <si>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</si>
  <si>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</si>
  <si>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</si>
  <si>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</si>
  <si>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</si>
  <si>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</si>
  <si>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</si>
  <si>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</si>
  <si>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</si>
  <si>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</si>
  <si>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</si>
  <si>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</si>
  <si>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</si>
  <si>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</si>
  <si>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</si>
  <si>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</si>
  <si>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</si>
  <si>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</si>
  <si>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</si>
  <si>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</si>
  <si>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</si>
  <si>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</si>
  <si>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</si>
  <si>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</si>
  <si>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</si>
  <si>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</si>
  <si>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</si>
  <si>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</si>
  <si>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</si>
  <si>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</si>
  <si>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</si>
  <si>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</si>
  <si>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</si>
  <si>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</si>
  <si>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</si>
  <si>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</si>
  <si>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</si>
  <si>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</si>
  <si>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</si>
  <si>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</si>
  <si>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</si>
  <si>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</si>
  <si>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</si>
  <si>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</si>
  <si>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</si>
  <si>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</si>
  <si>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</si>
  <si>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</si>
  <si>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</si>
  <si>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</si>
  <si>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</si>
  <si>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</si>
  <si>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</si>
  <si>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</si>
  <si>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</si>
  <si>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</si>
  <si>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</si>
  <si>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</si>
  <si>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</si>
  <si>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</si>
  <si>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</si>
  <si>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</si>
  <si>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</si>
  <si>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</si>
  <si>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</si>
  <si>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</si>
  <si>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</si>
  <si>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</si>
  <si>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</si>
  <si>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</si>
  <si>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</si>
  <si>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</si>
  <si>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</si>
  <si>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</si>
  <si>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</si>
  <si>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</si>
  <si>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</si>
  <si>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</si>
  <si>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</si>
  <si>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</si>
  <si>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</si>
  <si>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</si>
  <si>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</si>
  <si>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</si>
  <si>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</si>
  <si>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</si>
  <si>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</si>
  <si>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</si>
  <si>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</si>
  <si>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</si>
  <si>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</si>
  <si>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</si>
  <si>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</si>
  <si>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</si>
  <si>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</si>
  <si>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</si>
  <si>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</si>
  <si>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</si>
  <si>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</si>
  <si>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</si>
  <si>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</si>
  <si>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</si>
  <si>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</si>
  <si>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</si>
  <si>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</si>
  <si>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</si>
  <si>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</si>
  <si>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</si>
  <si>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</si>
  <si>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</si>
  <si>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</si>
  <si>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</si>
  <si>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</si>
  <si>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</si>
  <si>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</si>
  <si>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</si>
  <si>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</si>
  <si>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</si>
  <si>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</si>
  <si>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</si>
  <si>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</si>
  <si>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</si>
  <si>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</si>
  <si>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</si>
  <si>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</si>
  <si>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</si>
  <si>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</si>
  <si>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</si>
  <si>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</si>
  <si>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</si>
  <si>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</si>
  <si>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</si>
  <si>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</si>
  <si>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</si>
  <si>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</si>
  <si>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</si>
  <si>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</si>
  <si>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</si>
  <si>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</si>
  <si>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</si>
  <si>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</si>
  <si>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</si>
  <si>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</si>
  <si>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</si>
  <si>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</si>
  <si>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</si>
  <si>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</si>
  <si>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</si>
  <si>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</si>
  <si>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</si>
  <si>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</si>
  <si>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</si>
  <si>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</si>
  <si>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</si>
  <si>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</si>
  <si>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</si>
  <si>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</si>
  <si>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</si>
  <si>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</si>
  <si>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</si>
  <si>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</si>
  <si>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</si>
  <si>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</si>
  <si>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</si>
  <si>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</si>
  <si>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</si>
  <si>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</si>
  <si>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</si>
  <si>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</si>
  <si>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</si>
  <si>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</si>
  <si>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</si>
  <si>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</si>
  <si>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</si>
  <si>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</si>
  <si>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</si>
  <si>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</si>
  <si>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</si>
  <si>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</si>
  <si>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</si>
  <si>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</si>
  <si>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</si>
  <si>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</si>
  <si>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</si>
  <si>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</si>
  <si>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</si>
  <si>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</si>
  <si>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</si>
  <si>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</si>
  <si>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</si>
  <si>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</si>
  <si>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</si>
  <si>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</si>
  <si>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</si>
  <si>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</si>
  <si>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</si>
  <si>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</si>
  <si>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</si>
  <si>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</si>
  <si>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</si>
  <si>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</si>
  <si>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</si>
  <si>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</si>
  <si>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</si>
  <si>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</si>
  <si>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</si>
  <si>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</si>
  <si>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</si>
  <si>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</si>
  <si>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</si>
  <si>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</si>
  <si>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</si>
  <si>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</si>
  <si>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</si>
  <si>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</si>
  <si>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</si>
  <si>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</si>
  <si>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</si>
  <si>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</si>
  <si>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</si>
  <si>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</si>
  <si>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</si>
  <si>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</si>
  <si>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</si>
  <si>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</si>
  <si>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</si>
  <si>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</si>
  <si>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</si>
  <si>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</si>
  <si>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</si>
  <si>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</si>
  <si>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</si>
  <si>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</si>
  <si>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</si>
  <si>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</si>
  <si>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</si>
  <si>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</si>
  <si>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</si>
  <si>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</si>
  <si>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</si>
  <si>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</si>
  <si>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</si>
  <si>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</si>
  <si>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</si>
  <si>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</si>
  <si>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</si>
  <si>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</si>
  <si>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</si>
  <si>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</si>
  <si>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</si>
  <si>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</si>
  <si>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</si>
  <si>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</si>
  <si>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</si>
  <si>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</si>
  <si>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</si>
  <si>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</si>
  <si>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</si>
  <si>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</si>
  <si>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</si>
  <si>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</si>
  <si>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</si>
  <si>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</si>
  <si>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</si>
  <si>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</si>
  <si>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</si>
  <si>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</si>
  <si>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</si>
  <si>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</si>
  <si>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</si>
  <si>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</si>
  <si>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</si>
  <si>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</si>
  <si>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</si>
  <si>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</si>
  <si>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</si>
  <si>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</si>
  <si>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</si>
  <si>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</si>
  <si>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</si>
  <si>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</si>
  <si>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</si>
  <si>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</si>
  <si>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</si>
  <si>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</si>
  <si>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</si>
  <si>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</si>
  <si>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</si>
  <si>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</si>
  <si>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</si>
  <si>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</si>
  <si>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</si>
  <si>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</si>
  <si>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</si>
  <si>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</si>
  <si>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</si>
  <si>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</si>
  <si>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</si>
  <si>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</si>
  <si>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</si>
  <si>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</si>
  <si>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</si>
  <si>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</si>
  <si>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</si>
  <si>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</si>
  <si>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</si>
  <si>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</si>
  <si>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</si>
  <si>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</si>
  <si>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</si>
  <si>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</si>
  <si>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</si>
  <si>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</si>
  <si>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</si>
  <si>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</si>
  <si>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</si>
  <si>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</si>
  <si>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</si>
  <si>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</si>
  <si>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</si>
  <si>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</si>
  <si>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</si>
  <si>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</si>
  <si>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</si>
  <si>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</si>
  <si>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</si>
  <si>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</si>
  <si>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</si>
  <si>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</si>
  <si>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</si>
  <si>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</si>
  <si>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</si>
  <si>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</si>
  <si>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</si>
  <si>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</si>
  <si>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</si>
  <si>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</si>
  <si>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</si>
  <si>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</si>
  <si>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</si>
  <si>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</si>
  <si>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</si>
  <si>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</si>
  <si>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</si>
  <si>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</si>
  <si>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</si>
  <si>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</si>
  <si>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</si>
  <si>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</si>
  <si>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</si>
  <si>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</si>
  <si>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</si>
  <si>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</si>
  <si>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</si>
  <si>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</si>
  <si>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</si>
  <si>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</si>
  <si>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</si>
  <si>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</si>
  <si>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</si>
  <si>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</si>
  <si>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</si>
  <si>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</si>
  <si>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</si>
  <si>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</si>
  <si>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</si>
  <si>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</si>
  <si>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</si>
  <si>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</si>
  <si>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</si>
  <si>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</si>
  <si>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</si>
  <si>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</si>
  <si>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</si>
  <si>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</si>
  <si>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</si>
  <si>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</si>
  <si>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</si>
  <si>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</si>
  <si>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</si>
  <si>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</si>
  <si>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</si>
  <si>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</si>
  <si>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</si>
  <si>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</si>
  <si>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</si>
  <si>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</si>
  <si>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</si>
  <si>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</si>
  <si>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</si>
  <si>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</si>
  <si>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</si>
  <si>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</si>
  <si>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</si>
  <si>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</si>
  <si>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</si>
  <si>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</si>
  <si>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</si>
  <si>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</si>
  <si>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</si>
  <si>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</si>
  <si>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</si>
  <si>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</si>
  <si>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</si>
  <si>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</si>
  <si>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</si>
  <si>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</si>
  <si>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</si>
  <si>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</si>
  <si>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</si>
  <si>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</si>
  <si>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</si>
  <si>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</si>
  <si>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</si>
  <si>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</si>
  <si>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</si>
  <si>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</si>
  <si>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</si>
  <si>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</si>
  <si>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</si>
  <si>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</si>
  <si>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</si>
  <si>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</si>
  <si>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</si>
  <si>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</si>
  <si>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</si>
  <si>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</si>
  <si>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</si>
  <si>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</si>
  <si>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</si>
  <si>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</si>
  <si>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</si>
  <si>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</si>
  <si>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</si>
  <si>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</si>
  <si>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</si>
  <si>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</si>
  <si>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</si>
  <si>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</si>
  <si>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</si>
  <si>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</si>
  <si>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</si>
  <si>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</si>
  <si>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</si>
  <si>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</si>
  <si>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</si>
  <si>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</si>
  <si>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</si>
  <si>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</si>
  <si>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</si>
  <si>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</si>
  <si>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</si>
  <si>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</si>
  <si>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</si>
  <si>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</si>
  <si>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</si>
  <si>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</si>
  <si>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</si>
  <si>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</si>
  <si>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</si>
  <si>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</si>
  <si>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</si>
  <si>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</si>
  <si>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</si>
  <si>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</si>
  <si>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</si>
  <si>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</si>
  <si>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</si>
  <si>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</si>
  <si>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</si>
  <si>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</si>
  <si>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</si>
  <si>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</si>
  <si>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</si>
  <si>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</si>
  <si>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</si>
  <si>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</si>
  <si>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</si>
  <si>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</si>
  <si>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</si>
  <si>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</si>
  <si>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</si>
  <si>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</si>
  <si>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</si>
  <si>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</si>
  <si>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</si>
  <si>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</si>
  <si>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</si>
  <si>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</si>
  <si>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</si>
  <si>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</si>
  <si>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</si>
  <si>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</si>
  <si>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</si>
  <si>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</si>
  <si>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</si>
  <si>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</si>
  <si>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</si>
  <si>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</si>
  <si>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</si>
  <si>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</si>
  <si>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</si>
  <si>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</si>
  <si>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</si>
  <si>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</si>
  <si>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</si>
  <si>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</si>
  <si>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</si>
  <si>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</si>
  <si>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</si>
  <si>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</si>
  <si>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</si>
  <si>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</si>
  <si>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</si>
  <si>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</si>
  <si>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</si>
  <si>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</si>
  <si>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</si>
  <si>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</si>
  <si>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</si>
  <si>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</si>
  <si>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</si>
  <si>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</si>
  <si>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</si>
  <si>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</si>
  <si>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</si>
  <si>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</si>
  <si>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</si>
  <si>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</si>
  <si>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</si>
  <si>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</si>
  <si>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</si>
  <si>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</si>
  <si>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</si>
  <si>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</si>
  <si>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</si>
  <si>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</si>
  <si>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</si>
  <si>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</si>
  <si>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</si>
  <si>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</si>
  <si>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</si>
  <si>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</si>
  <si>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</si>
  <si>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</si>
  <si>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</si>
  <si>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</si>
  <si>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</si>
  <si>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</si>
  <si>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</si>
  <si>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</si>
  <si>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</si>
  <si>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</si>
  <si>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</si>
  <si>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</si>
  <si>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</si>
  <si>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</si>
  <si>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</si>
  <si>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</si>
  <si>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</si>
  <si>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</si>
  <si>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</si>
  <si>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</si>
  <si>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</si>
  <si>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</si>
  <si>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</si>
  <si>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</si>
  <si>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</si>
  <si>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</si>
  <si>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</si>
  <si>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</si>
  <si>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</si>
  <si>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</si>
  <si>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</si>
  <si>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</si>
  <si>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</si>
  <si>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</si>
  <si>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</si>
  <si>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</si>
  <si>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</si>
  <si>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</si>
  <si>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</si>
  <si>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</si>
  <si>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</si>
  <si>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</si>
  <si>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</si>
  <si>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</si>
  <si>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</si>
  <si>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</si>
  <si>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</si>
  <si>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</si>
  <si>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</si>
  <si>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</si>
  <si>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</si>
  <si>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</si>
  <si>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</si>
  <si>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</si>
  <si>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</si>
  <si>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</si>
  <si>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</si>
  <si>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</si>
  <si>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</si>
  <si>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</si>
  <si>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</si>
  <si>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</si>
  <si>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</si>
  <si>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</si>
  <si>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</si>
  <si>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</si>
  <si>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</si>
  <si>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</si>
  <si>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</si>
  <si>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</si>
  <si>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</si>
  <si>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</si>
  <si>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</si>
  <si>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</si>
  <si>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</si>
  <si>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</si>
  <si>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</si>
  <si>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</si>
  <si>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</si>
  <si>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</si>
  <si>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</si>
  <si>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</si>
  <si>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</si>
  <si>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</si>
  <si>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</si>
  <si>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</si>
  <si>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</si>
  <si>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</si>
  <si>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</si>
  <si>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</si>
  <si>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</si>
  <si>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</si>
  <si>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</si>
  <si>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</si>
  <si>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</si>
  <si>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</si>
  <si>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</si>
  <si>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</si>
  <si>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</si>
  <si>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</si>
  <si>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</si>
  <si>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</si>
  <si>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</si>
  <si>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</si>
  <si>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</si>
  <si>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</si>
  <si>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</si>
  <si>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</si>
  <si>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</si>
  <si>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</si>
  <si>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</si>
  <si>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</si>
  <si>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</si>
  <si>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</si>
  <si>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</si>
  <si>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</si>
  <si>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</si>
  <si>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</si>
  <si>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</si>
  <si>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</si>
  <si>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</si>
  <si>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</si>
  <si>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</si>
  <si>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</si>
  <si>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</si>
  <si>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</si>
  <si>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</si>
  <si>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</si>
  <si>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</si>
  <si>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</si>
  <si>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</si>
  <si>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</si>
  <si>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</si>
  <si>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</si>
  <si>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</si>
  <si>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</si>
  <si>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</si>
  <si>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</si>
  <si>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</si>
  <si>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</si>
  <si>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</si>
  <si>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</si>
  <si>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</si>
  <si>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</si>
  <si>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</si>
  <si>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</si>
  <si>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</si>
  <si>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</si>
  <si>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</si>
  <si>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</si>
  <si>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</si>
  <si>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</si>
  <si>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</si>
  <si>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</si>
  <si>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</si>
  <si>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</si>
  <si>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</si>
  <si>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</si>
  <si>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</si>
  <si>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</si>
  <si>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</si>
  <si>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</si>
  <si>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</si>
  <si>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</si>
  <si>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</si>
  <si>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</si>
  <si>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</si>
  <si>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</si>
  <si>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</si>
  <si>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</si>
  <si>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</si>
  <si>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</si>
  <si>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</si>
  <si>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</si>
  <si>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</si>
  <si>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</si>
  <si>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</si>
  <si>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</si>
  <si>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</si>
  <si>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</si>
  <si>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</si>
  <si>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</si>
  <si>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</si>
  <si>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</si>
  <si>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</si>
  <si>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</si>
  <si>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</si>
  <si>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</si>
  <si>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</si>
  <si>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</si>
  <si>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</si>
  <si>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</si>
  <si>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</si>
  <si>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</si>
  <si>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</si>
  <si>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</si>
  <si>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</si>
  <si>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</si>
  <si>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</si>
  <si>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</si>
  <si>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</si>
  <si>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</si>
  <si>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</si>
  <si>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</si>
  <si>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</si>
  <si>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</si>
  <si>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</si>
  <si>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</si>
  <si>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</si>
  <si>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</si>
  <si>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</si>
  <si>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</si>
  <si>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</si>
  <si>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</si>
  <si>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</si>
  <si>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</si>
  <si>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</si>
  <si>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</si>
  <si>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</si>
  <si>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</si>
  <si>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</si>
  <si>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</si>
  <si>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</si>
  <si>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</si>
  <si>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</si>
  <si>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</si>
  <si>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</si>
  <si>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</si>
  <si>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</si>
  <si>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</si>
  <si>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</si>
  <si>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</si>
  <si>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</si>
  <si>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</si>
  <si>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</si>
  <si>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</si>
  <si>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</si>
  <si>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</si>
  <si>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</si>
  <si>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</si>
  <si>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</si>
  <si>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</si>
  <si>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</si>
  <si>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</si>
  <si>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</si>
  <si>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</si>
  <si>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</si>
  <si>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</si>
  <si>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</si>
  <si>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</si>
  <si>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</si>
  <si>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</si>
  <si>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</si>
  <si>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</si>
  <si>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</si>
  <si>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</si>
  <si>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</si>
  <si>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</si>
  <si>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</si>
  <si>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</si>
  <si>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</si>
  <si>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</si>
  <si>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</si>
  <si>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</si>
  <si>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</si>
  <si>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</si>
  <si>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</si>
  <si>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</si>
  <si>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</si>
  <si>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</si>
  <si>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</si>
  <si>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</si>
  <si>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</si>
  <si>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</si>
  <si>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</si>
  <si>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</si>
  <si>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</si>
  <si>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</si>
  <si>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</si>
  <si>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</si>
  <si>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</si>
  <si>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</si>
  <si>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</si>
  <si>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</si>
  <si>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</si>
  <si>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</si>
  <si>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</si>
  <si>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</si>
  <si>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</si>
  <si>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</si>
  <si>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</si>
  <si>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</si>
  <si>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</si>
  <si>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</si>
  <si>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</si>
  <si>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</si>
  <si>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</si>
  <si>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</si>
  <si>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</si>
  <si>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</si>
  <si>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</si>
  <si>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</si>
  <si>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</si>
  <si>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</si>
  <si>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</si>
  <si>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</si>
  <si>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</si>
  <si>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</si>
  <si>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</si>
  <si>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</si>
  <si>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</si>
  <si>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</si>
  <si>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</si>
  <si>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</si>
  <si>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</si>
  <si>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</si>
  <si>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</si>
  <si>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</si>
  <si>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</si>
  <si>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</si>
  <si>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</si>
  <si>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</si>
  <si>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</si>
  <si>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</si>
  <si>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</si>
  <si>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</si>
  <si>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</si>
  <si>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</si>
  <si>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</si>
  <si>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</si>
  <si>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</si>
  <si>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</si>
  <si>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</si>
  <si>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</si>
  <si>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</si>
  <si>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</si>
  <si>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</si>
  <si>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</si>
  <si>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</si>
  <si>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</si>
  <si>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</si>
  <si>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</si>
  <si>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</si>
  <si>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</si>
  <si>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</si>
  <si>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</si>
  <si>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</si>
  <si>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</si>
  <si>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</si>
  <si>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</si>
  <si>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</si>
  <si>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</si>
  <si>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</si>
  <si>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</si>
  <si>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</si>
  <si>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</si>
  <si>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</si>
  <si>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</si>
  <si>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</si>
  <si>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</si>
  <si>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</si>
  <si>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</si>
  <si>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</si>
  <si>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</si>
  <si>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</si>
  <si>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</si>
  <si>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</si>
  <si>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</si>
  <si>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</si>
  <si>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</si>
  <si>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</si>
  <si>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</si>
  <si>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</si>
  <si>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</si>
  <si>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</si>
  <si>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</si>
  <si>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</si>
  <si>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</si>
  <si>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</si>
  <si>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</si>
  <si>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</si>
  <si>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</si>
  <si>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</si>
  <si>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</si>
  <si>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</si>
  <si>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</si>
  <si>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</si>
  <si>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</si>
  <si>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</si>
  <si>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</si>
  <si>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</si>
  <si>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</si>
  <si>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</si>
  <si>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</si>
  <si>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</si>
  <si>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</si>
  <si>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</si>
  <si>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</si>
  <si>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</si>
  <si>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</si>
  <si>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</si>
  <si>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</si>
  <si>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</si>
  <si>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</si>
  <si>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</si>
  <si>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</si>
  <si>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</si>
  <si>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</si>
  <si>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</si>
  <si>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</si>
  <si>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</si>
  <si>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</si>
  <si>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</si>
  <si>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</si>
  <si>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</si>
  <si>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</si>
  <si>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</si>
  <si>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</si>
  <si>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</si>
  <si>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</si>
  <si>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</si>
  <si>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</si>
  <si>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</si>
  <si>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</si>
  <si>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</si>
  <si>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</si>
  <si>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</si>
  <si>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</si>
  <si>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</si>
  <si>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</si>
  <si>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</si>
  <si>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</si>
  <si>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</si>
  <si>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</si>
  <si>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</si>
  <si>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</si>
  <si>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</si>
  <si>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</si>
  <si>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</si>
  <si>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</si>
  <si>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</si>
  <si>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</si>
  <si>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</si>
  <si>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</si>
  <si>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</si>
  <si>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</si>
  <si>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</si>
  <si>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</si>
  <si>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</si>
  <si>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</si>
  <si>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</si>
  <si>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</si>
  <si>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</si>
  <si>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</si>
  <si>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</si>
  <si>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</si>
  <si>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</si>
  <si>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</si>
  <si>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</si>
  <si>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</si>
  <si>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</si>
  <si>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</si>
  <si>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</si>
  <si>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</si>
  <si>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</si>
  <si>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</si>
  <si>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</si>
  <si>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</si>
  <si>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</si>
  <si>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</si>
  <si>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</si>
  <si>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</si>
  <si>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</si>
  <si>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</si>
  <si>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</si>
  <si>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</si>
  <si>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</si>
  <si>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</si>
  <si>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</si>
  <si>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</si>
  <si>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</si>
  <si>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</si>
  <si>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</si>
  <si>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</si>
  <si>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</si>
  <si>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</si>
  <si>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</si>
  <si>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</si>
  <si>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</si>
  <si>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</si>
  <si>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</si>
  <si>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</si>
  <si>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</si>
  <si>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</si>
  <si>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</si>
  <si>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</si>
  <si>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</si>
  <si>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</si>
  <si>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</si>
  <si>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</si>
  <si>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</si>
  <si>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</si>
  <si>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</si>
  <si>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</si>
  <si>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</si>
  <si>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</si>
  <si>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</si>
  <si>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</si>
  <si>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</si>
  <si>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</si>
  <si>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</si>
  <si>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</si>
  <si>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</si>
  <si>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</si>
  <si>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</si>
  <si>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</si>
  <si>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</si>
  <si>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</si>
  <si>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</si>
  <si>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</si>
  <si>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</si>
  <si>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</si>
  <si>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</si>
  <si>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</si>
  <si>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</si>
  <si>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</si>
  <si>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</si>
  <si>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</si>
  <si>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</si>
  <si>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</si>
  <si>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</si>
  <si>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</si>
  <si>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</si>
  <si>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</si>
  <si>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</si>
  <si>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</si>
  <si>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</si>
  <si>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</si>
  <si>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</si>
  <si>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</si>
  <si>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</si>
  <si>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</si>
  <si>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</si>
  <si>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</si>
  <si>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</si>
  <si>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</si>
  <si>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</si>
  <si>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</si>
  <si>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</si>
  <si>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</si>
  <si>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</si>
  <si>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</si>
  <si>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</si>
  <si>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</si>
  <si>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</si>
  <si>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</si>
  <si>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</si>
  <si>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</si>
  <si>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</si>
  <si>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</si>
  <si>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</si>
  <si>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</si>
  <si>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</si>
  <si>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</si>
  <si>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</si>
  <si>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</si>
  <si>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</si>
  <si>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</si>
  <si>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</si>
  <si>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</si>
  <si>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</si>
  <si>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</si>
  <si>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</si>
  <si>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</si>
  <si>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</si>
  <si>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</si>
  <si>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</si>
  <si>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</si>
  <si>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</si>
  <si>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</si>
  <si>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</si>
  <si>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</si>
  <si>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</si>
  <si>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</si>
  <si>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</si>
  <si>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</si>
  <si>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</si>
  <si>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</si>
  <si>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</si>
  <si>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</si>
  <si>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</si>
  <si>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</si>
  <si>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</si>
  <si>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</si>
  <si>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</si>
  <si>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</si>
  <si>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</si>
  <si>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</si>
  <si>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</si>
  <si>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</si>
  <si>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</si>
  <si>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</si>
  <si>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</si>
  <si>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</si>
  <si>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</si>
  <si>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</si>
  <si>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</si>
  <si>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</si>
  <si>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</si>
  <si>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</si>
  <si>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</si>
  <si>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</si>
  <si>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</si>
  <si>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</si>
  <si>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</si>
  <si>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</si>
  <si>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</si>
  <si>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</si>
  <si>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</si>
  <si>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</si>
  <si>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</si>
  <si>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</si>
  <si>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</si>
  <si>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</si>
  <si>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</si>
  <si>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</si>
  <si>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</si>
  <si>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</si>
  <si>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</si>
  <si>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</si>
  <si>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</si>
  <si>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</si>
  <si>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</si>
  <si>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</si>
  <si>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</si>
  <si>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</si>
  <si>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</si>
  <si>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</si>
  <si>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</si>
  <si>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</si>
  <si>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</si>
  <si>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</si>
  <si>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</si>
  <si>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</si>
  <si>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</si>
  <si>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</si>
  <si>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</si>
  <si>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</si>
  <si>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</si>
  <si>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</si>
  <si>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</si>
  <si>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</si>
  <si>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</si>
  <si>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</si>
  <si>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</si>
  <si>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</si>
  <si>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</si>
  <si>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</si>
  <si>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</si>
  <si>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</si>
  <si>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</si>
  <si>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</si>
  <si>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</si>
  <si>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</si>
  <si>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</si>
  <si>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</si>
  <si>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</si>
  <si>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</si>
  <si>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</si>
  <si>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</si>
  <si>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</si>
  <si>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</si>
  <si>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</si>
  <si>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</si>
  <si>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</si>
  <si>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</si>
  <si>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</si>
  <si>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</si>
  <si>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</si>
  <si>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</si>
  <si>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</si>
  <si>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</si>
  <si>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</si>
  <si>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</si>
  <si>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</si>
  <si>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</si>
  <si>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</si>
  <si>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</si>
  <si>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</si>
  <si>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</si>
  <si>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</si>
  <si>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</si>
  <si>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</si>
  <si>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</si>
  <si>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</si>
  <si>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</si>
  <si>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</si>
  <si>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</si>
  <si>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</si>
  <si>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</si>
  <si>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</si>
  <si>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</si>
  <si>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</si>
  <si>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</si>
  <si>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</si>
  <si>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</si>
  <si>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</si>
  <si>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</si>
  <si>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</si>
  <si>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</si>
  <si>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</si>
  <si>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</si>
  <si>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</si>
  <si>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</si>
  <si>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</si>
  <si>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</si>
  <si>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</si>
  <si>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</si>
  <si>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</si>
  <si>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</si>
  <si>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</si>
  <si>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</si>
  <si>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</si>
  <si>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</si>
  <si>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</si>
  <si>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</si>
  <si>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</si>
  <si>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</si>
  <si>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</si>
  <si>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</si>
  <si>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</si>
  <si>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</si>
  <si>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</si>
  <si>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</si>
  <si>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</si>
  <si>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</si>
  <si>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</si>
  <si>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</si>
  <si>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</si>
  <si>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</si>
  <si>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</si>
  <si>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</si>
  <si>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</si>
  <si>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</si>
  <si>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</si>
  <si>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</si>
  <si>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</si>
  <si>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</si>
  <si>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</si>
  <si>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</si>
  <si>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</si>
  <si>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</si>
  <si>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</si>
  <si>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</si>
  <si>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</si>
  <si>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</si>
  <si>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</si>
  <si>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</si>
  <si>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</si>
  <si>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</si>
  <si>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</si>
  <si>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</si>
  <si>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</si>
  <si>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</si>
  <si>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</si>
  <si>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</si>
  <si>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</si>
  <si>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</si>
  <si>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</si>
  <si>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</si>
  <si>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</si>
  <si>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</si>
  <si>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</si>
  <si>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</si>
  <si>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</si>
  <si>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</si>
  <si>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</si>
  <si>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</si>
  <si>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</si>
  <si>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</si>
  <si>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</si>
  <si>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</si>
  <si>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</si>
  <si>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</si>
  <si>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</si>
  <si>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</si>
  <si>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</si>
  <si>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</si>
  <si>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</si>
  <si>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</si>
  <si>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</si>
  <si>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</si>
  <si>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</si>
  <si>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</si>
  <si>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</si>
  <si>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</si>
  <si>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</si>
  <si>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</si>
  <si>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</si>
  <si>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</si>
  <si>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</si>
  <si>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</si>
  <si>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</si>
  <si>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</si>
  <si>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</si>
  <si>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</si>
  <si>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</si>
  <si>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</si>
  <si>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</si>
  <si>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</si>
  <si>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</si>
  <si>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</si>
  <si>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</si>
  <si>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</si>
  <si>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</si>
  <si>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</si>
  <si>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</si>
  <si>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</si>
  <si>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</si>
  <si>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</si>
  <si>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</si>
  <si>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</si>
  <si>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</si>
  <si>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</si>
  <si>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</si>
  <si>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</si>
  <si>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</si>
  <si>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</si>
  <si>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</si>
  <si>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</si>
  <si>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</si>
  <si>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</si>
  <si>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</si>
  <si>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</si>
  <si>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</si>
  <si>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</si>
  <si>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</si>
  <si>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</si>
  <si>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</si>
  <si>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</si>
  <si>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</si>
  <si>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</si>
  <si>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</si>
  <si>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</si>
  <si>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</si>
  <si>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</si>
  <si>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</si>
  <si>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</si>
  <si>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</si>
  <si>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</si>
  <si>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</si>
  <si>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</si>
  <si>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</si>
  <si>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</si>
  <si>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</si>
  <si>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</si>
  <si>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</si>
  <si>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</si>
  <si>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</si>
  <si>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</si>
  <si>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</si>
  <si>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</si>
  <si>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</si>
  <si>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</si>
  <si>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</si>
  <si>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</si>
  <si>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</si>
  <si>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</si>
  <si>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</si>
  <si>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</si>
  <si>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</si>
  <si>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</si>
  <si>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</si>
  <si>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</si>
  <si>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</si>
  <si>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</si>
  <si>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</si>
  <si>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</si>
  <si>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</si>
  <si>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</si>
  <si>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</si>
  <si>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</si>
  <si>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</si>
  <si>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</si>
  <si>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</si>
  <si>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</si>
  <si>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</si>
  <si>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</si>
  <si>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</si>
  <si>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</si>
  <si>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</si>
  <si>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</si>
  <si>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</si>
  <si>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</si>
  <si>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</si>
  <si>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</si>
  <si>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</si>
  <si>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</si>
  <si>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</si>
  <si>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</si>
  <si>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</si>
  <si>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</si>
  <si>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</si>
  <si>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</si>
  <si>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</si>
  <si>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</si>
  <si>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</si>
  <si>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</si>
  <si>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</si>
  <si>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</si>
  <si>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</si>
  <si>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</si>
  <si>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</si>
  <si>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</si>
  <si>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</si>
  <si>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</si>
  <si>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</si>
  <si>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</si>
  <si>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</si>
  <si>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</si>
  <si>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</si>
  <si>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</si>
  <si>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</si>
  <si>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</si>
  <si>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</si>
  <si>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</si>
  <si>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</si>
  <si>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</si>
  <si>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</si>
  <si>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</si>
  <si>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</si>
  <si>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</si>
  <si>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</si>
  <si>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</si>
  <si>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</si>
  <si>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</si>
  <si>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</si>
  <si>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</si>
  <si>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</si>
  <si>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</si>
  <si>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</si>
  <si>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</si>
  <si>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</si>
  <si>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</si>
  <si>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</si>
  <si>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</si>
  <si>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</si>
  <si>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</si>
  <si>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</si>
  <si>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</si>
  <si>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</si>
  <si>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</si>
  <si>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</si>
  <si>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</si>
  <si>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</si>
  <si>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</si>
  <si>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</si>
  <si>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</si>
  <si>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</si>
  <si>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</si>
  <si>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</si>
  <si>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</si>
  <si>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</si>
  <si>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</si>
  <si>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</si>
  <si>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</si>
  <si>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</si>
  <si>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</si>
  <si>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</si>
  <si>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</si>
  <si>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</si>
  <si>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</si>
  <si>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</si>
  <si>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</si>
  <si>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</si>
  <si>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</si>
  <si>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</si>
  <si>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</si>
  <si>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</si>
  <si>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</si>
  <si>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</si>
  <si>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</si>
  <si>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</si>
  <si>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</si>
  <si>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</si>
  <si>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</si>
  <si>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</si>
  <si>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</si>
  <si>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</si>
  <si>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</si>
  <si>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</si>
  <si>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</si>
  <si>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</si>
  <si>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</si>
  <si>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</si>
  <si>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</si>
  <si>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</si>
  <si>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</si>
  <si>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</si>
  <si>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</si>
  <si>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</si>
  <si>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</si>
  <si>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</si>
  <si>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</si>
  <si>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</si>
  <si>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</si>
  <si>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</si>
  <si>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</si>
  <si>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</si>
  <si>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</si>
  <si>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</si>
  <si>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</si>
  <si>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</si>
  <si>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</si>
  <si>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</si>
  <si>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</si>
  <si>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</si>
  <si>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</si>
  <si>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</si>
  <si>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</si>
  <si>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</si>
  <si>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</si>
  <si>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</si>
  <si>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</si>
  <si>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</si>
  <si>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</si>
  <si>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</si>
  <si>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</si>
  <si>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</si>
  <si>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</si>
  <si>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</si>
  <si>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</si>
  <si>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</si>
  <si>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</si>
  <si>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</si>
  <si>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</si>
  <si>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</si>
  <si>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</si>
  <si>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</si>
  <si>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</si>
  <si>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</si>
  <si>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</si>
  <si>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</si>
  <si>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</si>
  <si>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</si>
  <si>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</si>
  <si>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</si>
  <si>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</si>
  <si>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</si>
  <si>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</si>
  <si>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</si>
  <si>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</si>
  <si>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</si>
  <si>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</si>
  <si>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</si>
  <si>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</si>
  <si>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</si>
  <si>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</si>
  <si>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</si>
  <si>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</si>
  <si>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</si>
  <si>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</si>
  <si>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</si>
  <si>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</si>
  <si>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</si>
  <si>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</si>
  <si>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</si>
  <si>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</si>
  <si>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</si>
  <si>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</si>
  <si>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</si>
  <si>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</si>
  <si>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</si>
  <si>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</si>
  <si>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</si>
  <si>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</si>
  <si>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</si>
  <si>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</si>
  <si>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</si>
  <si>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</si>
  <si>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</si>
  <si>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</si>
  <si>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</si>
  <si>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</si>
  <si>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</si>
  <si>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</si>
  <si>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</si>
  <si>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</si>
  <si>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</si>
  <si>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</si>
  <si>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</si>
  <si>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</si>
  <si>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</si>
  <si>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</si>
  <si>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</si>
  <si>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</si>
  <si>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</si>
  <si>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</si>
  <si>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</si>
  <si>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</si>
  <si>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</si>
  <si>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</si>
  <si>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</si>
  <si>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</si>
  <si>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</si>
  <si>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</si>
  <si>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</si>
  <si>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</si>
  <si>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</si>
  <si>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</si>
  <si>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</si>
  <si>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</si>
  <si>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</si>
  <si>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</si>
  <si>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</si>
  <si>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</si>
  <si>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</si>
  <si>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</si>
  <si>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</si>
  <si>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</si>
  <si>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</si>
  <si>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</si>
  <si>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</si>
  <si>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</si>
  <si>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</si>
  <si>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</si>
  <si>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</si>
  <si>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</si>
  <si>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</si>
  <si>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</si>
  <si>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</si>
  <si>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</si>
  <si>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</si>
  <si>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</si>
  <si>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</si>
  <si>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</si>
  <si>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</si>
  <si>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</si>
  <si>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</si>
  <si>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</si>
  <si>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</si>
  <si>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</si>
  <si>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</si>
  <si>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</si>
  <si>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</si>
  <si>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</si>
  <si>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</si>
  <si>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</si>
  <si>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</si>
  <si>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</si>
  <si>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</si>
  <si>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</si>
  <si>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</si>
  <si>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</si>
  <si>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</si>
  <si>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</si>
  <si>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</si>
  <si>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</si>
  <si>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</si>
  <si>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</si>
  <si>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</si>
  <si>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</si>
  <si>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</si>
  <si>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</si>
  <si>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</si>
  <si>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</si>
  <si>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</si>
  <si>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</si>
  <si>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</si>
  <si>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</si>
  <si>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</si>
  <si>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</si>
  <si>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</si>
  <si>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</si>
  <si>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</si>
  <si>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</si>
  <si>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</si>
  <si>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</si>
  <si>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</si>
  <si>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</si>
  <si>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</si>
  <si>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</si>
  <si>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</si>
  <si>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</si>
  <si>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</si>
  <si>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</si>
  <si>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</si>
  <si>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</si>
  <si>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</si>
  <si>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</si>
  <si>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</si>
  <si>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</si>
  <si>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</si>
  <si>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</si>
  <si>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</si>
  <si>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</si>
  <si>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</si>
  <si>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</si>
  <si>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</si>
  <si>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</si>
  <si>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</si>
  <si>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</si>
  <si>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</si>
  <si>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</si>
  <si>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</si>
  <si>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</si>
  <si>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</si>
  <si>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</si>
  <si>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</si>
  <si>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</si>
  <si>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</si>
  <si>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</si>
  <si>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</si>
  <si>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</si>
  <si>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</si>
  <si>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</si>
  <si>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</si>
  <si>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</si>
  <si>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</si>
  <si>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</si>
  <si>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</si>
  <si>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</si>
  <si>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</si>
  <si>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</si>
  <si>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</si>
  <si>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</si>
  <si>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</si>
  <si>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</si>
  <si>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</si>
  <si>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</si>
  <si>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</si>
  <si>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</si>
  <si>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</si>
  <si>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</si>
  <si>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</si>
  <si>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</si>
  <si>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</si>
  <si>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</si>
  <si>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</si>
  <si>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</si>
  <si>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</si>
  <si>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</si>
  <si>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</si>
  <si>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</si>
  <si>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</si>
  <si>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</si>
  <si>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</si>
  <si>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</si>
  <si>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</si>
  <si>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</si>
  <si>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</si>
  <si>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</si>
  <si>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</si>
  <si>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</si>
  <si>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</si>
  <si>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</si>
  <si>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</si>
  <si>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</si>
  <si>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</si>
  <si>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</si>
  <si>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</si>
  <si>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</si>
  <si>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</si>
  <si>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</si>
  <si>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</si>
  <si>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</si>
  <si>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</si>
  <si>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</si>
  <si>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</si>
  <si>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</si>
  <si>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</si>
  <si>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</si>
  <si>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</si>
  <si>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</si>
  <si>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</si>
  <si>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</si>
  <si>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</si>
  <si>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</si>
  <si>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</si>
  <si>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</si>
  <si>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</si>
  <si>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</si>
  <si>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</si>
  <si>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</si>
  <si>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</si>
  <si>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</si>
  <si>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</si>
  <si>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</si>
  <si>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</si>
  <si>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</si>
  <si>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</si>
  <si>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</si>
  <si>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</si>
  <si>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</si>
  <si>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</si>
  <si>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</si>
  <si>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</si>
  <si>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</si>
  <si>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</si>
  <si>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</si>
  <si>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</si>
  <si>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</si>
  <si>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</si>
  <si>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</si>
  <si>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</si>
  <si>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</si>
  <si>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</si>
  <si>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</si>
  <si>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</si>
  <si>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</si>
  <si>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</si>
  <si>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</si>
  <si>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</si>
  <si>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</si>
  <si>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</si>
  <si>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</si>
  <si>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</si>
  <si>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</si>
  <si>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</si>
  <si>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</si>
  <si>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</si>
  <si>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</si>
  <si>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</si>
  <si>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</si>
  <si>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</si>
  <si>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</si>
  <si>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</si>
  <si>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</si>
  <si>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</si>
  <si>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</si>
  <si>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</si>
  <si>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</si>
  <si>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</si>
  <si>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</si>
  <si>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</si>
  <si>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</si>
  <si>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</si>
  <si>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</si>
  <si>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</si>
  <si>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</si>
  <si>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</si>
  <si>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</si>
  <si>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</si>
  <si>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</si>
  <si>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</si>
  <si>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</si>
  <si>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</si>
  <si>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</si>
  <si>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</si>
  <si>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</si>
  <si>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</si>
  <si>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</si>
  <si>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</si>
  <si>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</si>
  <si>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</si>
  <si>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</si>
  <si>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</si>
  <si>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</si>
  <si>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</si>
  <si>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</si>
  <si>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</si>
  <si>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</si>
  <si>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</si>
  <si>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</si>
  <si>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</si>
  <si>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</si>
  <si>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</si>
  <si>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</si>
  <si>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</si>
  <si>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</si>
  <si>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</si>
  <si>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</si>
  <si>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</si>
  <si>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</si>
  <si>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</si>
  <si>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</si>
  <si>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</si>
  <si>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</si>
  <si>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</si>
  <si>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</si>
  <si>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</si>
  <si>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</si>
  <si>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</si>
  <si>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</si>
  <si>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</si>
  <si>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</si>
  <si>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</si>
  <si>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</si>
  <si>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</si>
  <si>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</si>
  <si>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</si>
  <si>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</si>
  <si>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</si>
  <si>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</si>
  <si>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</si>
  <si>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</si>
  <si>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</si>
  <si>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</si>
  <si>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</si>
  <si>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</si>
  <si>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</si>
  <si>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</si>
  <si>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</si>
  <si>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</si>
  <si>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</si>
  <si>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</si>
  <si>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</si>
  <si>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</si>
  <si>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</si>
  <si>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</si>
  <si>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</si>
  <si>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</si>
  <si>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</si>
  <si>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</si>
  <si>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</si>
  <si>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</si>
  <si>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</si>
  <si>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</si>
  <si>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</si>
  <si>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</si>
  <si>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</si>
  <si>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</si>
  <si>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</si>
  <si>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</si>
  <si>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</si>
  <si>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</si>
  <si>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</si>
  <si>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</si>
  <si>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</si>
  <si>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</si>
  <si>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</si>
  <si>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</si>
  <si>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</si>
  <si>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</si>
  <si>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</si>
  <si>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</si>
  <si>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</si>
  <si>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</si>
  <si>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</si>
  <si>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</si>
  <si>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</si>
  <si>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</si>
  <si>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</si>
  <si>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</si>
  <si>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</si>
  <si>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</si>
  <si>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</si>
  <si>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</si>
  <si>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</si>
  <si>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</si>
  <si>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</si>
  <si>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</si>
  <si>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</si>
  <si>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</si>
  <si>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</si>
  <si>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</si>
  <si>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</si>
  <si>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</si>
  <si>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</si>
  <si>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</si>
  <si>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</si>
  <si>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</si>
  <si>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</si>
  <si>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</si>
  <si>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</si>
  <si>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</si>
  <si>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</si>
  <si>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</si>
  <si>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</si>
  <si>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</si>
  <si>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</si>
  <si>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</si>
  <si>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</si>
  <si>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</si>
  <si>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</si>
  <si>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</si>
  <si>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</si>
  <si>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</si>
  <si>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</si>
  <si>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</si>
  <si>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</si>
  <si>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</si>
  <si>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</si>
  <si>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</si>
  <si>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</si>
  <si>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</si>
  <si>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</si>
  <si>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</si>
  <si>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</si>
  <si>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</si>
  <si>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</si>
  <si>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</si>
  <si>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</si>
  <si>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</si>
  <si>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</si>
  <si>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</si>
  <si>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</si>
  <si>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</si>
  <si>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</si>
  <si>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</si>
  <si>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</si>
  <si>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</si>
  <si>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</si>
  <si>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</si>
  <si>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</si>
  <si>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</si>
  <si>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</si>
  <si>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</si>
  <si>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</si>
  <si>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</si>
  <si>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</si>
  <si>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</si>
  <si>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</si>
  <si>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</si>
  <si>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</si>
  <si>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</si>
  <si>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</si>
  <si>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</si>
  <si>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</si>
  <si>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</si>
  <si>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</si>
  <si>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</si>
  <si>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</si>
  <si>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</si>
  <si>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</si>
  <si>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</si>
  <si>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</si>
  <si>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</si>
  <si>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</si>
  <si>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</si>
  <si>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</si>
  <si>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</si>
  <si>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</si>
  <si>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</si>
  <si>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</si>
  <si>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</si>
  <si>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</si>
  <si>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</si>
  <si>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</si>
  <si>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</si>
  <si>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</si>
  <si>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</si>
  <si>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</si>
  <si>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</si>
  <si>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</si>
  <si>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</si>
  <si>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</si>
  <si>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</si>
  <si>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</si>
  <si>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</si>
  <si>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</si>
  <si>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</si>
  <si>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</si>
  <si>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</si>
  <si>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</si>
  <si>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</si>
  <si>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</si>
  <si>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</si>
  <si>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</si>
  <si>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</si>
  <si>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</si>
  <si>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</si>
  <si>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</si>
  <si>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</si>
  <si>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</si>
  <si>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</si>
  <si>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</si>
  <si>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</si>
  <si>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</si>
  <si>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</si>
  <si>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</si>
  <si>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</si>
  <si>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</si>
  <si>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</si>
  <si>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</si>
  <si>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</si>
  <si>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</si>
  <si>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</si>
  <si>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</si>
  <si>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</si>
  <si>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</si>
  <si>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</si>
  <si>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</si>
  <si>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</si>
  <si>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</si>
  <si>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</si>
  <si>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</si>
  <si>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</si>
  <si>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</si>
  <si>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</si>
  <si>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</si>
  <si>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</si>
  <si>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</si>
  <si>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</si>
  <si>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</si>
  <si>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</si>
  <si>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</si>
  <si>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</si>
  <si>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</si>
  <si>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</si>
  <si>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</si>
  <si>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</si>
  <si>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</si>
  <si>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</si>
  <si>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</si>
  <si>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</si>
  <si>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</si>
  <si>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</si>
  <si>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</si>
  <si>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</si>
  <si>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</si>
  <si>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</si>
  <si>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</si>
  <si>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</si>
  <si>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</si>
  <si>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</si>
  <si>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</si>
  <si>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</si>
  <si>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</si>
  <si>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</si>
  <si>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</si>
  <si>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</si>
  <si>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</si>
  <si>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</si>
  <si>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</si>
  <si>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</si>
  <si>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</si>
  <si>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</si>
  <si>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</si>
  <si>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</si>
  <si>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</si>
  <si>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</si>
  <si>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</si>
  <si>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</si>
  <si>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</si>
  <si>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</si>
  <si>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</si>
  <si>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</si>
  <si>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</si>
  <si>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</si>
  <si>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</si>
  <si>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</si>
  <si>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</si>
  <si>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</si>
  <si>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</si>
  <si>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</si>
  <si>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</si>
  <si>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</si>
  <si>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</si>
  <si>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</si>
  <si>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</si>
  <si>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</si>
  <si>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</si>
  <si>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</si>
  <si>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</si>
  <si>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</si>
  <si>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</si>
  <si>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</si>
  <si>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</si>
  <si>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</si>
  <si>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</si>
  <si>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</si>
  <si>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</si>
  <si>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</si>
  <si>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</si>
  <si>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</si>
  <si>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</si>
  <si>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</si>
  <si>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</si>
  <si>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</si>
  <si>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</si>
  <si>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</si>
  <si>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</si>
  <si>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</si>
  <si>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</si>
  <si>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</si>
  <si>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</si>
  <si>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</si>
  <si>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</si>
  <si>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</si>
  <si>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</si>
  <si>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</si>
  <si>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</si>
  <si>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</si>
  <si>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</si>
  <si>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</si>
  <si>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</si>
  <si>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</si>
  <si>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</si>
  <si>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</si>
  <si>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</si>
  <si>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</si>
  <si>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</si>
  <si>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</si>
  <si>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</si>
  <si>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</si>
  <si>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</si>
  <si>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</si>
  <si>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</si>
  <si>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</si>
  <si>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</si>
  <si>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</si>
  <si>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</si>
  <si>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</si>
  <si>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</si>
  <si>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</si>
  <si>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</si>
  <si>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</si>
  <si>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</si>
  <si>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</si>
  <si>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</si>
  <si>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</si>
  <si>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</si>
  <si>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</si>
  <si>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</si>
  <si>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</si>
  <si>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</si>
  <si>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</si>
  <si>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</si>
  <si>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</si>
  <si>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</si>
  <si>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</si>
  <si>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</si>
  <si>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</si>
  <si>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</si>
  <si>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</si>
  <si>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</si>
  <si>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</si>
  <si>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</si>
  <si>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</si>
  <si>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</si>
  <si>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</si>
  <si>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</si>
  <si>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</si>
  <si>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</si>
  <si>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</si>
  <si>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</si>
  <si>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</si>
  <si>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</si>
  <si>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</si>
  <si>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</si>
  <si>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</si>
  <si>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</si>
  <si>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</si>
  <si>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</si>
  <si>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</si>
  <si>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</si>
  <si>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</si>
  <si>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</si>
  <si>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</si>
  <si>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</si>
  <si>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</si>
  <si>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</si>
  <si>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</si>
  <si>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</si>
  <si>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</si>
  <si>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</si>
  <si>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</si>
  <si>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</si>
  <si>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</si>
  <si>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</si>
  <si>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</si>
  <si>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</si>
  <si>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</si>
  <si>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</si>
  <si>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</si>
  <si>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</si>
  <si>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</si>
  <si>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</si>
  <si>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</si>
  <si>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</si>
  <si>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</si>
  <si>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</si>
  <si>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</si>
  <si>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</si>
  <si>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</si>
  <si>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</si>
  <si>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</si>
  <si>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</si>
  <si>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</si>
  <si>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</si>
  <si>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</si>
  <si>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</si>
  <si>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</si>
  <si>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</si>
  <si>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</si>
  <si>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</si>
  <si>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</si>
  <si>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</si>
  <si>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</si>
  <si>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</si>
  <si>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</si>
  <si>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</si>
  <si>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</si>
  <si>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</si>
  <si>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</si>
  <si>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</si>
  <si>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</si>
  <si>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</si>
  <si>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</si>
  <si>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</si>
  <si>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</si>
  <si>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</si>
  <si>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</si>
  <si>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</si>
  <si>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</si>
  <si>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</si>
  <si>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</si>
  <si>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</si>
  <si>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</si>
  <si>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</si>
  <si>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</si>
  <si>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</si>
  <si>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</si>
  <si>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</si>
  <si>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</si>
  <si>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</si>
  <si>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</si>
  <si>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</si>
  <si>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</si>
  <si>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</si>
  <si>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</si>
  <si>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</si>
  <si>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</si>
  <si>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</si>
  <si>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</si>
  <si>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</si>
  <si>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</si>
  <si>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</si>
  <si>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</si>
  <si>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</si>
  <si>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</si>
  <si>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</si>
  <si>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</si>
  <si>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</si>
  <si>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</si>
  <si>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</si>
  <si>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</si>
  <si>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</si>
  <si>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</si>
  <si>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</si>
  <si>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</si>
  <si>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</si>
  <si>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</si>
  <si>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</si>
  <si>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</si>
  <si>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</si>
  <si>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</si>
  <si>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</si>
  <si>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</si>
  <si>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</si>
  <si>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</si>
  <si>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</si>
  <si>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</si>
  <si>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</si>
  <si>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</si>
  <si>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</si>
  <si>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</si>
  <si>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</si>
  <si>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</si>
  <si>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</si>
  <si>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</si>
  <si>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</si>
  <si>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</si>
  <si>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</si>
  <si>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</si>
  <si>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</si>
  <si>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</si>
  <si>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</si>
  <si>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</si>
  <si>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</si>
  <si>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</si>
  <si>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</si>
  <si>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</si>
  <si>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</si>
  <si>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</si>
  <si>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</si>
  <si>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</si>
  <si>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</si>
  <si>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</si>
  <si>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</si>
  <si>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</si>
  <si>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</si>
  <si>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</si>
  <si>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</si>
  <si>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</si>
  <si>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</si>
  <si>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</si>
  <si>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</si>
  <si>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</si>
  <si>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</si>
  <si>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</si>
  <si>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</si>
  <si>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</si>
  <si>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</si>
  <si>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</si>
  <si>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</si>
  <si>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</si>
  <si>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</si>
  <si>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</si>
  <si>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</si>
  <si>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</si>
  <si>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</si>
  <si>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</si>
  <si>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</si>
  <si>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</si>
  <si>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</si>
  <si>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</si>
  <si>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</si>
  <si>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</si>
  <si>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</si>
  <si>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</si>
  <si>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</si>
  <si>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</si>
  <si>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</si>
  <si>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</si>
  <si>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</si>
  <si>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</si>
  <si>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</si>
  <si>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</si>
  <si>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</si>
  <si>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</si>
  <si>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</si>
  <si>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</si>
  <si>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</si>
  <si>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</si>
  <si>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</si>
  <si>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</si>
  <si>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</si>
  <si>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</si>
  <si>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</si>
  <si>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</si>
  <si>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</si>
  <si>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</si>
  <si>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</si>
  <si>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</si>
  <si>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</si>
  <si>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</si>
  <si>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</si>
  <si>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</si>
  <si>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</si>
  <si>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</si>
  <si>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</si>
  <si>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</si>
  <si>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</si>
  <si>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</si>
  <si>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</si>
  <si>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</si>
  <si>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</si>
  <si>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</si>
  <si>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</si>
  <si>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</si>
  <si>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</si>
  <si>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</si>
  <si>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</si>
  <si>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</si>
  <si>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</si>
  <si>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</si>
  <si>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</si>
  <si>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</si>
  <si>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</si>
  <si>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</si>
  <si>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</si>
  <si>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</si>
  <si>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</si>
  <si>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</si>
  <si>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</si>
  <si>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</si>
  <si>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</si>
  <si>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</si>
  <si>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</si>
  <si>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</si>
  <si>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</si>
  <si>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</si>
  <si>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</si>
  <si>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</si>
  <si>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</si>
  <si>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</si>
  <si>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</si>
  <si>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</si>
  <si>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</si>
  <si>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</si>
  <si>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</si>
  <si>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</si>
  <si>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</si>
  <si>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</si>
  <si>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</si>
  <si>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</si>
  <si>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</si>
  <si>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</si>
  <si>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</si>
  <si>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</si>
  <si>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</si>
  <si>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</si>
  <si>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</si>
  <si>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</si>
  <si>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</si>
  <si>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</si>
  <si>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</si>
  <si>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</si>
  <si>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</si>
  <si>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</si>
  <si>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</si>
  <si>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</si>
  <si>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</si>
  <si>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</si>
  <si>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</si>
  <si>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</si>
  <si>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</si>
  <si>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</si>
  <si>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</si>
  <si>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</si>
  <si>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</si>
  <si>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</si>
  <si>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</si>
  <si>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</si>
  <si>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</si>
  <si>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</si>
  <si>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</si>
  <si>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</si>
  <si>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</si>
  <si>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</si>
  <si>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</si>
  <si>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</si>
  <si>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</si>
  <si>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</si>
  <si>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</si>
  <si>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</si>
  <si>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</si>
  <si>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</si>
  <si>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</si>
  <si>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</si>
  <si>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</si>
  <si>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</si>
  <si>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</si>
  <si>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</si>
  <si>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</si>
  <si>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</si>
  <si>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</si>
  <si>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</si>
  <si>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</si>
  <si>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</si>
  <si>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</si>
  <si>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</si>
  <si>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</si>
  <si>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</si>
  <si>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</si>
  <si>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</si>
  <si>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</si>
  <si>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</si>
  <si>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</si>
  <si>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</si>
  <si>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</si>
  <si>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</si>
  <si>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</si>
  <si>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</si>
  <si>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</si>
  <si>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</si>
  <si>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</si>
  <si>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</si>
  <si>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</si>
  <si>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</si>
  <si>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</si>
  <si>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</si>
  <si>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</si>
  <si>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</si>
  <si>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</si>
  <si>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</si>
  <si>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</si>
  <si>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</si>
  <si>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</si>
  <si>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</si>
  <si>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</si>
  <si>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</si>
  <si>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</si>
  <si>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</si>
  <si>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</si>
  <si>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</si>
  <si>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</si>
  <si>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</si>
  <si>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</si>
  <si>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</si>
  <si>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</si>
  <si>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</si>
  <si>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</si>
  <si>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</si>
  <si>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</si>
  <si>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</si>
  <si>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</si>
  <si>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</si>
  <si>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</si>
  <si>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</si>
  <si>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</si>
  <si>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</si>
  <si>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</si>
  <si>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</si>
  <si>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</si>
  <si>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</si>
  <si>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</si>
  <si>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</si>
  <si>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</si>
  <si>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</si>
  <si>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</si>
  <si>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</si>
  <si>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</si>
  <si>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</si>
  <si>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</si>
  <si>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</si>
  <si>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</si>
  <si>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</si>
  <si>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</si>
  <si>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</si>
  <si>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</si>
  <si>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</si>
  <si>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</si>
  <si>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</si>
  <si>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</si>
  <si>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</si>
  <si>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</si>
  <si>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</si>
  <si>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</si>
  <si>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</si>
  <si>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</si>
  <si>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</si>
  <si>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</si>
  <si>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</si>
  <si>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</si>
  <si>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</si>
  <si>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</si>
  <si>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</si>
  <si>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</si>
  <si>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</si>
  <si>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</si>
  <si>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</si>
  <si>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</si>
  <si>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</si>
  <si>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</si>
  <si>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</si>
  <si>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</si>
  <si>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</si>
  <si>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</si>
  <si>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</si>
  <si>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</si>
  <si>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</si>
  <si>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</si>
  <si>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</si>
  <si>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</si>
  <si>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</si>
  <si>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</si>
  <si>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</si>
  <si>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</si>
  <si>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</si>
  <si>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</si>
  <si>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</si>
  <si>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</si>
  <si>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</si>
  <si>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</si>
  <si>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</si>
  <si>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</si>
  <si>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</si>
  <si>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</si>
  <si>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</si>
  <si>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</si>
  <si>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</si>
  <si>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</si>
  <si>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</si>
  <si>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</si>
  <si>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</si>
  <si>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</si>
  <si>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</si>
  <si>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</si>
  <si>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</si>
  <si>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</si>
  <si>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</si>
  <si>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</si>
  <si>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</si>
  <si>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</si>
  <si>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</si>
  <si>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</si>
  <si>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</si>
  <si>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</si>
  <si>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</si>
  <si>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</si>
  <si>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</si>
  <si>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</si>
  <si>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</si>
  <si>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</si>
  <si>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</si>
  <si>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</si>
  <si>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</si>
  <si>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</si>
  <si>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</si>
  <si>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</si>
  <si>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</si>
  <si>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</si>
  <si>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</si>
  <si>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</si>
  <si>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</si>
  <si>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</si>
  <si>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</si>
  <si>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</si>
  <si>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</si>
  <si>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</si>
  <si>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</si>
  <si>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</si>
  <si>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</si>
  <si>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</si>
  <si>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</si>
  <si>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</si>
  <si>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</si>
  <si>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</si>
  <si>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</si>
  <si>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</si>
  <si>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</si>
  <si>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</si>
  <si>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</si>
  <si>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</si>
  <si>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</si>
  <si>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</si>
  <si>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</si>
  <si>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</si>
  <si>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</si>
  <si>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</si>
  <si>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</si>
  <si>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</si>
  <si>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</si>
  <si>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</si>
  <si>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</si>
  <si>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</si>
  <si>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</si>
  <si>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</si>
  <si>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</si>
  <si>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</si>
  <si>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</si>
  <si>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</si>
  <si>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</si>
  <si>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</si>
  <si>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</si>
  <si>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</si>
  <si>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</si>
  <si>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</si>
  <si>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</si>
  <si>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</si>
  <si>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</si>
  <si>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</si>
  <si>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</si>
  <si>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</si>
  <si>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</si>
  <si>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</si>
  <si>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</si>
  <si>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</si>
  <si>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</si>
  <si>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</si>
  <si>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</si>
  <si>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</si>
  <si>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</si>
  <si>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</si>
  <si>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</si>
  <si>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</si>
  <si>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</si>
  <si>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</si>
  <si>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</si>
  <si>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</si>
  <si>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</si>
  <si>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</si>
  <si>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</si>
  <si>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</si>
  <si>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</si>
  <si>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</si>
  <si>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</si>
  <si>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</si>
  <si>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</si>
  <si>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</si>
  <si>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</si>
  <si>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</si>
  <si>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</si>
  <si>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</si>
  <si>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</si>
  <si>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</si>
  <si>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</si>
  <si>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</si>
  <si>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</si>
  <si>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</si>
  <si>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</si>
  <si>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</si>
  <si>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</si>
  <si>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</si>
  <si>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</si>
  <si>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</si>
  <si>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</si>
  <si>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</si>
  <si>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</si>
  <si>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</si>
  <si>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</si>
  <si>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</si>
  <si>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</si>
  <si>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</si>
  <si>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</si>
  <si>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</si>
  <si>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</si>
  <si>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</si>
  <si>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</si>
  <si>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</si>
  <si>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</si>
  <si>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</si>
  <si>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</si>
  <si>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</si>
  <si>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</si>
  <si>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</si>
  <si>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</si>
  <si>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</si>
  <si>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</si>
  <si>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</si>
  <si>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</si>
  <si>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</si>
  <si>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</si>
  <si>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</si>
  <si>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</si>
  <si>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</si>
  <si>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</si>
  <si>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</si>
  <si>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</si>
  <si>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</si>
  <si>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</si>
  <si>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</si>
  <si>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</si>
  <si>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</si>
  <si>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</si>
  <si>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</si>
  <si>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</si>
  <si>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</si>
  <si>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</si>
  <si>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</si>
  <si>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</si>
  <si>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</si>
  <si>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</si>
  <si>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</si>
  <si>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</si>
  <si>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</si>
  <si>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</si>
  <si>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</si>
  <si>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</si>
  <si>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</si>
  <si>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</si>
  <si>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</si>
  <si>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</si>
  <si>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</si>
  <si>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</si>
  <si>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</si>
  <si>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</si>
  <si>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</si>
  <si>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</si>
  <si>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</si>
  <si>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</si>
  <si>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</si>
  <si>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</si>
  <si>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</si>
  <si>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</si>
  <si>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</si>
  <si>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</si>
  <si>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</si>
  <si>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</si>
  <si>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</si>
  <si>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</si>
  <si>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</si>
  <si>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</si>
  <si>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</si>
  <si>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</si>
  <si>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</si>
  <si>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</si>
  <si>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</si>
  <si>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</si>
  <si>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</si>
  <si>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</si>
  <si>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</si>
  <si>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</si>
  <si>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</si>
  <si>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</si>
  <si>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</si>
  <si>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</si>
  <si>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</si>
  <si>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</si>
  <si>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</si>
  <si>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</si>
  <si>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</si>
  <si>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</si>
  <si>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</si>
  <si>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</si>
  <si>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</si>
  <si>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</si>
  <si>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</si>
  <si>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</si>
  <si>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</si>
  <si>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</si>
  <si>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</si>
  <si>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</si>
  <si>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</si>
  <si>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</si>
  <si>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</si>
  <si>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</si>
  <si>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</si>
  <si>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</si>
  <si>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</si>
  <si>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</si>
  <si>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</si>
  <si>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</si>
  <si>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</si>
  <si>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</si>
  <si>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</si>
  <si>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</si>
  <si>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</si>
  <si>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</si>
  <si>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</si>
  <si>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</si>
  <si>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</si>
  <si>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</si>
  <si>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</si>
  <si>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</si>
  <si>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</si>
  <si>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</si>
  <si>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</si>
  <si>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</si>
  <si>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</si>
  <si>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</si>
  <si>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</si>
  <si>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</si>
  <si>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</si>
  <si>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</si>
  <si>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</si>
  <si>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</si>
  <si>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</si>
  <si>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</si>
  <si>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</si>
  <si>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</si>
  <si>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</si>
  <si>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</si>
  <si>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</si>
  <si>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</si>
  <si>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</si>
  <si>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</si>
  <si>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</si>
  <si>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</si>
  <si>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</si>
  <si>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</si>
  <si>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</si>
  <si>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</si>
  <si>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</si>
  <si>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</si>
  <si>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</si>
  <si>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</si>
  <si>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</si>
  <si>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</si>
  <si>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</si>
  <si>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</si>
  <si>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</si>
  <si>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</si>
  <si>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</si>
  <si>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</si>
  <si>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</si>
  <si>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</si>
  <si>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</si>
  <si>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</si>
  <si>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</si>
  <si>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</si>
  <si>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</si>
  <si>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</si>
  <si>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</si>
  <si>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</si>
  <si>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</si>
  <si>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</si>
  <si>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</si>
  <si>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</si>
  <si>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</si>
  <si>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</si>
  <si>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</si>
  <si>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</si>
  <si>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</si>
  <si>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</si>
  <si>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</si>
  <si>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</si>
  <si>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</si>
  <si>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</si>
  <si>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</si>
  <si>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</si>
  <si>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</si>
  <si>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サンライトオレンジ</t>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</si>
  <si>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</si>
  <si>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</si>
  <si>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</si>
  <si>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</si>
  <si>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</si>
  <si>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</si>
  <si>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</si>
  <si>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</si>
  <si>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</si>
  <si>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</si>
  <si>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</si>
  <si>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</si>
  <si>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</si>
  <si>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</si>
  <si>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</si>
  <si>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</si>
  <si>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</si>
  <si>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</si>
  <si>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トッピング用のくまの形のチョコレート。こっちはおにいさん。少し大きくガッシリ。</t>
    <rPh sb="5" eb="6">
      <t>ヨウ</t>
    </rPh>
    <rPh sb="10" eb="11">
      <t>カタチ</t>
    </rPh>
    <rPh sb="29" eb="30">
      <t>スコ</t>
    </rPh>
    <rPh sb="31" eb="32">
      <t>オオ</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</si>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</sst>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5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1" fillId="11" borderId="0" xfId="0" applyFont="1" applyFill="1"/>
    <xf numFmtId="0" fontId="4" fillId="11" borderId="0" xfId="0" applyFont="1" applyFill="1"/>
    <xf numFmtId="0" fontId="0" fillId="11" borderId="0" xfId="0" applyFill="1"/>
    <xf numFmtId="0" fontId="5" fillId="11" borderId="0" xfId="0" applyFont="1" applyFill="1"/>
    <xf numFmtId="0" fontId="4" fillId="8" borderId="0" xfId="0" applyFont="1" applyFill="1"/>
    <xf numFmtId="0" fontId="0" fillId="0" borderId="0" xfId="0" applyAlignment="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U305"/>
  <sheetViews>
    <sheetView topLeftCell="A17" workbookViewId="0">
      <selection activeCell="E29" sqref="E29"/>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73" width="8.710937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1145</v>
      </c>
      <c r="Z1" s="2" t="s">
        <v>2210</v>
      </c>
      <c r="AA1" s="2" t="s">
        <v>2169</v>
      </c>
      <c r="AB1" s="2" t="s">
        <v>2201</v>
      </c>
      <c r="AC1" s="2" t="s">
        <v>2202</v>
      </c>
      <c r="AD1" s="2" t="s">
        <v>2203</v>
      </c>
      <c r="AE1" s="2" t="s">
        <v>2204</v>
      </c>
      <c r="AF1" s="2" t="s">
        <v>2205</v>
      </c>
      <c r="AG1" s="2" t="s">
        <v>2206</v>
      </c>
      <c r="AH1" s="2" t="s">
        <v>2207</v>
      </c>
      <c r="AI1" s="2" t="s">
        <v>2208</v>
      </c>
      <c r="AJ1" s="2" t="s">
        <v>2209</v>
      </c>
      <c r="AK1" s="2" t="s">
        <v>2623</v>
      </c>
      <c r="AL1" s="1" t="s">
        <v>13</v>
      </c>
      <c r="AM1" s="1" t="s">
        <v>14</v>
      </c>
      <c r="AN1" s="1" t="s">
        <v>1928</v>
      </c>
      <c r="AO1" s="1" t="s">
        <v>1849</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2492</v>
      </c>
      <c r="BN1" s="1" t="s">
        <v>3553</v>
      </c>
      <c r="BO1" s="1" t="s">
        <v>1614</v>
      </c>
      <c r="BP1" s="1" t="s">
        <v>3617</v>
      </c>
      <c r="BQ1" s="1" t="s">
        <v>3618</v>
      </c>
      <c r="BR1" s="1" t="s">
        <v>3619</v>
      </c>
      <c r="BS1" s="1" t="s">
        <v>3620</v>
      </c>
      <c r="BT1" s="1" t="s">
        <v>3621</v>
      </c>
      <c r="BU1" s="1" t="s">
        <v>3622</v>
      </c>
    </row>
    <row r="2" spans="1:73" ht="15.75" customHeight="1" x14ac:dyDescent="0.2">
      <c r="A2" s="3">
        <f t="shared" ref="A2:A65"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1941</v>
      </c>
      <c r="AO2" s="3" t="s">
        <v>1850</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ht="15.75" customHeight="1" x14ac:dyDescent="0.2">
      <c r="A3" s="3">
        <f t="shared" si="0"/>
        <v>1</v>
      </c>
      <c r="B3" s="3" t="s">
        <v>55</v>
      </c>
      <c r="C3" s="3" t="s">
        <v>2215</v>
      </c>
      <c r="D3" s="5" t="s">
        <v>2211</v>
      </c>
      <c r="E3" s="5" t="s">
        <v>2212</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1941</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row>
    <row r="4" spans="1:73" ht="15.75" customHeight="1" x14ac:dyDescent="0.2">
      <c r="A4" s="3">
        <f t="shared" si="0"/>
        <v>2</v>
      </c>
      <c r="B4" s="3" t="s">
        <v>3526</v>
      </c>
      <c r="C4" s="6" t="s">
        <v>3395</v>
      </c>
      <c r="D4" s="5" t="s">
        <v>3483</v>
      </c>
      <c r="E4" s="5" t="s">
        <v>3396</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1941</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row>
    <row r="5" spans="1:73" ht="15.75" customHeight="1" x14ac:dyDescent="0.2">
      <c r="A5" s="3">
        <f t="shared" si="0"/>
        <v>3</v>
      </c>
      <c r="B5" s="3" t="s">
        <v>1470</v>
      </c>
      <c r="C5" s="6" t="s">
        <v>1138</v>
      </c>
      <c r="D5" s="5" t="s">
        <v>1155</v>
      </c>
      <c r="E5" s="5" t="s">
        <v>1156</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1941</v>
      </c>
      <c r="AO5" s="3" t="s">
        <v>1850</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row>
    <row r="6" spans="1:73" ht="15.75" customHeight="1" x14ac:dyDescent="0.2">
      <c r="A6" s="3">
        <f t="shared" si="0"/>
        <v>4</v>
      </c>
      <c r="B6" s="3" t="s">
        <v>2612</v>
      </c>
      <c r="C6" s="3" t="s">
        <v>159</v>
      </c>
      <c r="D6" s="5" t="s">
        <v>992</v>
      </c>
      <c r="E6" s="5" t="s">
        <v>2247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1941</v>
      </c>
      <c r="AO6" s="3" t="s">
        <v>1850</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row>
    <row r="7" spans="1:73"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1942</v>
      </c>
      <c r="AO7" s="3" t="s">
        <v>1850</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ht="15.75" customHeight="1" x14ac:dyDescent="0.2">
      <c r="A8" s="3">
        <f t="shared" si="0"/>
        <v>6</v>
      </c>
      <c r="B8" s="3" t="s">
        <v>57</v>
      </c>
      <c r="C8" s="3" t="s">
        <v>2216</v>
      </c>
      <c r="D8" s="5" t="s">
        <v>2213</v>
      </c>
      <c r="E8" s="5" t="s">
        <v>2214</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1942</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row>
    <row r="9" spans="1:73" ht="15.75" customHeight="1" x14ac:dyDescent="0.2">
      <c r="A9" s="3">
        <f t="shared" si="0"/>
        <v>7</v>
      </c>
      <c r="B9" s="3" t="s">
        <v>3527</v>
      </c>
      <c r="C9" s="3" t="s">
        <v>3397</v>
      </c>
      <c r="D9" s="5" t="s">
        <v>3398</v>
      </c>
      <c r="E9" s="5" t="s">
        <v>3399</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1942</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row>
    <row r="10" spans="1:73"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3510</v>
      </c>
      <c r="AO10" s="3" t="s">
        <v>1850</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row>
    <row r="11" spans="1:73"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1943</v>
      </c>
      <c r="AO11" s="3" t="s">
        <v>1850</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row>
    <row r="12" spans="1:73" ht="15.75" customHeight="1" x14ac:dyDescent="0.2">
      <c r="A12" s="3">
        <f t="shared" si="0"/>
        <v>10</v>
      </c>
      <c r="B12" s="3" t="s">
        <v>66</v>
      </c>
      <c r="C12" s="3" t="s">
        <v>2217</v>
      </c>
      <c r="D12" s="5" t="s">
        <v>2621</v>
      </c>
      <c r="E12" s="5" t="s">
        <v>2218</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1943</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row>
    <row r="13" spans="1:73"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1943</v>
      </c>
      <c r="AO13" s="7" t="s">
        <v>1850</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row>
    <row r="14" spans="1:73"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1943</v>
      </c>
      <c r="AO14" s="7" t="s">
        <v>1850</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row>
    <row r="15" spans="1:73" ht="15.75" customHeight="1" x14ac:dyDescent="0.2">
      <c r="A15" s="3">
        <f t="shared" si="0"/>
        <v>13</v>
      </c>
      <c r="B15" s="3" t="s">
        <v>396</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1073</v>
      </c>
      <c r="AN15" s="3" t="s">
        <v>2951</v>
      </c>
      <c r="AO15" s="3" t="s">
        <v>1850</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row>
    <row r="16" spans="1:73"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1943</v>
      </c>
      <c r="AO16" s="3" t="s">
        <v>1850</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row>
    <row r="17" spans="1:73"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1943</v>
      </c>
      <c r="AO17" s="3" t="s">
        <v>1850</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row>
    <row r="18" spans="1:73" ht="15.75" customHeight="1" x14ac:dyDescent="0.2">
      <c r="A18" s="3">
        <f t="shared" si="0"/>
        <v>16</v>
      </c>
      <c r="B18" s="3" t="s">
        <v>2190</v>
      </c>
      <c r="C18" s="3" t="s">
        <v>2190</v>
      </c>
      <c r="D18" s="5" t="s">
        <v>2189</v>
      </c>
      <c r="E18" s="5" t="s">
        <v>2373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1943</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2276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row>
    <row r="19" spans="1:73" ht="15.75" customHeight="1" x14ac:dyDescent="0.2">
      <c r="A19" s="3">
        <f t="shared" si="0"/>
        <v>17</v>
      </c>
      <c r="B19" s="3" t="s">
        <v>1532</v>
      </c>
      <c r="C19" s="3" t="s">
        <v>1532</v>
      </c>
      <c r="D19" s="5" t="s">
        <v>1531</v>
      </c>
      <c r="E19" s="5" t="s">
        <v>1533</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1943</v>
      </c>
      <c r="AO19" s="3" t="s">
        <v>1850</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1536</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row>
    <row r="20" spans="1:73" ht="15.75" customHeight="1" x14ac:dyDescent="0.2">
      <c r="A20" s="3">
        <f t="shared" si="0"/>
        <v>18</v>
      </c>
      <c r="B20" s="3" t="s">
        <v>1535</v>
      </c>
      <c r="C20" s="3" t="s">
        <v>1535</v>
      </c>
      <c r="D20" s="5" t="s">
        <v>1534</v>
      </c>
      <c r="E20" s="5" t="s">
        <v>1538</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1943</v>
      </c>
      <c r="AO20" s="3" t="s">
        <v>1850</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1537</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row>
    <row r="21" spans="1:73" ht="15.75" customHeight="1" x14ac:dyDescent="0.2">
      <c r="A21" s="3">
        <f t="shared" si="0"/>
        <v>19</v>
      </c>
      <c r="B21" s="3" t="s">
        <v>2540</v>
      </c>
      <c r="C21" s="3" t="s">
        <v>2450</v>
      </c>
      <c r="D21" s="5" t="s">
        <v>2449</v>
      </c>
      <c r="E21" s="5" t="s">
        <v>2451</v>
      </c>
      <c r="F21" s="3">
        <v>0</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1943</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row>
    <row r="22" spans="1:73" ht="15.75" customHeight="1" x14ac:dyDescent="0.2">
      <c r="A22" s="3">
        <f t="shared" si="0"/>
        <v>20</v>
      </c>
      <c r="B22" s="3" t="s">
        <v>2539</v>
      </c>
      <c r="C22" s="3" t="s">
        <v>2453</v>
      </c>
      <c r="D22" s="5" t="s">
        <v>2452</v>
      </c>
      <c r="E22" s="5" t="s">
        <v>2454</v>
      </c>
      <c r="F22" s="3">
        <v>0</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1943</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row>
    <row r="23" spans="1:73" ht="15.75" customHeight="1" x14ac:dyDescent="0.2">
      <c r="A23" s="3">
        <f t="shared" si="0"/>
        <v>21</v>
      </c>
      <c r="B23" s="3" t="s">
        <v>2538</v>
      </c>
      <c r="C23" s="3" t="s">
        <v>2460</v>
      </c>
      <c r="D23" s="5" t="s">
        <v>2459</v>
      </c>
      <c r="E23" s="5" t="s">
        <v>2461</v>
      </c>
      <c r="F23" s="3">
        <v>0</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1943</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row>
    <row r="24" spans="1:73" ht="15.75" customHeight="1" x14ac:dyDescent="0.2">
      <c r="A24" s="3">
        <f t="shared" si="0"/>
        <v>22</v>
      </c>
      <c r="B24" s="3" t="s">
        <v>2541</v>
      </c>
      <c r="C24" s="3" t="s">
        <v>2464</v>
      </c>
      <c r="D24" s="5" t="s">
        <v>2462</v>
      </c>
      <c r="E24" s="5" t="s">
        <v>2463</v>
      </c>
      <c r="F24" s="3">
        <v>0</v>
      </c>
      <c r="G24" s="3">
        <v>0</v>
      </c>
      <c r="H24" s="3">
        <v>0</v>
      </c>
      <c r="I24" s="3">
        <v>50</v>
      </c>
      <c r="J24" s="3">
        <v>20</v>
      </c>
      <c r="K24" s="3">
        <v>0.9</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1943</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row>
    <row r="25" spans="1:73" ht="15.75" customHeight="1" x14ac:dyDescent="0.2">
      <c r="A25" s="3">
        <f t="shared" si="0"/>
        <v>23</v>
      </c>
      <c r="B25" s="3" t="s">
        <v>2542</v>
      </c>
      <c r="C25" s="3" t="s">
        <v>2467</v>
      </c>
      <c r="D25" s="5" t="s">
        <v>2465</v>
      </c>
      <c r="E25" s="5" t="s">
        <v>2466</v>
      </c>
      <c r="F25" s="3">
        <v>0</v>
      </c>
      <c r="G25" s="3">
        <v>0</v>
      </c>
      <c r="H25" s="3">
        <v>0</v>
      </c>
      <c r="I25" s="3">
        <v>50</v>
      </c>
      <c r="J25" s="3">
        <v>20</v>
      </c>
      <c r="K25" s="3">
        <v>0.9</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1943</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row>
    <row r="26" spans="1:73" ht="15.75" customHeight="1" x14ac:dyDescent="0.2">
      <c r="A26" s="3">
        <f t="shared" si="0"/>
        <v>24</v>
      </c>
      <c r="B26" s="3" t="s">
        <v>2544</v>
      </c>
      <c r="C26" s="3" t="s">
        <v>2483</v>
      </c>
      <c r="D26" s="5" t="s">
        <v>2484</v>
      </c>
      <c r="E26" s="5" t="s">
        <v>2485</v>
      </c>
      <c r="F26" s="3">
        <v>0</v>
      </c>
      <c r="G26" s="3">
        <v>0</v>
      </c>
      <c r="H26" s="3">
        <v>0</v>
      </c>
      <c r="I26" s="3">
        <v>50</v>
      </c>
      <c r="J26" s="3">
        <v>20</v>
      </c>
      <c r="K26" s="3">
        <v>0.9</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1943</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row>
    <row r="27" spans="1:73" ht="15.75" customHeight="1" x14ac:dyDescent="0.2">
      <c r="A27" s="3">
        <f t="shared" si="0"/>
        <v>25</v>
      </c>
      <c r="B27" s="3" t="s">
        <v>2545</v>
      </c>
      <c r="C27" s="3" t="s">
        <v>2456</v>
      </c>
      <c r="D27" s="5" t="s">
        <v>2455</v>
      </c>
      <c r="E27" s="5" t="s">
        <v>3566</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1943</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2493</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row>
    <row r="28" spans="1:73" ht="15.75" customHeight="1" x14ac:dyDescent="0.2">
      <c r="A28" s="3">
        <f t="shared" si="0"/>
        <v>26</v>
      </c>
      <c r="B28" s="3" t="s">
        <v>3574</v>
      </c>
      <c r="C28" s="3" t="s">
        <v>3574</v>
      </c>
      <c r="D28" s="5" t="s">
        <v>3573</v>
      </c>
      <c r="E28" s="5" t="s">
        <v>3575</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1943</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937</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row>
    <row r="29" spans="1:73" ht="15.75" customHeight="1" x14ac:dyDescent="0.2">
      <c r="A29" s="3">
        <f t="shared" si="0"/>
        <v>27</v>
      </c>
      <c r="B29" s="3" t="s">
        <v>2543</v>
      </c>
      <c r="C29" s="3" t="s">
        <v>2458</v>
      </c>
      <c r="D29" s="5" t="s">
        <v>2457</v>
      </c>
      <c r="E29" s="5" t="s">
        <v>3567</v>
      </c>
      <c r="F29" s="3">
        <v>0</v>
      </c>
      <c r="G29" s="3">
        <v>0</v>
      </c>
      <c r="H29" s="3">
        <v>0</v>
      </c>
      <c r="I29" s="3">
        <v>50</v>
      </c>
      <c r="J29" s="3">
        <v>20</v>
      </c>
      <c r="K29" s="3">
        <v>0.95</v>
      </c>
      <c r="L29" s="3">
        <v>0</v>
      </c>
      <c r="M29" s="3">
        <v>12</v>
      </c>
      <c r="N29" s="3">
        <v>0</v>
      </c>
      <c r="O29" s="3">
        <v>0</v>
      </c>
      <c r="P29" s="3">
        <v>15</v>
      </c>
      <c r="Q29" s="3">
        <v>-20</v>
      </c>
      <c r="R29" s="3">
        <v>-5</v>
      </c>
      <c r="S29" s="3">
        <v>30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2951</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row>
    <row r="30" spans="1:73" ht="15.75" customHeight="1" x14ac:dyDescent="0.2">
      <c r="A30" s="3">
        <f t="shared" si="0"/>
        <v>28</v>
      </c>
      <c r="B30" s="3" t="s">
        <v>1919</v>
      </c>
      <c r="C30" s="3" t="s">
        <v>1919</v>
      </c>
      <c r="D30" s="5" t="s">
        <v>1920</v>
      </c>
      <c r="E30" s="5" t="s">
        <v>1921</v>
      </c>
      <c r="F30" s="3">
        <v>0</v>
      </c>
      <c r="G30" s="3">
        <v>0</v>
      </c>
      <c r="H30" s="3">
        <v>0</v>
      </c>
      <c r="I30" s="3">
        <v>50</v>
      </c>
      <c r="J30" s="3">
        <v>3</v>
      </c>
      <c r="K30" s="3">
        <v>0.99</v>
      </c>
      <c r="L30" s="3">
        <v>0</v>
      </c>
      <c r="M30" s="3">
        <v>10</v>
      </c>
      <c r="N30" s="3">
        <v>0</v>
      </c>
      <c r="O30" s="3">
        <v>0</v>
      </c>
      <c r="P30" s="3">
        <v>0</v>
      </c>
      <c r="Q30" s="3">
        <v>0</v>
      </c>
      <c r="R30" s="3">
        <v>10</v>
      </c>
      <c r="S30" s="3">
        <v>0</v>
      </c>
      <c r="T30" s="3">
        <v>0</v>
      </c>
      <c r="U30" s="3">
        <v>0</v>
      </c>
      <c r="V30" s="3">
        <v>0</v>
      </c>
      <c r="W30" s="3">
        <v>-3</v>
      </c>
      <c r="X30" s="3">
        <v>0</v>
      </c>
      <c r="Y30" s="3">
        <v>0</v>
      </c>
      <c r="Z30" s="3">
        <v>0</v>
      </c>
      <c r="AA30" s="3">
        <v>0</v>
      </c>
      <c r="AB30" s="3">
        <v>0</v>
      </c>
      <c r="AC30" s="3">
        <v>0</v>
      </c>
      <c r="AD30" s="3">
        <v>0</v>
      </c>
      <c r="AE30" s="3">
        <v>0</v>
      </c>
      <c r="AF30" s="3">
        <v>0</v>
      </c>
      <c r="AG30" s="3">
        <v>0</v>
      </c>
      <c r="AH30" s="3">
        <v>0</v>
      </c>
      <c r="AI30" s="3">
        <v>5</v>
      </c>
      <c r="AJ30" s="3">
        <v>0</v>
      </c>
      <c r="AK30" s="3">
        <v>0</v>
      </c>
      <c r="AL30" s="3" t="s">
        <v>17</v>
      </c>
      <c r="AM30" s="3" t="s">
        <v>168</v>
      </c>
      <c r="AN30" s="3" t="s">
        <v>2231</v>
      </c>
      <c r="AO30" s="3" t="s">
        <v>2150</v>
      </c>
      <c r="AP30" s="3">
        <v>0</v>
      </c>
      <c r="AQ30" s="3">
        <v>0</v>
      </c>
      <c r="AR30">
        <v>0</v>
      </c>
      <c r="AS30">
        <v>1</v>
      </c>
      <c r="AT30" s="6" t="s">
        <v>50</v>
      </c>
      <c r="AU30" s="6" t="s">
        <v>50</v>
      </c>
      <c r="AV30" s="6" t="s">
        <v>50</v>
      </c>
      <c r="AW30" s="6" t="s">
        <v>50</v>
      </c>
      <c r="AX30" s="6" t="s">
        <v>50</v>
      </c>
      <c r="AY30" s="6" t="s">
        <v>50</v>
      </c>
      <c r="AZ30" s="6" t="s">
        <v>50</v>
      </c>
      <c r="BA30" s="6" t="s">
        <v>50</v>
      </c>
      <c r="BB30" s="6" t="s">
        <v>50</v>
      </c>
      <c r="BC30" s="6" t="s">
        <v>50</v>
      </c>
      <c r="BD30" s="6" t="s">
        <v>2271</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29</v>
      </c>
      <c r="B31" s="3" t="s">
        <v>1916</v>
      </c>
      <c r="C31" s="3" t="s">
        <v>1916</v>
      </c>
      <c r="D31" s="5" t="s">
        <v>1917</v>
      </c>
      <c r="E31" s="5" t="s">
        <v>1918</v>
      </c>
      <c r="F31" s="3">
        <v>0</v>
      </c>
      <c r="G31" s="3">
        <v>0</v>
      </c>
      <c r="H31" s="3">
        <v>0</v>
      </c>
      <c r="I31" s="3">
        <v>50</v>
      </c>
      <c r="J31" s="3">
        <v>30</v>
      </c>
      <c r="K31" s="3">
        <v>0.93</v>
      </c>
      <c r="L31" s="3">
        <v>0</v>
      </c>
      <c r="M31" s="3">
        <v>20</v>
      </c>
      <c r="N31" s="3">
        <v>10</v>
      </c>
      <c r="O31" s="3">
        <v>10</v>
      </c>
      <c r="P31" s="3">
        <v>13</v>
      </c>
      <c r="Q31" s="3">
        <v>0</v>
      </c>
      <c r="R31" s="3">
        <v>35</v>
      </c>
      <c r="S31" s="3">
        <v>10</v>
      </c>
      <c r="T31" s="3">
        <v>0</v>
      </c>
      <c r="U31" s="3">
        <v>0</v>
      </c>
      <c r="V31" s="3">
        <v>0</v>
      </c>
      <c r="W31" s="3">
        <v>-3</v>
      </c>
      <c r="X31" s="3">
        <v>0</v>
      </c>
      <c r="Y31" s="3">
        <v>0</v>
      </c>
      <c r="Z31" s="3">
        <v>0</v>
      </c>
      <c r="AA31" s="3">
        <v>12</v>
      </c>
      <c r="AB31" s="3">
        <v>0</v>
      </c>
      <c r="AC31" s="3">
        <v>0</v>
      </c>
      <c r="AD31" s="3">
        <v>0</v>
      </c>
      <c r="AE31" s="3">
        <v>0</v>
      </c>
      <c r="AF31" s="3">
        <v>0</v>
      </c>
      <c r="AG31" s="3">
        <v>0</v>
      </c>
      <c r="AH31" s="3">
        <v>0</v>
      </c>
      <c r="AI31" s="3">
        <v>5</v>
      </c>
      <c r="AJ31" s="3">
        <v>0</v>
      </c>
      <c r="AK31" s="3">
        <v>0</v>
      </c>
      <c r="AL31" s="3" t="s">
        <v>17</v>
      </c>
      <c r="AM31" s="3" t="s">
        <v>168</v>
      </c>
      <c r="AN31" s="3" t="s">
        <v>2231</v>
      </c>
      <c r="AO31" s="3" t="s">
        <v>2150</v>
      </c>
      <c r="AP31" s="3">
        <v>0</v>
      </c>
      <c r="AQ31" s="3">
        <v>20</v>
      </c>
      <c r="AR31">
        <v>0</v>
      </c>
      <c r="AS31">
        <v>50</v>
      </c>
      <c r="AT31" s="6" t="s">
        <v>50</v>
      </c>
      <c r="AU31" s="6" t="s">
        <v>50</v>
      </c>
      <c r="AV31" s="6" t="s">
        <v>50</v>
      </c>
      <c r="AW31" s="6" t="s">
        <v>50</v>
      </c>
      <c r="AX31" s="6" t="s">
        <v>50</v>
      </c>
      <c r="AY31" s="6" t="s">
        <v>50</v>
      </c>
      <c r="AZ31" s="6" t="s">
        <v>50</v>
      </c>
      <c r="BA31" s="6" t="s">
        <v>50</v>
      </c>
      <c r="BB31" s="6" t="s">
        <v>50</v>
      </c>
      <c r="BC31" s="6" t="s">
        <v>50</v>
      </c>
      <c r="BD31" s="6" t="s">
        <v>2277</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row>
    <row r="32" spans="1:73" ht="15.75" customHeight="1" x14ac:dyDescent="0.2">
      <c r="A32" s="3">
        <f t="shared" si="0"/>
        <v>30</v>
      </c>
      <c r="B32" s="3" t="s">
        <v>2035</v>
      </c>
      <c r="C32" s="3" t="s">
        <v>2035</v>
      </c>
      <c r="D32" s="5" t="s">
        <v>2555</v>
      </c>
      <c r="E32" s="5" t="s">
        <v>2471</v>
      </c>
      <c r="F32" s="3">
        <v>0</v>
      </c>
      <c r="G32" s="3">
        <v>0</v>
      </c>
      <c r="H32" s="3">
        <v>0</v>
      </c>
      <c r="I32" s="3">
        <v>50</v>
      </c>
      <c r="J32" s="3">
        <v>20</v>
      </c>
      <c r="K32" s="3">
        <v>0.93</v>
      </c>
      <c r="L32" s="3">
        <v>0</v>
      </c>
      <c r="M32" s="3">
        <v>30</v>
      </c>
      <c r="N32" s="3">
        <v>0</v>
      </c>
      <c r="O32" s="3">
        <v>0</v>
      </c>
      <c r="P32" s="3">
        <v>20</v>
      </c>
      <c r="Q32" s="3">
        <v>0</v>
      </c>
      <c r="R32" s="3">
        <v>35</v>
      </c>
      <c r="S32" s="3">
        <v>15</v>
      </c>
      <c r="T32" s="3">
        <v>0</v>
      </c>
      <c r="U32" s="3">
        <v>0</v>
      </c>
      <c r="V32" s="3">
        <v>0</v>
      </c>
      <c r="W32" s="3">
        <v>-3</v>
      </c>
      <c r="X32" s="3">
        <v>0</v>
      </c>
      <c r="Y32" s="3">
        <v>0</v>
      </c>
      <c r="Z32" s="3">
        <v>0</v>
      </c>
      <c r="AA32" s="3">
        <v>0</v>
      </c>
      <c r="AB32" s="3">
        <v>0</v>
      </c>
      <c r="AC32" s="3">
        <v>12</v>
      </c>
      <c r="AD32" s="3">
        <v>0</v>
      </c>
      <c r="AE32" s="3">
        <v>0</v>
      </c>
      <c r="AF32" s="3">
        <v>0</v>
      </c>
      <c r="AG32" s="3">
        <v>0</v>
      </c>
      <c r="AH32" s="3">
        <v>0</v>
      </c>
      <c r="AI32" s="3">
        <v>5</v>
      </c>
      <c r="AJ32" s="3">
        <v>0</v>
      </c>
      <c r="AK32" s="3">
        <v>0</v>
      </c>
      <c r="AL32" s="3" t="s">
        <v>17</v>
      </c>
      <c r="AM32" s="3" t="s">
        <v>168</v>
      </c>
      <c r="AN32" s="3" t="s">
        <v>2231</v>
      </c>
      <c r="AO32" s="3" t="s">
        <v>2150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2278</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row>
    <row r="33" spans="1:73" ht="15.75" customHeight="1" x14ac:dyDescent="0.2">
      <c r="A33" s="3">
        <f t="shared" si="0"/>
        <v>31</v>
      </c>
      <c r="B33" s="3" t="s">
        <v>2248</v>
      </c>
      <c r="C33" s="3" t="s">
        <v>2248</v>
      </c>
      <c r="D33" s="5" t="s">
        <v>2561</v>
      </c>
      <c r="E33" s="5" t="s">
        <v>2562</v>
      </c>
      <c r="F33" s="3">
        <v>0</v>
      </c>
      <c r="G33" s="3">
        <v>0</v>
      </c>
      <c r="H33" s="3">
        <v>0</v>
      </c>
      <c r="I33" s="3">
        <v>50</v>
      </c>
      <c r="J33" s="3">
        <v>30</v>
      </c>
      <c r="K33" s="3">
        <v>0.93</v>
      </c>
      <c r="L33" s="3">
        <v>0</v>
      </c>
      <c r="M33" s="3">
        <v>20</v>
      </c>
      <c r="N33" s="3">
        <v>10</v>
      </c>
      <c r="O33" s="3">
        <v>10</v>
      </c>
      <c r="P33" s="3">
        <v>13</v>
      </c>
      <c r="Q33" s="3">
        <v>0</v>
      </c>
      <c r="R33" s="3">
        <v>35</v>
      </c>
      <c r="S33" s="3">
        <v>10</v>
      </c>
      <c r="T33" s="3">
        <v>0</v>
      </c>
      <c r="U33" s="3">
        <v>0</v>
      </c>
      <c r="V33" s="3">
        <v>0</v>
      </c>
      <c r="W33" s="3">
        <v>-3</v>
      </c>
      <c r="X33" s="3">
        <v>0</v>
      </c>
      <c r="Y33" s="3">
        <v>0</v>
      </c>
      <c r="Z33" s="3">
        <v>0</v>
      </c>
      <c r="AA33" s="3">
        <v>0</v>
      </c>
      <c r="AB33" s="3">
        <v>12</v>
      </c>
      <c r="AC33" s="3">
        <v>0</v>
      </c>
      <c r="AD33" s="3">
        <v>0</v>
      </c>
      <c r="AE33" s="3">
        <v>0</v>
      </c>
      <c r="AF33" s="3">
        <v>0</v>
      </c>
      <c r="AG33" s="3">
        <v>0</v>
      </c>
      <c r="AH33" s="3">
        <v>0</v>
      </c>
      <c r="AI33" s="3">
        <v>5</v>
      </c>
      <c r="AJ33" s="3">
        <v>0</v>
      </c>
      <c r="AK33" s="3">
        <v>0</v>
      </c>
      <c r="AL33" s="3" t="s">
        <v>17</v>
      </c>
      <c r="AM33" s="3" t="s">
        <v>168</v>
      </c>
      <c r="AN33" s="3" t="s">
        <v>2231</v>
      </c>
      <c r="AO33" s="3" t="s">
        <v>2150</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2279</v>
      </c>
      <c r="BE33" s="6" t="s">
        <v>50</v>
      </c>
      <c r="BF33" s="6" t="s">
        <v>50</v>
      </c>
      <c r="BG33" s="6" t="s">
        <v>50</v>
      </c>
      <c r="BH33" s="6" t="s">
        <v>50</v>
      </c>
      <c r="BI33">
        <v>1</v>
      </c>
      <c r="BJ33">
        <v>0</v>
      </c>
      <c r="BK33">
        <v>2</v>
      </c>
      <c r="BL33">
        <v>0</v>
      </c>
      <c r="BM33">
        <v>0</v>
      </c>
      <c r="BN33">
        <v>0</v>
      </c>
      <c r="BO33">
        <v>0</v>
      </c>
      <c r="BP33" s="6" t="s">
        <v>50</v>
      </c>
      <c r="BQ33">
        <v>0</v>
      </c>
      <c r="BR33" s="6" t="s">
        <v>50</v>
      </c>
      <c r="BS33">
        <v>0</v>
      </c>
      <c r="BT33" s="6" t="s">
        <v>50</v>
      </c>
      <c r="BU33">
        <v>0</v>
      </c>
    </row>
    <row r="34" spans="1:73" ht="15.75" customHeight="1" x14ac:dyDescent="0.2">
      <c r="A34" s="3">
        <f t="shared" si="0"/>
        <v>32</v>
      </c>
      <c r="B34" s="3" t="s">
        <v>2557</v>
      </c>
      <c r="C34" s="3" t="s">
        <v>2469</v>
      </c>
      <c r="D34" s="5" t="s">
        <v>2468</v>
      </c>
      <c r="E34" s="5" t="s">
        <v>2470</v>
      </c>
      <c r="F34" s="3">
        <v>0</v>
      </c>
      <c r="G34" s="3">
        <v>0</v>
      </c>
      <c r="H34" s="3">
        <v>0</v>
      </c>
      <c r="I34" s="3">
        <v>50</v>
      </c>
      <c r="J34" s="3">
        <v>30</v>
      </c>
      <c r="K34" s="3">
        <v>0.93</v>
      </c>
      <c r="L34" s="3">
        <v>0</v>
      </c>
      <c r="M34" s="3">
        <v>16</v>
      </c>
      <c r="N34" s="3">
        <v>10</v>
      </c>
      <c r="O34" s="3">
        <v>3</v>
      </c>
      <c r="P34" s="3">
        <v>13</v>
      </c>
      <c r="Q34" s="3">
        <v>0</v>
      </c>
      <c r="R34" s="3">
        <v>35</v>
      </c>
      <c r="S34" s="3">
        <v>10</v>
      </c>
      <c r="T34" s="3">
        <v>0</v>
      </c>
      <c r="U34" s="3">
        <v>0</v>
      </c>
      <c r="V34" s="3">
        <v>0</v>
      </c>
      <c r="W34" s="3">
        <v>-3</v>
      </c>
      <c r="X34" s="3">
        <v>0</v>
      </c>
      <c r="Y34" s="3">
        <v>0</v>
      </c>
      <c r="Z34" s="3">
        <v>0</v>
      </c>
      <c r="AA34" s="3">
        <v>2</v>
      </c>
      <c r="AB34" s="3">
        <v>0</v>
      </c>
      <c r="AC34" s="3">
        <v>6</v>
      </c>
      <c r="AD34" s="3">
        <v>0</v>
      </c>
      <c r="AE34" s="3">
        <v>-3</v>
      </c>
      <c r="AF34" s="3">
        <v>5</v>
      </c>
      <c r="AG34" s="3">
        <v>6</v>
      </c>
      <c r="AH34" s="3">
        <v>0</v>
      </c>
      <c r="AI34" s="3">
        <v>5</v>
      </c>
      <c r="AJ34" s="3">
        <v>0</v>
      </c>
      <c r="AK34" s="3">
        <v>0</v>
      </c>
      <c r="AL34" s="3" t="s">
        <v>17</v>
      </c>
      <c r="AM34" s="3" t="s">
        <v>168</v>
      </c>
      <c r="AN34" s="3" t="s">
        <v>2231</v>
      </c>
      <c r="AO34" s="3" t="s">
        <v>2150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2494</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row>
    <row r="35" spans="1:73" ht="15.75" customHeight="1" x14ac:dyDescent="0.2">
      <c r="A35" s="3">
        <f t="shared" si="0"/>
        <v>33</v>
      </c>
      <c r="B35" s="3" t="s">
        <v>2556</v>
      </c>
      <c r="C35" s="3" t="s">
        <v>2473</v>
      </c>
      <c r="D35" s="5" t="s">
        <v>2472</v>
      </c>
      <c r="E35" s="5" t="s">
        <v>2566</v>
      </c>
      <c r="F35" s="3">
        <v>0</v>
      </c>
      <c r="G35" s="3">
        <v>0</v>
      </c>
      <c r="H35" s="3">
        <v>0</v>
      </c>
      <c r="I35" s="3">
        <v>50</v>
      </c>
      <c r="J35" s="3">
        <v>30</v>
      </c>
      <c r="K35" s="3">
        <v>0.93</v>
      </c>
      <c r="L35" s="3">
        <v>0</v>
      </c>
      <c r="M35" s="3">
        <v>16</v>
      </c>
      <c r="N35" s="3">
        <v>10</v>
      </c>
      <c r="O35" s="3">
        <v>7</v>
      </c>
      <c r="P35" s="3">
        <v>13</v>
      </c>
      <c r="Q35" s="3">
        <v>0</v>
      </c>
      <c r="R35" s="3">
        <v>35</v>
      </c>
      <c r="S35" s="3">
        <v>10</v>
      </c>
      <c r="T35" s="3">
        <v>0</v>
      </c>
      <c r="U35" s="3">
        <v>0</v>
      </c>
      <c r="V35" s="3">
        <v>0</v>
      </c>
      <c r="W35" s="3">
        <v>-3</v>
      </c>
      <c r="X35" s="3">
        <v>0</v>
      </c>
      <c r="Y35" s="3">
        <v>0</v>
      </c>
      <c r="Z35" s="3">
        <v>0</v>
      </c>
      <c r="AA35" s="3">
        <v>0</v>
      </c>
      <c r="AB35" s="3">
        <v>0</v>
      </c>
      <c r="AC35" s="3">
        <v>3</v>
      </c>
      <c r="AD35" s="3">
        <v>0</v>
      </c>
      <c r="AE35" s="3">
        <v>5</v>
      </c>
      <c r="AF35" s="3">
        <v>-3</v>
      </c>
      <c r="AG35" s="3">
        <v>6</v>
      </c>
      <c r="AH35" s="3">
        <v>0</v>
      </c>
      <c r="AI35" s="3">
        <v>5</v>
      </c>
      <c r="AJ35" s="3">
        <v>0</v>
      </c>
      <c r="AK35" s="3">
        <v>0</v>
      </c>
      <c r="AL35" s="3" t="s">
        <v>17</v>
      </c>
      <c r="AM35" s="3" t="s">
        <v>168</v>
      </c>
      <c r="AN35" s="3" t="s">
        <v>2231</v>
      </c>
      <c r="AO35" s="3" t="s">
        <v>2150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2495</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row>
    <row r="36" spans="1:73" ht="15.75" customHeight="1" x14ac:dyDescent="0.2">
      <c r="A36" s="3">
        <f t="shared" si="0"/>
        <v>34</v>
      </c>
      <c r="B36" s="3" t="s">
        <v>2558</v>
      </c>
      <c r="C36" s="3" t="s">
        <v>2474</v>
      </c>
      <c r="D36" s="5" t="s">
        <v>2479</v>
      </c>
      <c r="E36" s="5" t="s">
        <v>2565</v>
      </c>
      <c r="F36" s="3">
        <v>0</v>
      </c>
      <c r="G36" s="3">
        <v>0</v>
      </c>
      <c r="H36" s="3">
        <v>0</v>
      </c>
      <c r="I36" s="3">
        <v>50</v>
      </c>
      <c r="J36" s="3">
        <v>30</v>
      </c>
      <c r="K36" s="3">
        <v>0.93</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0</v>
      </c>
      <c r="AD36" s="3">
        <v>0</v>
      </c>
      <c r="AE36" s="3">
        <v>10</v>
      </c>
      <c r="AF36" s="3">
        <v>0</v>
      </c>
      <c r="AG36" s="3">
        <v>6</v>
      </c>
      <c r="AH36" s="3">
        <v>0</v>
      </c>
      <c r="AI36" s="3">
        <v>5</v>
      </c>
      <c r="AJ36" s="3">
        <v>0</v>
      </c>
      <c r="AK36" s="3">
        <v>0</v>
      </c>
      <c r="AL36" s="3" t="s">
        <v>17</v>
      </c>
      <c r="AM36" s="3" t="s">
        <v>168</v>
      </c>
      <c r="AN36" s="3" t="s">
        <v>2231</v>
      </c>
      <c r="AO36" s="3" t="s">
        <v>2150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2496</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row>
    <row r="37" spans="1:73" ht="15.75" customHeight="1" x14ac:dyDescent="0.2">
      <c r="A37" s="3">
        <f t="shared" si="0"/>
        <v>35</v>
      </c>
      <c r="B37" s="3" t="s">
        <v>2559</v>
      </c>
      <c r="C37" s="3" t="s">
        <v>2475</v>
      </c>
      <c r="D37" s="5" t="s">
        <v>2563</v>
      </c>
      <c r="E37" s="5" t="s">
        <v>2477</v>
      </c>
      <c r="F37" s="3">
        <v>0</v>
      </c>
      <c r="G37" s="3">
        <v>0</v>
      </c>
      <c r="H37" s="3">
        <v>0</v>
      </c>
      <c r="I37" s="3">
        <v>50</v>
      </c>
      <c r="J37" s="3">
        <v>30</v>
      </c>
      <c r="K37" s="3">
        <v>0.93</v>
      </c>
      <c r="L37" s="3">
        <v>0</v>
      </c>
      <c r="M37" s="3">
        <v>16</v>
      </c>
      <c r="N37" s="3">
        <v>10</v>
      </c>
      <c r="O37" s="3">
        <v>10</v>
      </c>
      <c r="P37" s="3">
        <v>13</v>
      </c>
      <c r="Q37" s="3">
        <v>0</v>
      </c>
      <c r="R37" s="3">
        <v>35</v>
      </c>
      <c r="S37" s="3">
        <v>10</v>
      </c>
      <c r="T37" s="3">
        <v>0</v>
      </c>
      <c r="U37" s="3">
        <v>0</v>
      </c>
      <c r="V37" s="3">
        <v>0</v>
      </c>
      <c r="W37" s="3">
        <v>-3</v>
      </c>
      <c r="X37" s="3">
        <v>0</v>
      </c>
      <c r="Y37" s="3">
        <v>0</v>
      </c>
      <c r="Z37" s="3">
        <v>0</v>
      </c>
      <c r="AA37" s="3">
        <v>5</v>
      </c>
      <c r="AB37" s="3">
        <v>0</v>
      </c>
      <c r="AC37" s="3">
        <v>0</v>
      </c>
      <c r="AD37" s="3">
        <v>0</v>
      </c>
      <c r="AE37" s="3">
        <v>0</v>
      </c>
      <c r="AF37" s="3">
        <v>0</v>
      </c>
      <c r="AG37" s="3">
        <v>6</v>
      </c>
      <c r="AH37" s="3">
        <v>0</v>
      </c>
      <c r="AI37" s="3">
        <v>5</v>
      </c>
      <c r="AJ37" s="3">
        <v>0</v>
      </c>
      <c r="AK37" s="3">
        <v>0</v>
      </c>
      <c r="AL37" s="3" t="s">
        <v>17</v>
      </c>
      <c r="AM37" s="3" t="s">
        <v>168</v>
      </c>
      <c r="AN37" s="3" t="s">
        <v>2231</v>
      </c>
      <c r="AO37" s="3" t="s">
        <v>2150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2497</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row>
    <row r="38" spans="1:73" ht="15.75" customHeight="1" x14ac:dyDescent="0.2">
      <c r="A38" s="3">
        <f t="shared" si="0"/>
        <v>36</v>
      </c>
      <c r="B38" s="3" t="s">
        <v>2560</v>
      </c>
      <c r="C38" s="3" t="s">
        <v>2476</v>
      </c>
      <c r="D38" s="5" t="s">
        <v>2564</v>
      </c>
      <c r="E38" s="5" t="s">
        <v>2478</v>
      </c>
      <c r="F38" s="3">
        <v>0</v>
      </c>
      <c r="G38" s="3">
        <v>0</v>
      </c>
      <c r="H38" s="3">
        <v>0</v>
      </c>
      <c r="I38" s="3">
        <v>50</v>
      </c>
      <c r="J38" s="3">
        <v>30</v>
      </c>
      <c r="K38" s="3">
        <v>0.93</v>
      </c>
      <c r="L38" s="3">
        <v>0</v>
      </c>
      <c r="M38" s="3">
        <v>16</v>
      </c>
      <c r="N38" s="3">
        <v>10</v>
      </c>
      <c r="O38" s="3">
        <v>10</v>
      </c>
      <c r="P38" s="3">
        <v>13</v>
      </c>
      <c r="Q38" s="3">
        <v>0</v>
      </c>
      <c r="R38" s="3">
        <v>35</v>
      </c>
      <c r="S38" s="3">
        <v>10</v>
      </c>
      <c r="T38" s="3">
        <v>0</v>
      </c>
      <c r="U38" s="3">
        <v>0</v>
      </c>
      <c r="V38" s="3">
        <v>0</v>
      </c>
      <c r="W38" s="3">
        <v>-3</v>
      </c>
      <c r="X38" s="3">
        <v>0</v>
      </c>
      <c r="Y38" s="3">
        <v>0</v>
      </c>
      <c r="Z38" s="3">
        <v>0</v>
      </c>
      <c r="AA38" s="3">
        <v>0</v>
      </c>
      <c r="AB38" s="3">
        <v>0</v>
      </c>
      <c r="AC38" s="3">
        <v>0</v>
      </c>
      <c r="AD38" s="3">
        <v>0</v>
      </c>
      <c r="AE38" s="3">
        <v>0</v>
      </c>
      <c r="AF38" s="3">
        <v>0</v>
      </c>
      <c r="AG38" s="3">
        <v>6</v>
      </c>
      <c r="AH38" s="3">
        <v>0</v>
      </c>
      <c r="AI38" s="3">
        <v>5</v>
      </c>
      <c r="AJ38" s="3">
        <v>0</v>
      </c>
      <c r="AK38" s="3">
        <v>0</v>
      </c>
      <c r="AL38" s="3" t="s">
        <v>17</v>
      </c>
      <c r="AM38" s="3" t="s">
        <v>168</v>
      </c>
      <c r="AN38" s="3" t="s">
        <v>2231</v>
      </c>
      <c r="AO38" s="3" t="s">
        <v>2150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2498</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row>
    <row r="39" spans="1:73" ht="15.75" customHeight="1" x14ac:dyDescent="0.2">
      <c r="A39" s="3">
        <f t="shared" si="0"/>
        <v>37</v>
      </c>
      <c r="B39" s="3" t="s">
        <v>3599</v>
      </c>
      <c r="C39" s="3" t="s">
        <v>3568</v>
      </c>
      <c r="D39" s="5" t="s">
        <v>3569</v>
      </c>
      <c r="E39" s="5" t="s">
        <v>3570</v>
      </c>
      <c r="F39" s="3">
        <v>0</v>
      </c>
      <c r="G39" s="3">
        <v>0</v>
      </c>
      <c r="H39" s="3">
        <v>0</v>
      </c>
      <c r="I39" s="3">
        <v>50</v>
      </c>
      <c r="J39" s="3">
        <v>30</v>
      </c>
      <c r="K39" s="3">
        <v>0.93</v>
      </c>
      <c r="L39" s="3">
        <v>0</v>
      </c>
      <c r="M39" s="3">
        <v>5</v>
      </c>
      <c r="N39" s="3">
        <v>0</v>
      </c>
      <c r="O39" s="3">
        <v>3</v>
      </c>
      <c r="P39" s="3">
        <v>0</v>
      </c>
      <c r="Q39" s="3">
        <v>5</v>
      </c>
      <c r="R39" s="3">
        <v>30</v>
      </c>
      <c r="S39" s="3">
        <v>-20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2231</v>
      </c>
      <c r="AO39" s="3" t="s">
        <v>2150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3600</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row>
    <row r="40" spans="1:73" ht="15.75" customHeight="1" x14ac:dyDescent="0.2">
      <c r="A40" s="3">
        <f t="shared" si="0"/>
        <v>38</v>
      </c>
      <c r="B40" s="3" t="s">
        <v>1922</v>
      </c>
      <c r="C40" s="3" t="s">
        <v>1922</v>
      </c>
      <c r="D40" s="5" t="s">
        <v>1923</v>
      </c>
      <c r="E40" s="5" t="s">
        <v>1924</v>
      </c>
      <c r="F40" s="3">
        <v>0</v>
      </c>
      <c r="G40" s="3">
        <v>0</v>
      </c>
      <c r="H40" s="3">
        <v>0</v>
      </c>
      <c r="I40" s="3">
        <v>50</v>
      </c>
      <c r="J40" s="3">
        <v>30</v>
      </c>
      <c r="K40" s="3">
        <v>0.6</v>
      </c>
      <c r="L40" s="3">
        <v>0</v>
      </c>
      <c r="M40" s="3">
        <v>20</v>
      </c>
      <c r="N40" s="3">
        <v>10</v>
      </c>
      <c r="O40" s="3">
        <v>10</v>
      </c>
      <c r="P40" s="3">
        <v>20</v>
      </c>
      <c r="Q40" s="3">
        <v>0</v>
      </c>
      <c r="R40" s="3">
        <v>35</v>
      </c>
      <c r="S40" s="3">
        <v>10</v>
      </c>
      <c r="T40" s="3">
        <v>0</v>
      </c>
      <c r="U40" s="3">
        <v>0</v>
      </c>
      <c r="V40" s="3">
        <v>0</v>
      </c>
      <c r="W40" s="3">
        <v>-3</v>
      </c>
      <c r="X40" s="3">
        <v>0</v>
      </c>
      <c r="Y40" s="3">
        <v>0</v>
      </c>
      <c r="Z40" s="3">
        <v>0</v>
      </c>
      <c r="AA40" s="3">
        <v>0</v>
      </c>
      <c r="AB40" s="3">
        <v>0</v>
      </c>
      <c r="AC40" s="3">
        <v>0</v>
      </c>
      <c r="AD40" s="3">
        <v>0</v>
      </c>
      <c r="AE40" s="3">
        <v>0</v>
      </c>
      <c r="AF40" s="3">
        <v>0</v>
      </c>
      <c r="AG40" s="3">
        <v>0</v>
      </c>
      <c r="AH40" s="3">
        <v>0</v>
      </c>
      <c r="AI40" s="3">
        <v>10</v>
      </c>
      <c r="AJ40" s="3">
        <v>0</v>
      </c>
      <c r="AK40" s="3">
        <v>0</v>
      </c>
      <c r="AL40" s="3" t="s">
        <v>17</v>
      </c>
      <c r="AM40" s="3" t="s">
        <v>168</v>
      </c>
      <c r="AN40" s="3" t="s">
        <v>2231</v>
      </c>
      <c r="AO40" s="3" t="s">
        <v>2150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2280</v>
      </c>
      <c r="BE40" s="6" t="s">
        <v>50</v>
      </c>
      <c r="BF40" s="6" t="s">
        <v>50</v>
      </c>
      <c r="BG40" s="6" t="s">
        <v>50</v>
      </c>
      <c r="BH40" s="6" t="s">
        <v>50</v>
      </c>
      <c r="BI40">
        <v>1</v>
      </c>
      <c r="BJ40">
        <v>0</v>
      </c>
      <c r="BK40">
        <v>3</v>
      </c>
      <c r="BL40">
        <v>0</v>
      </c>
      <c r="BM40">
        <v>0</v>
      </c>
      <c r="BN40">
        <v>0</v>
      </c>
      <c r="BO40">
        <v>0</v>
      </c>
      <c r="BP40" s="6" t="s">
        <v>50</v>
      </c>
      <c r="BQ40">
        <v>0</v>
      </c>
      <c r="BR40" s="6" t="s">
        <v>50</v>
      </c>
      <c r="BS40">
        <v>0</v>
      </c>
      <c r="BT40" s="6" t="s">
        <v>50</v>
      </c>
      <c r="BU40">
        <v>0</v>
      </c>
    </row>
    <row r="41" spans="1:73" ht="15.75" customHeight="1" x14ac:dyDescent="0.2">
      <c r="A41" s="3">
        <f t="shared" si="0"/>
        <v>39</v>
      </c>
      <c r="B41" s="3" t="s">
        <v>1925</v>
      </c>
      <c r="C41" s="3" t="s">
        <v>1925</v>
      </c>
      <c r="D41" s="5" t="s">
        <v>1926</v>
      </c>
      <c r="E41" s="5" t="s">
        <v>1927</v>
      </c>
      <c r="F41" s="3">
        <v>0</v>
      </c>
      <c r="G41" s="3">
        <v>0</v>
      </c>
      <c r="H41" s="3">
        <v>0</v>
      </c>
      <c r="I41" s="3">
        <v>50</v>
      </c>
      <c r="J41" s="3">
        <v>30</v>
      </c>
      <c r="K41" s="3">
        <v>0.6</v>
      </c>
      <c r="L41" s="3">
        <v>0</v>
      </c>
      <c r="M41" s="3">
        <v>30</v>
      </c>
      <c r="N41" s="3">
        <v>0</v>
      </c>
      <c r="O41" s="3">
        <v>0</v>
      </c>
      <c r="P41" s="3">
        <v>0</v>
      </c>
      <c r="Q41" s="3">
        <v>0</v>
      </c>
      <c r="R41" s="3">
        <v>10</v>
      </c>
      <c r="S41" s="3">
        <v>30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2231</v>
      </c>
      <c r="AO41" s="3" t="s">
        <v>2150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2281</v>
      </c>
      <c r="BE41" s="6" t="s">
        <v>50</v>
      </c>
      <c r="BF41" s="6" t="s">
        <v>50</v>
      </c>
      <c r="BG41" s="6" t="s">
        <v>50</v>
      </c>
      <c r="BH41" s="6" t="s">
        <v>50</v>
      </c>
      <c r="BI41">
        <v>1</v>
      </c>
      <c r="BJ41">
        <v>0</v>
      </c>
      <c r="BK41">
        <v>3</v>
      </c>
      <c r="BL41">
        <v>0</v>
      </c>
      <c r="BM41">
        <v>0</v>
      </c>
      <c r="BN41">
        <v>0</v>
      </c>
      <c r="BO41">
        <v>0</v>
      </c>
      <c r="BP41" s="6" t="s">
        <v>50</v>
      </c>
      <c r="BQ41">
        <v>0</v>
      </c>
      <c r="BR41" s="6" t="s">
        <v>50</v>
      </c>
      <c r="BS41">
        <v>0</v>
      </c>
      <c r="BT41" s="6" t="s">
        <v>50</v>
      </c>
      <c r="BU41">
        <v>0</v>
      </c>
    </row>
    <row r="42" spans="1:73" ht="15.75" customHeight="1" x14ac:dyDescent="0.2">
      <c r="A42" s="3">
        <f t="shared" si="0"/>
        <v>40</v>
      </c>
      <c r="B42" s="3" t="s">
        <v>56</v>
      </c>
      <c r="C42" s="3" t="s">
        <v>56</v>
      </c>
      <c r="D42" s="5" t="s">
        <v>24</v>
      </c>
      <c r="E42" s="5" t="s">
        <v>127</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1944</v>
      </c>
      <c r="AO42" s="3" t="s">
        <v>1850</v>
      </c>
      <c r="AP42" s="3">
        <v>0</v>
      </c>
      <c r="AQ42" s="3">
        <v>0</v>
      </c>
      <c r="AR42">
        <v>0</v>
      </c>
      <c r="AS42">
        <v>3</v>
      </c>
      <c r="AT42" s="6" t="s">
        <v>150</v>
      </c>
      <c r="AU42" s="6" t="s">
        <v>150</v>
      </c>
      <c r="AV42" s="6" t="s">
        <v>150</v>
      </c>
      <c r="AW42" s="6" t="s">
        <v>150</v>
      </c>
      <c r="AX42" s="6" t="s">
        <v>150</v>
      </c>
      <c r="AY42" s="6" t="s">
        <v>150</v>
      </c>
      <c r="AZ42" s="6" t="s">
        <v>150</v>
      </c>
      <c r="BA42" s="6" t="s">
        <v>150</v>
      </c>
      <c r="BB42" s="6" t="s">
        <v>150</v>
      </c>
      <c r="BC42" s="6" t="s">
        <v>150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row>
    <row r="43" spans="1:73" ht="15.75" customHeight="1" x14ac:dyDescent="0.2">
      <c r="A43" s="3">
        <f t="shared" si="0"/>
        <v>41</v>
      </c>
      <c r="B43" s="3" t="s">
        <v>234</v>
      </c>
      <c r="C43" s="3" t="s">
        <v>234</v>
      </c>
      <c r="D43" s="5" t="s">
        <v>233</v>
      </c>
      <c r="E43" s="5" t="s">
        <v>260</v>
      </c>
      <c r="F43" s="3">
        <v>0</v>
      </c>
      <c r="G43" s="3">
        <v>0</v>
      </c>
      <c r="H43" s="3">
        <v>0</v>
      </c>
      <c r="I43" s="3">
        <v>50</v>
      </c>
      <c r="J43" s="3">
        <v>5</v>
      </c>
      <c r="K43" s="3">
        <v>0.98</v>
      </c>
      <c r="L43" s="3">
        <v>0</v>
      </c>
      <c r="M43" s="3">
        <v>0</v>
      </c>
      <c r="N43" s="3">
        <v>0</v>
      </c>
      <c r="O43" s="3">
        <v>0</v>
      </c>
      <c r="P43" s="3">
        <v>0</v>
      </c>
      <c r="Q43" s="3">
        <v>12</v>
      </c>
      <c r="R43" s="3">
        <v>10</v>
      </c>
      <c r="S43" s="3">
        <v>0</v>
      </c>
      <c r="T43" s="3">
        <v>0</v>
      </c>
      <c r="U43" s="3">
        <v>0</v>
      </c>
      <c r="V43" s="3">
        <v>-2</v>
      </c>
      <c r="W43" s="3">
        <v>0</v>
      </c>
      <c r="X43" s="3">
        <v>3</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2375</v>
      </c>
      <c r="AO43" s="3" t="s">
        <v>1850</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0"/>
        <v>42</v>
      </c>
      <c r="B44" s="3" t="s">
        <v>259</v>
      </c>
      <c r="C44" s="3" t="s">
        <v>259</v>
      </c>
      <c r="D44" s="5" t="s">
        <v>258</v>
      </c>
      <c r="E44" s="5" t="s">
        <v>261</v>
      </c>
      <c r="F44" s="3">
        <v>0</v>
      </c>
      <c r="G44" s="3">
        <v>0</v>
      </c>
      <c r="H44" s="3">
        <v>0</v>
      </c>
      <c r="I44" s="3">
        <v>50</v>
      </c>
      <c r="J44" s="3">
        <v>5</v>
      </c>
      <c r="K44" s="3">
        <v>0.98</v>
      </c>
      <c r="L44" s="3">
        <v>0</v>
      </c>
      <c r="M44" s="3">
        <v>0</v>
      </c>
      <c r="N44" s="3">
        <v>0</v>
      </c>
      <c r="O44" s="3">
        <v>0</v>
      </c>
      <c r="P44" s="3">
        <v>0</v>
      </c>
      <c r="Q44" s="3">
        <v>12</v>
      </c>
      <c r="R44" s="3">
        <v>10</v>
      </c>
      <c r="S44" s="3">
        <v>0</v>
      </c>
      <c r="T44" s="3">
        <v>0</v>
      </c>
      <c r="U44" s="3">
        <v>0</v>
      </c>
      <c r="V44" s="3">
        <v>-1</v>
      </c>
      <c r="W44" s="3">
        <v>0</v>
      </c>
      <c r="X44" s="3">
        <v>2</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2376</v>
      </c>
      <c r="AO44" s="3" t="s">
        <v>1850</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0"/>
        <v>43</v>
      </c>
      <c r="B45" s="3" t="s">
        <v>930</v>
      </c>
      <c r="C45" s="3" t="s">
        <v>923</v>
      </c>
      <c r="D45" s="5" t="s">
        <v>924</v>
      </c>
      <c r="E45" s="5" t="s">
        <v>925</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1944</v>
      </c>
      <c r="AO45" s="3" t="s">
        <v>1850</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926</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row>
    <row r="46" spans="1:73" ht="15.75" customHeight="1" x14ac:dyDescent="0.2">
      <c r="A46" s="3">
        <f t="shared" si="0"/>
        <v>44</v>
      </c>
      <c r="B46" s="3" t="s">
        <v>234</v>
      </c>
      <c r="C46" s="3" t="s">
        <v>1339</v>
      </c>
      <c r="D46" s="5" t="s">
        <v>1341</v>
      </c>
      <c r="E46" s="5" t="s">
        <v>1343</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3</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2375</v>
      </c>
      <c r="AO46" s="3" t="s">
        <v>1850</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926</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row>
    <row r="47" spans="1:73" ht="15.75" customHeight="1" x14ac:dyDescent="0.2">
      <c r="A47" s="3">
        <f t="shared" si="0"/>
        <v>45</v>
      </c>
      <c r="B47" s="3" t="s">
        <v>259</v>
      </c>
      <c r="C47" s="3" t="s">
        <v>1340</v>
      </c>
      <c r="D47" s="5" t="s">
        <v>1342</v>
      </c>
      <c r="E47" s="5" t="s">
        <v>1344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2</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2376</v>
      </c>
      <c r="AO47" s="3" t="s">
        <v>1850</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926</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row>
    <row r="48" spans="1:73" ht="15.75" customHeight="1" x14ac:dyDescent="0.2">
      <c r="A48" s="3">
        <f t="shared" si="0"/>
        <v>46</v>
      </c>
      <c r="B48" s="3" t="s">
        <v>498</v>
      </c>
      <c r="C48" s="3" t="s">
        <v>498</v>
      </c>
      <c r="D48" s="5" t="s">
        <v>499</v>
      </c>
      <c r="E48" s="5" t="s">
        <v>500</v>
      </c>
      <c r="F48" s="3">
        <v>0</v>
      </c>
      <c r="G48" s="3">
        <v>0</v>
      </c>
      <c r="H48" s="3">
        <v>0</v>
      </c>
      <c r="I48" s="3">
        <v>50</v>
      </c>
      <c r="J48" s="3">
        <v>3</v>
      </c>
      <c r="K48" s="3">
        <v>0.95</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17</v>
      </c>
      <c r="AM48" s="3" t="s">
        <v>501</v>
      </c>
      <c r="AN48" s="3" t="s">
        <v>1945</v>
      </c>
      <c r="AO48" s="3" t="s">
        <v>1850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row>
    <row r="49" spans="1:73" ht="15.75" customHeight="1" x14ac:dyDescent="0.2">
      <c r="A49" s="3">
        <f t="shared" si="0"/>
        <v>47</v>
      </c>
      <c r="B49" s="3" t="s">
        <v>28</v>
      </c>
      <c r="C49" s="3" t="s">
        <v>343</v>
      </c>
      <c r="D49" s="5" t="s">
        <v>29</v>
      </c>
      <c r="E49" s="5" t="s">
        <v>128</v>
      </c>
      <c r="F49" s="3">
        <v>0</v>
      </c>
      <c r="G49" s="3">
        <v>0</v>
      </c>
      <c r="H49" s="3">
        <v>0</v>
      </c>
      <c r="I49" s="3">
        <v>50</v>
      </c>
      <c r="J49" s="3">
        <v>8</v>
      </c>
      <c r="K49" s="3">
        <v>0.95</v>
      </c>
      <c r="L49" s="3">
        <v>0</v>
      </c>
      <c r="M49" s="3">
        <v>5</v>
      </c>
      <c r="N49" s="3">
        <v>1</v>
      </c>
      <c r="O49" s="3">
        <v>0</v>
      </c>
      <c r="P49" s="3">
        <v>0</v>
      </c>
      <c r="Q49" s="3">
        <v>3</v>
      </c>
      <c r="R49" s="3">
        <v>3</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1160</v>
      </c>
      <c r="AN49" s="3" t="s">
        <v>1946</v>
      </c>
      <c r="AO49" s="3" t="s">
        <v>1850</v>
      </c>
      <c r="AP49" s="3">
        <v>0</v>
      </c>
      <c r="AQ49" s="3">
        <v>0</v>
      </c>
      <c r="AR49">
        <v>0</v>
      </c>
      <c r="AS49">
        <v>1</v>
      </c>
      <c r="AT49" s="6" t="s">
        <v>150</v>
      </c>
      <c r="AU49" s="6" t="s">
        <v>150</v>
      </c>
      <c r="AV49" s="6" t="s">
        <v>150</v>
      </c>
      <c r="AW49" s="6" t="s">
        <v>150</v>
      </c>
      <c r="AX49" s="6" t="s">
        <v>150</v>
      </c>
      <c r="AY49" s="6" t="s">
        <v>150</v>
      </c>
      <c r="AZ49" s="6" t="s">
        <v>150</v>
      </c>
      <c r="BA49" s="6" t="s">
        <v>150</v>
      </c>
      <c r="BB49" s="6" t="s">
        <v>150</v>
      </c>
      <c r="BC49" s="6" t="s">
        <v>150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row>
    <row r="50" spans="1:73" ht="15.75" customHeight="1" x14ac:dyDescent="0.2">
      <c r="A50" s="3">
        <f t="shared" si="0"/>
        <v>48</v>
      </c>
      <c r="B50" s="3" t="s">
        <v>1469</v>
      </c>
      <c r="C50" s="3" t="s">
        <v>1157</v>
      </c>
      <c r="D50" s="5" t="s">
        <v>1158</v>
      </c>
      <c r="E50" s="5" t="s">
        <v>1159</v>
      </c>
      <c r="F50" s="3">
        <v>0</v>
      </c>
      <c r="G50" s="3">
        <v>0</v>
      </c>
      <c r="H50" s="3">
        <v>0</v>
      </c>
      <c r="I50" s="3">
        <v>50</v>
      </c>
      <c r="J50" s="3">
        <v>8</v>
      </c>
      <c r="K50" s="3">
        <v>0.85</v>
      </c>
      <c r="L50" s="3">
        <v>0</v>
      </c>
      <c r="M50" s="3">
        <v>15</v>
      </c>
      <c r="N50" s="3">
        <v>1</v>
      </c>
      <c r="O50" s="3">
        <v>0</v>
      </c>
      <c r="P50" s="3">
        <v>5</v>
      </c>
      <c r="Q50" s="3">
        <v>10</v>
      </c>
      <c r="R50" s="3">
        <v>10</v>
      </c>
      <c r="S50" s="3">
        <v>-10</v>
      </c>
      <c r="T50" s="3">
        <v>0</v>
      </c>
      <c r="U50" s="3">
        <v>0</v>
      </c>
      <c r="V50" s="3">
        <v>-3</v>
      </c>
      <c r="W50" s="3">
        <v>0</v>
      </c>
      <c r="X50" s="3">
        <v>12</v>
      </c>
      <c r="Y50" s="3">
        <v>0</v>
      </c>
      <c r="Z50" s="3">
        <v>0</v>
      </c>
      <c r="AA50" s="3">
        <v>0</v>
      </c>
      <c r="AB50" s="3">
        <v>0</v>
      </c>
      <c r="AC50" s="3">
        <v>0</v>
      </c>
      <c r="AD50" s="3">
        <v>0</v>
      </c>
      <c r="AE50" s="3">
        <v>0</v>
      </c>
      <c r="AF50" s="3">
        <v>0</v>
      </c>
      <c r="AG50" s="3">
        <v>0</v>
      </c>
      <c r="AH50" s="3">
        <v>0</v>
      </c>
      <c r="AI50" s="3">
        <v>0</v>
      </c>
      <c r="AJ50" s="3">
        <v>0</v>
      </c>
      <c r="AK50" s="3">
        <v>0</v>
      </c>
      <c r="AL50" s="3" t="s">
        <v>17</v>
      </c>
      <c r="AM50" s="3" t="s">
        <v>1160</v>
      </c>
      <c r="AN50" s="3" t="s">
        <v>1946</v>
      </c>
      <c r="AO50" s="3" t="s">
        <v>1850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3</v>
      </c>
      <c r="BL50">
        <v>0</v>
      </c>
      <c r="BM50">
        <v>0</v>
      </c>
      <c r="BN50">
        <v>0</v>
      </c>
      <c r="BO50">
        <v>0</v>
      </c>
      <c r="BP50" s="6" t="s">
        <v>50</v>
      </c>
      <c r="BQ50">
        <v>0</v>
      </c>
      <c r="BR50" s="6" t="s">
        <v>50</v>
      </c>
      <c r="BS50">
        <v>0</v>
      </c>
      <c r="BT50" s="6" t="s">
        <v>50</v>
      </c>
      <c r="BU50">
        <v>0</v>
      </c>
    </row>
    <row r="51" spans="1:73" s="9" customFormat="1" ht="15.75" customHeight="1" x14ac:dyDescent="0.2">
      <c r="A51" s="7">
        <f t="shared" si="0"/>
        <v>49</v>
      </c>
      <c r="B51" s="7" t="s">
        <v>603</v>
      </c>
      <c r="C51" s="7" t="s">
        <v>836</v>
      </c>
      <c r="D51" s="8" t="s">
        <v>837</v>
      </c>
      <c r="E51" s="8" t="s">
        <v>838</v>
      </c>
      <c r="F51" s="7">
        <v>0</v>
      </c>
      <c r="G51" s="7">
        <v>0</v>
      </c>
      <c r="H51" s="7">
        <v>0</v>
      </c>
      <c r="I51" s="7">
        <v>50</v>
      </c>
      <c r="J51" s="7">
        <v>5</v>
      </c>
      <c r="K51" s="7">
        <v>0.95</v>
      </c>
      <c r="L51" s="7">
        <v>0</v>
      </c>
      <c r="M51" s="7">
        <v>10</v>
      </c>
      <c r="N51" s="7">
        <v>0</v>
      </c>
      <c r="O51" s="7">
        <v>15</v>
      </c>
      <c r="P51" s="7">
        <v>0</v>
      </c>
      <c r="Q51" s="7">
        <v>0</v>
      </c>
      <c r="R51" s="7">
        <v>0</v>
      </c>
      <c r="S51" s="7">
        <v>0</v>
      </c>
      <c r="T51" s="7">
        <v>0</v>
      </c>
      <c r="U51" s="7">
        <v>0</v>
      </c>
      <c r="V51" s="7">
        <v>0</v>
      </c>
      <c r="W51" s="7">
        <v>0</v>
      </c>
      <c r="X51" s="7">
        <v>5</v>
      </c>
      <c r="Y51" s="7">
        <v>0</v>
      </c>
      <c r="Z51" s="7">
        <v>0</v>
      </c>
      <c r="AA51" s="7">
        <v>0</v>
      </c>
      <c r="AB51" s="7">
        <v>0</v>
      </c>
      <c r="AC51" s="7">
        <v>0</v>
      </c>
      <c r="AD51" s="7">
        <v>0</v>
      </c>
      <c r="AE51" s="7">
        <v>0</v>
      </c>
      <c r="AF51" s="7">
        <v>0</v>
      </c>
      <c r="AG51" s="7">
        <v>0</v>
      </c>
      <c r="AH51" s="7">
        <v>0</v>
      </c>
      <c r="AI51" s="7">
        <v>0</v>
      </c>
      <c r="AJ51" s="7">
        <v>0</v>
      </c>
      <c r="AK51" s="7">
        <v>0</v>
      </c>
      <c r="AL51" s="7" t="s">
        <v>51</v>
      </c>
      <c r="AM51" s="7" t="s">
        <v>23</v>
      </c>
      <c r="AN51" s="7" t="s">
        <v>23</v>
      </c>
      <c r="AO51" s="7" t="s">
        <v>1850</v>
      </c>
      <c r="AP51" s="7">
        <v>0</v>
      </c>
      <c r="AQ51" s="7">
        <v>0</v>
      </c>
      <c r="AR51" s="9">
        <v>0</v>
      </c>
      <c r="AS51" s="9">
        <v>1</v>
      </c>
      <c r="AT51" s="10" t="s">
        <v>50</v>
      </c>
      <c r="AU51" s="10" t="s">
        <v>50</v>
      </c>
      <c r="AV51" s="10" t="s">
        <v>50</v>
      </c>
      <c r="AW51" s="10" t="s">
        <v>50</v>
      </c>
      <c r="AX51" s="10" t="s">
        <v>50</v>
      </c>
      <c r="AY51" s="10" t="s">
        <v>50</v>
      </c>
      <c r="AZ51" s="10" t="s">
        <v>50</v>
      </c>
      <c r="BA51" s="10" t="s">
        <v>50</v>
      </c>
      <c r="BB51" s="10" t="s">
        <v>50</v>
      </c>
      <c r="BC51" s="10" t="s">
        <v>50</v>
      </c>
      <c r="BD51" s="10" t="s">
        <v>50</v>
      </c>
      <c r="BE51" s="10" t="s">
        <v>50</v>
      </c>
      <c r="BF51" s="10" t="s">
        <v>50</v>
      </c>
      <c r="BG51" s="10" t="s">
        <v>50</v>
      </c>
      <c r="BH51" s="10" t="s">
        <v>50</v>
      </c>
      <c r="BI51" s="9">
        <v>0</v>
      </c>
      <c r="BJ51" s="9">
        <v>0</v>
      </c>
      <c r="BK51" s="9">
        <v>1</v>
      </c>
      <c r="BL51" s="9">
        <v>0</v>
      </c>
      <c r="BM51" s="9">
        <v>0</v>
      </c>
      <c r="BN51" s="9">
        <v>0</v>
      </c>
      <c r="BO51" s="9">
        <v>0</v>
      </c>
      <c r="BP51" s="10" t="s">
        <v>50</v>
      </c>
      <c r="BQ51" s="9">
        <v>0</v>
      </c>
      <c r="BR51" s="10" t="s">
        <v>50</v>
      </c>
      <c r="BS51" s="9">
        <v>0</v>
      </c>
      <c r="BT51" s="10" t="s">
        <v>50</v>
      </c>
      <c r="BU51" s="9">
        <v>0</v>
      </c>
    </row>
    <row r="52" spans="1:73" ht="15.75" customHeight="1" x14ac:dyDescent="0.2">
      <c r="A52" s="3">
        <f t="shared" si="0"/>
        <v>50</v>
      </c>
      <c r="B52" s="3" t="s">
        <v>603</v>
      </c>
      <c r="C52" s="3" t="s">
        <v>603</v>
      </c>
      <c r="D52" s="5" t="s">
        <v>524</v>
      </c>
      <c r="E52" s="5" t="s">
        <v>525</v>
      </c>
      <c r="F52" s="3">
        <v>0</v>
      </c>
      <c r="G52" s="3">
        <v>0</v>
      </c>
      <c r="H52" s="3">
        <v>0</v>
      </c>
      <c r="I52" s="3">
        <v>50</v>
      </c>
      <c r="J52" s="3">
        <v>5</v>
      </c>
      <c r="K52" s="3">
        <v>0.95</v>
      </c>
      <c r="L52" s="3">
        <v>0</v>
      </c>
      <c r="M52" s="3">
        <v>2</v>
      </c>
      <c r="N52" s="3">
        <v>0</v>
      </c>
      <c r="O52" s="3">
        <v>15</v>
      </c>
      <c r="P52" s="3">
        <v>0</v>
      </c>
      <c r="Q52" s="3">
        <v>0</v>
      </c>
      <c r="R52" s="3">
        <v>0</v>
      </c>
      <c r="S52" s="3">
        <v>0</v>
      </c>
      <c r="T52" s="3">
        <v>0</v>
      </c>
      <c r="U52" s="3">
        <v>0</v>
      </c>
      <c r="V52" s="3">
        <v>-2</v>
      </c>
      <c r="W52" s="3">
        <v>0</v>
      </c>
      <c r="X52" s="3">
        <v>5</v>
      </c>
      <c r="Y52" s="3">
        <v>0</v>
      </c>
      <c r="Z52" s="3">
        <v>0</v>
      </c>
      <c r="AA52" s="3">
        <v>0</v>
      </c>
      <c r="AB52" s="3">
        <v>0</v>
      </c>
      <c r="AC52" s="3">
        <v>0</v>
      </c>
      <c r="AD52" s="3">
        <v>0</v>
      </c>
      <c r="AE52" s="3">
        <v>0</v>
      </c>
      <c r="AF52" s="3">
        <v>0</v>
      </c>
      <c r="AG52" s="3">
        <v>0</v>
      </c>
      <c r="AH52" s="3">
        <v>0</v>
      </c>
      <c r="AI52" s="3">
        <v>0</v>
      </c>
      <c r="AJ52" s="3">
        <v>0</v>
      </c>
      <c r="AK52" s="3">
        <v>0</v>
      </c>
      <c r="AL52" s="3" t="s">
        <v>51</v>
      </c>
      <c r="AM52" s="3" t="s">
        <v>3512</v>
      </c>
      <c r="AN52" s="3" t="s">
        <v>1947</v>
      </c>
      <c r="AO52" s="3" t="s">
        <v>1850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556</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row>
    <row r="53" spans="1:73" ht="15.75" customHeight="1" x14ac:dyDescent="0.2">
      <c r="A53" s="3">
        <f t="shared" si="0"/>
        <v>51</v>
      </c>
      <c r="B53" s="3" t="s">
        <v>198</v>
      </c>
      <c r="C53" s="3" t="s">
        <v>956</v>
      </c>
      <c r="D53" s="5" t="s">
        <v>954</v>
      </c>
      <c r="E53" s="5" t="s">
        <v>955</v>
      </c>
      <c r="F53" s="3">
        <v>0</v>
      </c>
      <c r="G53" s="3">
        <v>0</v>
      </c>
      <c r="H53" s="3">
        <v>0</v>
      </c>
      <c r="I53" s="3">
        <v>50</v>
      </c>
      <c r="J53" s="3">
        <v>10</v>
      </c>
      <c r="K53" s="3">
        <v>0.95</v>
      </c>
      <c r="L53" s="3">
        <v>0</v>
      </c>
      <c r="M53" s="3">
        <v>0</v>
      </c>
      <c r="N53" s="3">
        <v>0</v>
      </c>
      <c r="O53" s="3">
        <v>0</v>
      </c>
      <c r="P53" s="3">
        <v>0</v>
      </c>
      <c r="Q53" s="3">
        <v>0</v>
      </c>
      <c r="R53" s="3">
        <v>0</v>
      </c>
      <c r="S53" s="3">
        <v>0</v>
      </c>
      <c r="T53" s="3">
        <v>0</v>
      </c>
      <c r="U53" s="3">
        <v>0</v>
      </c>
      <c r="V53" s="3">
        <v>0</v>
      </c>
      <c r="W53" s="3">
        <v>0</v>
      </c>
      <c r="X53" s="3">
        <v>7</v>
      </c>
      <c r="Y53" s="3">
        <v>0</v>
      </c>
      <c r="Z53" s="3">
        <v>0</v>
      </c>
      <c r="AA53" s="3">
        <v>0</v>
      </c>
      <c r="AB53" s="3">
        <v>0</v>
      </c>
      <c r="AC53" s="3">
        <v>0</v>
      </c>
      <c r="AD53" s="3">
        <v>0</v>
      </c>
      <c r="AE53" s="3">
        <v>0</v>
      </c>
      <c r="AF53" s="3">
        <v>0</v>
      </c>
      <c r="AG53" s="3">
        <v>0</v>
      </c>
      <c r="AH53" s="3">
        <v>0</v>
      </c>
      <c r="AI53" s="3">
        <v>0</v>
      </c>
      <c r="AJ53" s="3">
        <v>0</v>
      </c>
      <c r="AK53" s="3">
        <v>0</v>
      </c>
      <c r="AL53" s="3" t="s">
        <v>51</v>
      </c>
      <c r="AM53" s="3" t="s">
        <v>3512</v>
      </c>
      <c r="AN53" s="3" t="s">
        <v>1947</v>
      </c>
      <c r="AO53" s="3" t="s">
        <v>1850</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row>
    <row r="54" spans="1:73" ht="15.75" customHeight="1" x14ac:dyDescent="0.2">
      <c r="A54" s="3">
        <f t="shared" si="0"/>
        <v>52</v>
      </c>
      <c r="B54" s="3" t="s">
        <v>198</v>
      </c>
      <c r="C54" s="3" t="s">
        <v>198</v>
      </c>
      <c r="D54" s="5" t="s">
        <v>199</v>
      </c>
      <c r="E54" s="5" t="s">
        <v>200</v>
      </c>
      <c r="F54" s="3">
        <v>0</v>
      </c>
      <c r="G54" s="3">
        <v>0</v>
      </c>
      <c r="H54" s="3">
        <v>0</v>
      </c>
      <c r="I54" s="3">
        <v>50</v>
      </c>
      <c r="J54" s="3">
        <v>10</v>
      </c>
      <c r="K54" s="3">
        <v>1</v>
      </c>
      <c r="L54" s="3">
        <v>0</v>
      </c>
      <c r="M54" s="3">
        <v>0</v>
      </c>
      <c r="N54" s="3">
        <v>6</v>
      </c>
      <c r="O54" s="3">
        <v>0</v>
      </c>
      <c r="P54" s="3">
        <v>0</v>
      </c>
      <c r="Q54" s="3">
        <v>5</v>
      </c>
      <c r="R54" s="3">
        <v>5</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3512</v>
      </c>
      <c r="AN54" s="3" t="s">
        <v>1948</v>
      </c>
      <c r="AO54" s="3" t="s">
        <v>1850</v>
      </c>
      <c r="AP54" s="3">
        <v>0</v>
      </c>
      <c r="AQ54" s="3">
        <v>0</v>
      </c>
      <c r="AR54">
        <v>0</v>
      </c>
      <c r="AS54">
        <v>3</v>
      </c>
      <c r="AT54" s="6" t="s">
        <v>50</v>
      </c>
      <c r="AU54" s="6" t="s">
        <v>50</v>
      </c>
      <c r="AV54" s="6" t="s">
        <v>50</v>
      </c>
      <c r="AW54" s="6" t="s">
        <v>50</v>
      </c>
      <c r="AX54" s="6" t="s">
        <v>50</v>
      </c>
      <c r="AY54" s="6" t="s">
        <v>50</v>
      </c>
      <c r="AZ54" s="6" t="s">
        <v>50</v>
      </c>
      <c r="BA54" s="6" t="s">
        <v>50</v>
      </c>
      <c r="BB54" s="6" t="s">
        <v>50</v>
      </c>
      <c r="BC54" s="6" t="s">
        <v>50</v>
      </c>
      <c r="BD54" s="6" t="s">
        <v>1000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0"/>
        <v>53</v>
      </c>
      <c r="B55" s="3" t="s">
        <v>959</v>
      </c>
      <c r="C55" s="3" t="s">
        <v>959</v>
      </c>
      <c r="D55" s="5" t="s">
        <v>957</v>
      </c>
      <c r="E55" s="5" t="s">
        <v>958</v>
      </c>
      <c r="F55" s="3">
        <v>0</v>
      </c>
      <c r="G55" s="3">
        <v>0</v>
      </c>
      <c r="H55" s="3">
        <v>0</v>
      </c>
      <c r="I55" s="3">
        <v>50</v>
      </c>
      <c r="J55" s="3">
        <v>10</v>
      </c>
      <c r="K55" s="3">
        <v>0.95</v>
      </c>
      <c r="L55" s="3">
        <v>0</v>
      </c>
      <c r="M55" s="3">
        <v>2</v>
      </c>
      <c r="N55" s="3">
        <v>0</v>
      </c>
      <c r="O55" s="3">
        <v>0</v>
      </c>
      <c r="P55" s="3">
        <v>0</v>
      </c>
      <c r="Q55" s="3">
        <v>45</v>
      </c>
      <c r="R55" s="3">
        <v>20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51</v>
      </c>
      <c r="AM55" s="3" t="s">
        <v>3512</v>
      </c>
      <c r="AN55" s="3" t="s">
        <v>1948</v>
      </c>
      <c r="AO55" s="3" t="s">
        <v>1850</v>
      </c>
      <c r="AP55" s="3">
        <v>0</v>
      </c>
      <c r="AQ55" s="3">
        <v>0</v>
      </c>
      <c r="AR55">
        <v>0</v>
      </c>
      <c r="AS55">
        <v>15</v>
      </c>
      <c r="AT55" s="6" t="s">
        <v>50</v>
      </c>
      <c r="AU55" s="6" t="s">
        <v>50</v>
      </c>
      <c r="AV55" s="6" t="s">
        <v>50</v>
      </c>
      <c r="AW55" s="6" t="s">
        <v>50</v>
      </c>
      <c r="AX55" s="6" t="s">
        <v>50</v>
      </c>
      <c r="AY55" s="6" t="s">
        <v>50</v>
      </c>
      <c r="AZ55" s="6" t="s">
        <v>50</v>
      </c>
      <c r="BA55" s="6" t="s">
        <v>50</v>
      </c>
      <c r="BB55" s="6" t="s">
        <v>50</v>
      </c>
      <c r="BC55" s="6" t="s">
        <v>50</v>
      </c>
      <c r="BD55" s="6" t="s">
        <v>1001</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0"/>
        <v>54</v>
      </c>
      <c r="B56" s="3" t="s">
        <v>962</v>
      </c>
      <c r="C56" s="3" t="s">
        <v>962</v>
      </c>
      <c r="D56" s="5" t="s">
        <v>960</v>
      </c>
      <c r="E56" s="5" t="s">
        <v>961</v>
      </c>
      <c r="F56" s="3">
        <v>0</v>
      </c>
      <c r="G56" s="3">
        <v>0</v>
      </c>
      <c r="H56" s="3">
        <v>0</v>
      </c>
      <c r="I56" s="3">
        <v>50</v>
      </c>
      <c r="J56" s="3">
        <v>10</v>
      </c>
      <c r="K56" s="3">
        <v>0.95</v>
      </c>
      <c r="L56" s="3">
        <v>0</v>
      </c>
      <c r="M56" s="3">
        <v>1</v>
      </c>
      <c r="N56" s="3">
        <v>40</v>
      </c>
      <c r="O56" s="3">
        <v>15</v>
      </c>
      <c r="P56" s="3">
        <v>0</v>
      </c>
      <c r="Q56" s="3">
        <v>0</v>
      </c>
      <c r="R56" s="3">
        <v>10</v>
      </c>
      <c r="S56" s="3">
        <v>0</v>
      </c>
      <c r="T56" s="3">
        <v>0</v>
      </c>
      <c r="U56" s="3">
        <v>0</v>
      </c>
      <c r="V56" s="3">
        <v>0</v>
      </c>
      <c r="W56" s="3">
        <v>0</v>
      </c>
      <c r="X56" s="3">
        <v>7</v>
      </c>
      <c r="Y56" s="3">
        <v>0</v>
      </c>
      <c r="Z56" s="3">
        <v>0</v>
      </c>
      <c r="AA56" s="3">
        <v>0</v>
      </c>
      <c r="AB56" s="3">
        <v>0</v>
      </c>
      <c r="AC56" s="3">
        <v>0</v>
      </c>
      <c r="AD56" s="3">
        <v>0</v>
      </c>
      <c r="AE56" s="3">
        <v>0</v>
      </c>
      <c r="AF56" s="3">
        <v>0</v>
      </c>
      <c r="AG56" s="3">
        <v>0</v>
      </c>
      <c r="AH56" s="3">
        <v>0</v>
      </c>
      <c r="AI56" s="3">
        <v>0</v>
      </c>
      <c r="AJ56" s="3">
        <v>0</v>
      </c>
      <c r="AK56" s="3">
        <v>0</v>
      </c>
      <c r="AL56" s="3" t="s">
        <v>51</v>
      </c>
      <c r="AM56" s="3" t="s">
        <v>3512</v>
      </c>
      <c r="AN56" s="3" t="s">
        <v>1949</v>
      </c>
      <c r="AO56" s="3" t="s">
        <v>1850</v>
      </c>
      <c r="AP56" s="3">
        <v>0</v>
      </c>
      <c r="AQ56" s="3">
        <v>0</v>
      </c>
      <c r="AR56">
        <v>0</v>
      </c>
      <c r="AS56">
        <v>50</v>
      </c>
      <c r="AT56" s="6" t="s">
        <v>50</v>
      </c>
      <c r="AU56" s="6" t="s">
        <v>50</v>
      </c>
      <c r="AV56" s="6" t="s">
        <v>50</v>
      </c>
      <c r="AW56" s="6" t="s">
        <v>50</v>
      </c>
      <c r="AX56" s="6" t="s">
        <v>50</v>
      </c>
      <c r="AY56" s="6" t="s">
        <v>50</v>
      </c>
      <c r="AZ56" s="6" t="s">
        <v>50</v>
      </c>
      <c r="BA56" s="6" t="s">
        <v>50</v>
      </c>
      <c r="BB56" s="6" t="s">
        <v>50</v>
      </c>
      <c r="BC56" s="6" t="s">
        <v>50</v>
      </c>
      <c r="BD56" s="6" t="s">
        <v>995</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row>
    <row r="57" spans="1:73" ht="15.75" customHeight="1" x14ac:dyDescent="0.2">
      <c r="A57" s="3">
        <f t="shared" si="0"/>
        <v>55</v>
      </c>
      <c r="B57" s="3" t="s">
        <v>967</v>
      </c>
      <c r="C57" s="3" t="s">
        <v>967</v>
      </c>
      <c r="D57" s="5" t="s">
        <v>966</v>
      </c>
      <c r="E57" s="5" t="s">
        <v>968</v>
      </c>
      <c r="F57" s="3">
        <v>0</v>
      </c>
      <c r="G57" s="3">
        <v>0</v>
      </c>
      <c r="H57" s="3">
        <v>0</v>
      </c>
      <c r="I57" s="3">
        <v>50</v>
      </c>
      <c r="J57" s="3">
        <v>50</v>
      </c>
      <c r="K57" s="3">
        <v>0.9</v>
      </c>
      <c r="L57" s="3">
        <v>0</v>
      </c>
      <c r="M57" s="3">
        <v>5</v>
      </c>
      <c r="N57" s="3">
        <v>2</v>
      </c>
      <c r="O57" s="3">
        <v>2</v>
      </c>
      <c r="P57" s="3">
        <v>0</v>
      </c>
      <c r="Q57" s="3">
        <v>0</v>
      </c>
      <c r="R57" s="3">
        <v>0</v>
      </c>
      <c r="S57" s="3">
        <v>0</v>
      </c>
      <c r="T57" s="3">
        <v>0</v>
      </c>
      <c r="U57" s="3">
        <v>0</v>
      </c>
      <c r="V57" s="3">
        <v>0</v>
      </c>
      <c r="W57" s="3">
        <v>0</v>
      </c>
      <c r="X57" s="3">
        <v>15</v>
      </c>
      <c r="Y57" s="3">
        <v>0</v>
      </c>
      <c r="Z57" s="3">
        <v>10</v>
      </c>
      <c r="AA57" s="3">
        <v>0</v>
      </c>
      <c r="AB57" s="3">
        <v>0</v>
      </c>
      <c r="AC57" s="3">
        <v>10</v>
      </c>
      <c r="AD57" s="3">
        <v>0</v>
      </c>
      <c r="AE57" s="3">
        <v>0</v>
      </c>
      <c r="AF57" s="3">
        <v>0</v>
      </c>
      <c r="AG57" s="3">
        <v>0</v>
      </c>
      <c r="AH57" s="3">
        <v>0</v>
      </c>
      <c r="AI57" s="3">
        <v>0</v>
      </c>
      <c r="AJ57" s="3">
        <v>0</v>
      </c>
      <c r="AK57" s="3">
        <v>0</v>
      </c>
      <c r="AL57" s="3" t="s">
        <v>51</v>
      </c>
      <c r="AM57" s="3" t="s">
        <v>3512</v>
      </c>
      <c r="AN57" s="3" t="s">
        <v>1950</v>
      </c>
      <c r="AO57" s="3" t="s">
        <v>1850</v>
      </c>
      <c r="AP57" s="3">
        <v>0</v>
      </c>
      <c r="AQ57" s="3">
        <v>0</v>
      </c>
      <c r="AR57">
        <v>0</v>
      </c>
      <c r="AS57">
        <v>10</v>
      </c>
      <c r="AT57" s="6" t="s">
        <v>50</v>
      </c>
      <c r="AU57" s="6" t="s">
        <v>50</v>
      </c>
      <c r="AV57" s="6" t="s">
        <v>50</v>
      </c>
      <c r="AW57" s="6" t="s">
        <v>50</v>
      </c>
      <c r="AX57" s="6" t="s">
        <v>50</v>
      </c>
      <c r="AY57" s="6" t="s">
        <v>50</v>
      </c>
      <c r="AZ57" s="6" t="s">
        <v>50</v>
      </c>
      <c r="BA57" s="6" t="s">
        <v>50</v>
      </c>
      <c r="BB57" s="6" t="s">
        <v>50</v>
      </c>
      <c r="BC57" s="6" t="s">
        <v>50</v>
      </c>
      <c r="BD57" s="6" t="s">
        <v>994</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row>
    <row r="58" spans="1:73" ht="15.75" customHeight="1" x14ac:dyDescent="0.2">
      <c r="A58" s="3">
        <f t="shared" si="0"/>
        <v>56</v>
      </c>
      <c r="B58" s="3" t="s">
        <v>920</v>
      </c>
      <c r="C58" s="3" t="s">
        <v>920</v>
      </c>
      <c r="D58" s="5" t="s">
        <v>919</v>
      </c>
      <c r="E58" s="5" t="s">
        <v>921</v>
      </c>
      <c r="F58" s="3">
        <v>0</v>
      </c>
      <c r="G58" s="3">
        <v>0</v>
      </c>
      <c r="H58" s="3">
        <v>0</v>
      </c>
      <c r="I58" s="3">
        <v>50</v>
      </c>
      <c r="J58" s="3">
        <v>50</v>
      </c>
      <c r="K58" s="3">
        <v>0.9</v>
      </c>
      <c r="L58" s="3">
        <v>0</v>
      </c>
      <c r="M58" s="3">
        <v>3</v>
      </c>
      <c r="N58" s="3">
        <v>5</v>
      </c>
      <c r="O58" s="3">
        <v>0</v>
      </c>
      <c r="P58" s="3">
        <v>0</v>
      </c>
      <c r="Q58" s="3">
        <v>0</v>
      </c>
      <c r="R58" s="3">
        <v>0</v>
      </c>
      <c r="S58" s="3">
        <v>0</v>
      </c>
      <c r="T58" s="3">
        <v>0</v>
      </c>
      <c r="U58" s="3">
        <v>0</v>
      </c>
      <c r="V58" s="3">
        <v>0</v>
      </c>
      <c r="W58" s="3">
        <v>0</v>
      </c>
      <c r="X58" s="3">
        <v>1</v>
      </c>
      <c r="Y58" s="3">
        <v>0</v>
      </c>
      <c r="Z58" s="3">
        <v>0</v>
      </c>
      <c r="AA58" s="3">
        <v>0</v>
      </c>
      <c r="AB58" s="3">
        <v>0</v>
      </c>
      <c r="AC58" s="3">
        <v>0</v>
      </c>
      <c r="AD58" s="3">
        <v>0</v>
      </c>
      <c r="AE58" s="3">
        <v>0</v>
      </c>
      <c r="AF58" s="3">
        <v>0</v>
      </c>
      <c r="AG58" s="3">
        <v>0</v>
      </c>
      <c r="AH58" s="3">
        <v>0</v>
      </c>
      <c r="AI58" s="3">
        <v>0</v>
      </c>
      <c r="AJ58" s="3">
        <v>0</v>
      </c>
      <c r="AK58" s="3">
        <v>0</v>
      </c>
      <c r="AL58" s="3" t="s">
        <v>51</v>
      </c>
      <c r="AM58" s="3" t="s">
        <v>3512</v>
      </c>
      <c r="AN58" s="3" t="s">
        <v>3531</v>
      </c>
      <c r="AO58" s="3" t="s">
        <v>50</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922</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0"/>
        <v>57</v>
      </c>
      <c r="B59" s="3" t="s">
        <v>920</v>
      </c>
      <c r="C59" s="3" t="s">
        <v>3530</v>
      </c>
      <c r="D59" s="5" t="s">
        <v>919</v>
      </c>
      <c r="E59" s="5" t="s">
        <v>3532</v>
      </c>
      <c r="F59" s="3">
        <v>0</v>
      </c>
      <c r="G59" s="3">
        <v>0</v>
      </c>
      <c r="H59" s="3">
        <v>0</v>
      </c>
      <c r="I59" s="3">
        <v>50</v>
      </c>
      <c r="J59" s="3">
        <v>50</v>
      </c>
      <c r="K59" s="3">
        <v>0.9</v>
      </c>
      <c r="L59" s="3">
        <v>0</v>
      </c>
      <c r="M59" s="3">
        <v>3</v>
      </c>
      <c r="N59" s="3">
        <v>5</v>
      </c>
      <c r="O59" s="3">
        <v>0</v>
      </c>
      <c r="P59" s="3">
        <v>0</v>
      </c>
      <c r="Q59" s="3">
        <v>0</v>
      </c>
      <c r="R59" s="3">
        <v>0</v>
      </c>
      <c r="S59" s="3">
        <v>0</v>
      </c>
      <c r="T59" s="3">
        <v>0</v>
      </c>
      <c r="U59" s="3">
        <v>0</v>
      </c>
      <c r="V59" s="3">
        <v>0</v>
      </c>
      <c r="W59" s="3">
        <v>0</v>
      </c>
      <c r="X59" s="3">
        <v>1</v>
      </c>
      <c r="Y59" s="3">
        <v>0</v>
      </c>
      <c r="Z59" s="3">
        <v>0</v>
      </c>
      <c r="AA59" s="3">
        <v>0</v>
      </c>
      <c r="AB59" s="3">
        <v>0</v>
      </c>
      <c r="AC59" s="3">
        <v>0</v>
      </c>
      <c r="AD59" s="3">
        <v>0</v>
      </c>
      <c r="AE59" s="3">
        <v>0</v>
      </c>
      <c r="AF59" s="3">
        <v>0</v>
      </c>
      <c r="AG59" s="3">
        <v>0</v>
      </c>
      <c r="AH59" s="3">
        <v>0</v>
      </c>
      <c r="AI59" s="3">
        <v>0</v>
      </c>
      <c r="AJ59" s="3">
        <v>0</v>
      </c>
      <c r="AK59" s="3">
        <v>0</v>
      </c>
      <c r="AL59" s="3" t="s">
        <v>51</v>
      </c>
      <c r="AM59" s="3" t="s">
        <v>1032</v>
      </c>
      <c r="AN59" s="3" t="s">
        <v>3531</v>
      </c>
      <c r="AO59" s="3" t="s">
        <v>50</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922</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0"/>
        <v>58</v>
      </c>
      <c r="B60" s="3" t="s">
        <v>237</v>
      </c>
      <c r="C60" s="3" t="s">
        <v>237</v>
      </c>
      <c r="D60" s="5" t="s">
        <v>238</v>
      </c>
      <c r="E60" s="5" t="s">
        <v>239</v>
      </c>
      <c r="F60" s="3">
        <v>0</v>
      </c>
      <c r="G60" s="3">
        <v>0</v>
      </c>
      <c r="H60" s="3">
        <v>0</v>
      </c>
      <c r="I60" s="3">
        <v>50</v>
      </c>
      <c r="J60" s="3">
        <v>10</v>
      </c>
      <c r="K60" s="3">
        <v>0.95</v>
      </c>
      <c r="L60" s="3">
        <v>0</v>
      </c>
      <c r="M60" s="3">
        <v>0</v>
      </c>
      <c r="N60" s="3">
        <v>0</v>
      </c>
      <c r="O60" s="3">
        <v>0</v>
      </c>
      <c r="P60" s="3">
        <v>30</v>
      </c>
      <c r="Q60" s="3">
        <v>0</v>
      </c>
      <c r="R60" s="3">
        <v>0</v>
      </c>
      <c r="S60" s="3">
        <v>0</v>
      </c>
      <c r="T60" s="3">
        <v>0</v>
      </c>
      <c r="U60" s="3">
        <v>0</v>
      </c>
      <c r="V60" s="3">
        <v>8</v>
      </c>
      <c r="W60" s="3">
        <v>0</v>
      </c>
      <c r="X60" s="3">
        <v>-3</v>
      </c>
      <c r="Y60" s="3">
        <v>0</v>
      </c>
      <c r="Z60" s="3">
        <v>0</v>
      </c>
      <c r="AA60" s="3">
        <v>0</v>
      </c>
      <c r="AB60" s="3">
        <v>0</v>
      </c>
      <c r="AC60" s="3">
        <v>0</v>
      </c>
      <c r="AD60" s="3">
        <v>0</v>
      </c>
      <c r="AE60" s="3">
        <v>0</v>
      </c>
      <c r="AF60" s="3">
        <v>0</v>
      </c>
      <c r="AG60" s="3">
        <v>0</v>
      </c>
      <c r="AH60" s="3">
        <v>0</v>
      </c>
      <c r="AI60" s="3">
        <v>0</v>
      </c>
      <c r="AJ60" s="3">
        <v>0</v>
      </c>
      <c r="AK60" s="3">
        <v>0</v>
      </c>
      <c r="AL60" s="3" t="s">
        <v>17</v>
      </c>
      <c r="AM60" s="3" t="s">
        <v>3512</v>
      </c>
      <c r="AN60" s="3" t="s">
        <v>1951</v>
      </c>
      <c r="AO60" s="3" t="s">
        <v>1850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0"/>
        <v>59</v>
      </c>
      <c r="B61" s="3" t="s">
        <v>506</v>
      </c>
      <c r="C61" s="3" t="s">
        <v>506</v>
      </c>
      <c r="D61" s="5" t="s">
        <v>504</v>
      </c>
      <c r="E61" s="5" t="s">
        <v>505</v>
      </c>
      <c r="F61" s="3">
        <v>0</v>
      </c>
      <c r="G61" s="3">
        <v>0</v>
      </c>
      <c r="H61" s="3">
        <v>0</v>
      </c>
      <c r="I61" s="3">
        <v>50</v>
      </c>
      <c r="J61" s="3">
        <v>3</v>
      </c>
      <c r="K61" s="3">
        <v>0.95</v>
      </c>
      <c r="L61" s="3">
        <v>0</v>
      </c>
      <c r="M61" s="3">
        <v>0</v>
      </c>
      <c r="N61" s="3">
        <v>1</v>
      </c>
      <c r="O61" s="3">
        <v>2</v>
      </c>
      <c r="P61" s="3">
        <v>0</v>
      </c>
      <c r="Q61" s="3">
        <v>5</v>
      </c>
      <c r="R61" s="3">
        <v>0</v>
      </c>
      <c r="S61" s="3">
        <v>2</v>
      </c>
      <c r="T61" s="3">
        <v>0</v>
      </c>
      <c r="U61" s="3">
        <v>0</v>
      </c>
      <c r="V61" s="3">
        <v>1</v>
      </c>
      <c r="W61" s="3">
        <v>0</v>
      </c>
      <c r="X61" s="3">
        <v>-3</v>
      </c>
      <c r="Y61" s="3">
        <v>0</v>
      </c>
      <c r="Z61" s="3">
        <v>0</v>
      </c>
      <c r="AA61" s="3">
        <v>0</v>
      </c>
      <c r="AB61" s="3">
        <v>0</v>
      </c>
      <c r="AC61" s="3">
        <v>0</v>
      </c>
      <c r="AD61" s="3">
        <v>0</v>
      </c>
      <c r="AE61" s="3">
        <v>0</v>
      </c>
      <c r="AF61" s="3">
        <v>0</v>
      </c>
      <c r="AG61" s="3">
        <v>0</v>
      </c>
      <c r="AH61" s="3">
        <v>0</v>
      </c>
      <c r="AI61" s="3">
        <v>0</v>
      </c>
      <c r="AJ61" s="3">
        <v>0</v>
      </c>
      <c r="AK61" s="3">
        <v>0</v>
      </c>
      <c r="AL61" s="3" t="s">
        <v>17</v>
      </c>
      <c r="AM61" s="3" t="s">
        <v>3512</v>
      </c>
      <c r="AN61" s="3" t="s">
        <v>1952</v>
      </c>
      <c r="AO61" s="3" t="s">
        <v>1850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0"/>
        <v>60</v>
      </c>
      <c r="B62" s="3" t="s">
        <v>1074</v>
      </c>
      <c r="C62" s="3" t="s">
        <v>1074</v>
      </c>
      <c r="D62" s="5" t="s">
        <v>1075</v>
      </c>
      <c r="E62" s="5" t="s">
        <v>1076</v>
      </c>
      <c r="F62" s="3">
        <v>0</v>
      </c>
      <c r="G62" s="3">
        <v>0</v>
      </c>
      <c r="H62" s="3">
        <v>0</v>
      </c>
      <c r="I62" s="3">
        <v>50</v>
      </c>
      <c r="J62" s="3">
        <v>3</v>
      </c>
      <c r="K62" s="3">
        <v>0.95</v>
      </c>
      <c r="L62" s="3">
        <v>0</v>
      </c>
      <c r="M62" s="3">
        <v>0</v>
      </c>
      <c r="N62" s="3">
        <v>0</v>
      </c>
      <c r="O62" s="3">
        <v>0</v>
      </c>
      <c r="P62" s="3">
        <v>0</v>
      </c>
      <c r="Q62" s="3">
        <v>0</v>
      </c>
      <c r="R62" s="3">
        <v>20</v>
      </c>
      <c r="S62" s="3">
        <v>20</v>
      </c>
      <c r="T62" s="3">
        <v>20</v>
      </c>
      <c r="U62" s="3">
        <v>0</v>
      </c>
      <c r="V62" s="3">
        <v>3</v>
      </c>
      <c r="W62" s="3">
        <v>0</v>
      </c>
      <c r="X62" s="3">
        <v>-5</v>
      </c>
      <c r="Y62" s="3">
        <v>0</v>
      </c>
      <c r="Z62" s="3">
        <v>0</v>
      </c>
      <c r="AA62" s="3">
        <v>0</v>
      </c>
      <c r="AB62" s="3">
        <v>0</v>
      </c>
      <c r="AC62" s="3">
        <v>0</v>
      </c>
      <c r="AD62" s="3">
        <v>0</v>
      </c>
      <c r="AE62" s="3">
        <v>0</v>
      </c>
      <c r="AF62" s="3">
        <v>0</v>
      </c>
      <c r="AG62" s="3">
        <v>0</v>
      </c>
      <c r="AH62" s="3">
        <v>0</v>
      </c>
      <c r="AI62" s="3">
        <v>0</v>
      </c>
      <c r="AJ62" s="3">
        <v>0</v>
      </c>
      <c r="AK62" s="3">
        <v>0</v>
      </c>
      <c r="AL62" s="3" t="s">
        <v>17</v>
      </c>
      <c r="AM62" s="3" t="s">
        <v>3512</v>
      </c>
      <c r="AN62" s="3" t="s">
        <v>1953</v>
      </c>
      <c r="AO62" s="3" t="s">
        <v>1850</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0"/>
        <v>61</v>
      </c>
      <c r="B63" s="3" t="s">
        <v>2628</v>
      </c>
      <c r="C63" s="3" t="s">
        <v>2628</v>
      </c>
      <c r="D63" s="5" t="s">
        <v>2627</v>
      </c>
      <c r="E63" s="5" t="s">
        <v>2640</v>
      </c>
      <c r="F63" s="3">
        <v>0</v>
      </c>
      <c r="G63" s="3">
        <v>0</v>
      </c>
      <c r="H63" s="3">
        <v>0</v>
      </c>
      <c r="I63" s="3">
        <v>50</v>
      </c>
      <c r="J63" s="3">
        <v>3</v>
      </c>
      <c r="K63" s="3">
        <v>0.95</v>
      </c>
      <c r="L63" s="3">
        <v>0</v>
      </c>
      <c r="M63" s="3">
        <v>0</v>
      </c>
      <c r="N63" s="3">
        <v>1</v>
      </c>
      <c r="O63" s="3">
        <v>3</v>
      </c>
      <c r="P63" s="3">
        <v>0</v>
      </c>
      <c r="Q63" s="3">
        <v>0</v>
      </c>
      <c r="R63" s="3">
        <v>20</v>
      </c>
      <c r="S63" s="3">
        <v>20</v>
      </c>
      <c r="T63" s="3">
        <v>20</v>
      </c>
      <c r="U63" s="3">
        <v>0</v>
      </c>
      <c r="V63" s="3">
        <v>3</v>
      </c>
      <c r="W63" s="3">
        <v>0</v>
      </c>
      <c r="X63" s="3">
        <v>-5</v>
      </c>
      <c r="Y63" s="3">
        <v>0</v>
      </c>
      <c r="Z63" s="3">
        <v>0</v>
      </c>
      <c r="AA63" s="3">
        <v>0</v>
      </c>
      <c r="AB63" s="3">
        <v>0</v>
      </c>
      <c r="AC63" s="3">
        <v>0</v>
      </c>
      <c r="AD63" s="3">
        <v>0</v>
      </c>
      <c r="AE63" s="3">
        <v>0</v>
      </c>
      <c r="AF63" s="3">
        <v>0</v>
      </c>
      <c r="AG63" s="3">
        <v>0</v>
      </c>
      <c r="AH63" s="3">
        <v>0</v>
      </c>
      <c r="AI63" s="3">
        <v>0</v>
      </c>
      <c r="AJ63" s="3">
        <v>0</v>
      </c>
      <c r="AK63" s="3">
        <v>0</v>
      </c>
      <c r="AL63" s="3" t="s">
        <v>17</v>
      </c>
      <c r="AM63" s="3" t="s">
        <v>3512</v>
      </c>
      <c r="AN63" s="3" t="s">
        <v>1953</v>
      </c>
      <c r="AO63" s="3" t="s">
        <v>50</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s="9" customFormat="1" ht="15.75" customHeight="1" x14ac:dyDescent="0.2">
      <c r="A64" s="7">
        <f t="shared" si="0"/>
        <v>62</v>
      </c>
      <c r="B64" s="7" t="s">
        <v>2628</v>
      </c>
      <c r="C64" s="7" t="s">
        <v>3346</v>
      </c>
      <c r="D64" s="8" t="s">
        <v>3345</v>
      </c>
      <c r="E64" s="8" t="s">
        <v>3347</v>
      </c>
      <c r="F64" s="7">
        <v>0</v>
      </c>
      <c r="G64" s="7">
        <v>0</v>
      </c>
      <c r="H64" s="7">
        <v>0</v>
      </c>
      <c r="I64" s="7">
        <v>50</v>
      </c>
      <c r="J64" s="7">
        <v>3</v>
      </c>
      <c r="K64" s="7">
        <v>0.95</v>
      </c>
      <c r="L64" s="7">
        <v>0</v>
      </c>
      <c r="M64" s="7">
        <v>0</v>
      </c>
      <c r="N64" s="7">
        <v>1</v>
      </c>
      <c r="O64" s="7">
        <v>3</v>
      </c>
      <c r="P64" s="7">
        <v>0</v>
      </c>
      <c r="Q64" s="7">
        <v>0</v>
      </c>
      <c r="R64" s="7">
        <v>20</v>
      </c>
      <c r="S64" s="7">
        <v>20</v>
      </c>
      <c r="T64" s="7">
        <v>20</v>
      </c>
      <c r="U64" s="7">
        <v>0</v>
      </c>
      <c r="V64" s="7">
        <v>3</v>
      </c>
      <c r="W64" s="7">
        <v>0</v>
      </c>
      <c r="X64" s="7">
        <v>-5</v>
      </c>
      <c r="Y64" s="7">
        <v>0</v>
      </c>
      <c r="Z64" s="7">
        <v>0</v>
      </c>
      <c r="AA64" s="7">
        <v>0</v>
      </c>
      <c r="AB64" s="7">
        <v>0</v>
      </c>
      <c r="AC64" s="7">
        <v>0</v>
      </c>
      <c r="AD64" s="7">
        <v>0</v>
      </c>
      <c r="AE64" s="7">
        <v>0</v>
      </c>
      <c r="AF64" s="7">
        <v>0</v>
      </c>
      <c r="AG64" s="7">
        <v>0</v>
      </c>
      <c r="AH64" s="7">
        <v>0</v>
      </c>
      <c r="AI64" s="7">
        <v>0</v>
      </c>
      <c r="AJ64" s="7">
        <v>0</v>
      </c>
      <c r="AK64" s="7">
        <v>0</v>
      </c>
      <c r="AL64" s="7" t="s">
        <v>17</v>
      </c>
      <c r="AM64" s="7" t="s">
        <v>23</v>
      </c>
      <c r="AN64" s="7" t="s">
        <v>1953</v>
      </c>
      <c r="AO64" s="7" t="s">
        <v>50</v>
      </c>
      <c r="AP64" s="7">
        <v>0</v>
      </c>
      <c r="AQ64" s="7">
        <v>0</v>
      </c>
      <c r="AR64" s="9">
        <v>0</v>
      </c>
      <c r="AS64" s="9">
        <v>1</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row>
    <row r="65" spans="1:73" ht="15.75" customHeight="1" x14ac:dyDescent="0.2">
      <c r="A65" s="3">
        <f t="shared" si="0"/>
        <v>63</v>
      </c>
      <c r="B65" s="3" t="s">
        <v>65</v>
      </c>
      <c r="C65" s="3" t="s">
        <v>65</v>
      </c>
      <c r="D65" s="25" t="s">
        <v>64</v>
      </c>
      <c r="E65" s="4" t="s">
        <v>2037</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3512</v>
      </c>
      <c r="AN65" s="3" t="s">
        <v>1954</v>
      </c>
      <c r="AO65" s="3" t="s">
        <v>1850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ref="A66:A129" si="1">ROW()-2</f>
        <v>64</v>
      </c>
      <c r="B66" s="3" t="s">
        <v>2039</v>
      </c>
      <c r="C66" s="3" t="s">
        <v>2039</v>
      </c>
      <c r="D66" s="25" t="s">
        <v>2036</v>
      </c>
      <c r="E66" s="4" t="s">
        <v>2038</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2051</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1"/>
        <v>65</v>
      </c>
      <c r="B67" s="3" t="s">
        <v>2041</v>
      </c>
      <c r="C67" s="3" t="s">
        <v>2041</v>
      </c>
      <c r="D67" s="25" t="s">
        <v>2040</v>
      </c>
      <c r="E67" s="4" t="s">
        <v>3041</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2042</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1"/>
        <v>66</v>
      </c>
      <c r="B68" s="3" t="s">
        <v>2045</v>
      </c>
      <c r="C68" s="3" t="s">
        <v>2045</v>
      </c>
      <c r="D68" s="25" t="s">
        <v>2044</v>
      </c>
      <c r="E68" s="4" t="s">
        <v>2170</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2046</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1"/>
        <v>67</v>
      </c>
      <c r="B69" s="3" t="s">
        <v>2183</v>
      </c>
      <c r="C69" s="3" t="s">
        <v>2183</v>
      </c>
      <c r="D69" s="25" t="s">
        <v>2182</v>
      </c>
      <c r="E69" s="4" t="s">
        <v>2184</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2046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1"/>
        <v>68</v>
      </c>
      <c r="B70" s="3" t="s">
        <v>2726</v>
      </c>
      <c r="C70" s="3" t="s">
        <v>2726</v>
      </c>
      <c r="D70" s="25" t="s">
        <v>2724</v>
      </c>
      <c r="E70" s="4" t="s">
        <v>2725</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2046</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ht="15.75" customHeight="1" x14ac:dyDescent="0.2">
      <c r="A71" s="3">
        <f t="shared" si="1"/>
        <v>69</v>
      </c>
      <c r="B71" s="3" t="s">
        <v>2728</v>
      </c>
      <c r="C71" s="3" t="s">
        <v>2728</v>
      </c>
      <c r="D71" s="25" t="s">
        <v>2727</v>
      </c>
      <c r="E71" s="4" t="s">
        <v>2788</v>
      </c>
      <c r="F71" s="3">
        <v>0</v>
      </c>
      <c r="G71" s="3">
        <v>0</v>
      </c>
      <c r="H71" s="3">
        <v>0</v>
      </c>
      <c r="I71" s="3">
        <v>50</v>
      </c>
      <c r="J71" s="3">
        <v>20</v>
      </c>
      <c r="K71" s="3">
        <v>0.95</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2046</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row>
    <row r="72" spans="1:73" ht="15.75" customHeight="1" x14ac:dyDescent="0.2">
      <c r="A72" s="3">
        <f t="shared" si="1"/>
        <v>70</v>
      </c>
      <c r="B72" s="3" t="s">
        <v>3415</v>
      </c>
      <c r="C72" s="3" t="s">
        <v>3415</v>
      </c>
      <c r="D72" s="25" t="s">
        <v>3416</v>
      </c>
      <c r="E72" s="4" t="s">
        <v>3417</v>
      </c>
      <c r="F72" s="3">
        <v>0</v>
      </c>
      <c r="G72" s="3">
        <v>0</v>
      </c>
      <c r="H72" s="3">
        <v>0</v>
      </c>
      <c r="I72" s="3">
        <v>50</v>
      </c>
      <c r="J72" s="3">
        <v>20</v>
      </c>
      <c r="K72" s="3">
        <v>0.95</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2046</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ht="15.75" customHeight="1" x14ac:dyDescent="0.2">
      <c r="A73" s="3">
        <f t="shared" si="1"/>
        <v>71</v>
      </c>
      <c r="B73" s="3" t="s">
        <v>1393</v>
      </c>
      <c r="C73" s="3" t="s">
        <v>1393</v>
      </c>
      <c r="D73" s="25" t="s">
        <v>1391</v>
      </c>
      <c r="E73" s="4" t="s">
        <v>1392</v>
      </c>
      <c r="F73" s="3">
        <v>0</v>
      </c>
      <c r="G73" s="3">
        <v>0</v>
      </c>
      <c r="H73" s="3">
        <v>0</v>
      </c>
      <c r="I73" s="3">
        <v>50</v>
      </c>
      <c r="J73" s="3">
        <v>20</v>
      </c>
      <c r="K73" s="3">
        <v>0.95</v>
      </c>
      <c r="L73" s="3">
        <v>0</v>
      </c>
      <c r="M73" s="3">
        <v>0</v>
      </c>
      <c r="N73" s="3">
        <v>30</v>
      </c>
      <c r="O73" s="3">
        <v>0</v>
      </c>
      <c r="P73" s="3">
        <v>0</v>
      </c>
      <c r="Q73" s="3">
        <v>0</v>
      </c>
      <c r="R73" s="3">
        <v>0</v>
      </c>
      <c r="S73" s="3">
        <v>0</v>
      </c>
      <c r="T73" s="3">
        <v>0</v>
      </c>
      <c r="U73" s="3">
        <v>0</v>
      </c>
      <c r="V73" s="3">
        <v>0</v>
      </c>
      <c r="W73" s="3">
        <v>0</v>
      </c>
      <c r="X73" s="3">
        <v>0</v>
      </c>
      <c r="Y73" s="3">
        <v>0</v>
      </c>
      <c r="Z73" s="3">
        <v>10</v>
      </c>
      <c r="AA73" s="3">
        <v>0</v>
      </c>
      <c r="AB73" s="3">
        <v>0</v>
      </c>
      <c r="AC73" s="3">
        <v>0</v>
      </c>
      <c r="AD73" s="3">
        <v>0</v>
      </c>
      <c r="AE73" s="3">
        <v>0</v>
      </c>
      <c r="AF73" s="3">
        <v>0</v>
      </c>
      <c r="AG73" s="3">
        <v>0</v>
      </c>
      <c r="AH73" s="3">
        <v>0</v>
      </c>
      <c r="AI73" s="3">
        <v>0</v>
      </c>
      <c r="AJ73" s="3">
        <v>0</v>
      </c>
      <c r="AK73" s="3">
        <v>0</v>
      </c>
      <c r="AL73" s="3" t="s">
        <v>51</v>
      </c>
      <c r="AM73" s="3" t="s">
        <v>3512</v>
      </c>
      <c r="AN73" s="3" t="s">
        <v>1955</v>
      </c>
      <c r="AO73" s="3" t="s">
        <v>1850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row>
    <row r="74" spans="1:73" ht="15.75" customHeight="1" x14ac:dyDescent="0.2">
      <c r="A74" s="3">
        <f t="shared" si="1"/>
        <v>72</v>
      </c>
      <c r="B74" s="3" t="s">
        <v>2173</v>
      </c>
      <c r="C74" s="3" t="s">
        <v>2173</v>
      </c>
      <c r="D74" s="25" t="s">
        <v>2172</v>
      </c>
      <c r="E74" s="4" t="s">
        <v>2171</v>
      </c>
      <c r="F74" s="3">
        <v>0</v>
      </c>
      <c r="G74" s="3">
        <v>0</v>
      </c>
      <c r="H74" s="3">
        <v>0</v>
      </c>
      <c r="I74" s="3">
        <v>50</v>
      </c>
      <c r="J74" s="3">
        <v>20</v>
      </c>
      <c r="K74" s="3">
        <v>0.95</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2174</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row>
    <row r="75" spans="1:73" ht="15.75" customHeight="1" x14ac:dyDescent="0.2">
      <c r="A75" s="3">
        <f t="shared" si="1"/>
        <v>73</v>
      </c>
      <c r="B75" s="3" t="s">
        <v>361</v>
      </c>
      <c r="C75" s="3" t="s">
        <v>338</v>
      </c>
      <c r="D75" s="25" t="s">
        <v>339</v>
      </c>
      <c r="E75" s="4" t="s">
        <v>2069</v>
      </c>
      <c r="F75" s="3">
        <v>0</v>
      </c>
      <c r="G75" s="3">
        <v>0</v>
      </c>
      <c r="H75" s="3">
        <v>0</v>
      </c>
      <c r="I75" s="3">
        <v>50</v>
      </c>
      <c r="J75" s="3">
        <v>10</v>
      </c>
      <c r="K75" s="3">
        <v>0.95</v>
      </c>
      <c r="L75" s="3">
        <v>0</v>
      </c>
      <c r="M75" s="3">
        <v>0</v>
      </c>
      <c r="N75" s="3">
        <v>0</v>
      </c>
      <c r="O75" s="3">
        <v>0</v>
      </c>
      <c r="P75" s="3">
        <v>10</v>
      </c>
      <c r="Q75" s="3">
        <v>0</v>
      </c>
      <c r="R75" s="3">
        <v>0</v>
      </c>
      <c r="S75" s="3">
        <v>0</v>
      </c>
      <c r="T75" s="3">
        <v>0</v>
      </c>
      <c r="U75" s="3">
        <v>0</v>
      </c>
      <c r="V75" s="3">
        <v>2</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3512</v>
      </c>
      <c r="AN75" s="3" t="s">
        <v>1956</v>
      </c>
      <c r="AO75" s="3" t="s">
        <v>1850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row>
    <row r="76" spans="1:73" ht="15.75" customHeight="1" x14ac:dyDescent="0.2">
      <c r="A76" s="3">
        <f t="shared" si="1"/>
        <v>74</v>
      </c>
      <c r="B76" s="3" t="s">
        <v>623</v>
      </c>
      <c r="C76" s="3" t="s">
        <v>623</v>
      </c>
      <c r="D76" s="5" t="s">
        <v>622</v>
      </c>
      <c r="E76" s="5" t="s">
        <v>624</v>
      </c>
      <c r="F76" s="3">
        <v>0</v>
      </c>
      <c r="G76" s="3">
        <v>0</v>
      </c>
      <c r="H76" s="3">
        <v>0</v>
      </c>
      <c r="I76" s="3">
        <v>50</v>
      </c>
      <c r="J76" s="3">
        <v>1</v>
      </c>
      <c r="K76" s="3">
        <v>0.95</v>
      </c>
      <c r="L76" s="3">
        <v>0</v>
      </c>
      <c r="M76" s="3">
        <v>0</v>
      </c>
      <c r="N76" s="3">
        <v>0</v>
      </c>
      <c r="O76" s="3">
        <v>0</v>
      </c>
      <c r="P76" s="3">
        <v>50</v>
      </c>
      <c r="Q76" s="3">
        <v>50</v>
      </c>
      <c r="R76" s="3">
        <v>50</v>
      </c>
      <c r="S76" s="3">
        <v>40</v>
      </c>
      <c r="T76" s="3">
        <v>0</v>
      </c>
      <c r="U76" s="3">
        <v>0</v>
      </c>
      <c r="V76" s="3">
        <v>0</v>
      </c>
      <c r="W76" s="3">
        <v>20</v>
      </c>
      <c r="X76" s="3">
        <v>0</v>
      </c>
      <c r="Y76" s="3">
        <v>0</v>
      </c>
      <c r="Z76" s="3">
        <v>0</v>
      </c>
      <c r="AA76" s="3">
        <v>0</v>
      </c>
      <c r="AB76" s="3">
        <v>0</v>
      </c>
      <c r="AC76" s="3">
        <v>0</v>
      </c>
      <c r="AD76" s="3">
        <v>0</v>
      </c>
      <c r="AE76" s="3">
        <v>0</v>
      </c>
      <c r="AF76" s="3">
        <v>0</v>
      </c>
      <c r="AG76" s="3">
        <v>0</v>
      </c>
      <c r="AH76" s="3">
        <v>0</v>
      </c>
      <c r="AI76" s="3">
        <v>0</v>
      </c>
      <c r="AJ76" s="3">
        <v>0</v>
      </c>
      <c r="AK76" s="3">
        <v>0</v>
      </c>
      <c r="AL76" s="3" t="s">
        <v>17</v>
      </c>
      <c r="AM76" s="3" t="s">
        <v>169</v>
      </c>
      <c r="AN76" s="3" t="s">
        <v>1957</v>
      </c>
      <c r="AO76" s="3" t="s">
        <v>1850</v>
      </c>
      <c r="AP76" s="3">
        <v>0</v>
      </c>
      <c r="AQ76" s="3">
        <v>0</v>
      </c>
      <c r="AR76">
        <v>0</v>
      </c>
      <c r="AS76">
        <v>3</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row>
    <row r="77" spans="1:73" s="9" customFormat="1" ht="15.75" customHeight="1" x14ac:dyDescent="0.2">
      <c r="A77" s="7">
        <f t="shared" si="1"/>
        <v>75</v>
      </c>
      <c r="B77" s="7" t="s">
        <v>57</v>
      </c>
      <c r="C77" s="7" t="s">
        <v>256</v>
      </c>
      <c r="D77" s="8" t="s">
        <v>262</v>
      </c>
      <c r="E77" s="8" t="s">
        <v>257</v>
      </c>
      <c r="F77" s="7">
        <v>0</v>
      </c>
      <c r="G77" s="7">
        <v>0</v>
      </c>
      <c r="H77" s="7">
        <v>0</v>
      </c>
      <c r="I77" s="7">
        <v>50</v>
      </c>
      <c r="J77" s="7">
        <v>5</v>
      </c>
      <c r="K77" s="7">
        <v>0.95</v>
      </c>
      <c r="L77" s="7">
        <v>0</v>
      </c>
      <c r="M77" s="7">
        <v>0</v>
      </c>
      <c r="N77" s="7">
        <v>0</v>
      </c>
      <c r="O77" s="7">
        <v>0</v>
      </c>
      <c r="P77" s="7">
        <v>65</v>
      </c>
      <c r="Q77" s="7">
        <v>50</v>
      </c>
      <c r="R77" s="7">
        <v>60</v>
      </c>
      <c r="S77" s="7">
        <v>40</v>
      </c>
      <c r="T77" s="7">
        <v>0</v>
      </c>
      <c r="U77" s="7">
        <v>0</v>
      </c>
      <c r="V77" s="7">
        <v>0</v>
      </c>
      <c r="W77" s="7">
        <v>15</v>
      </c>
      <c r="X77" s="7">
        <v>0</v>
      </c>
      <c r="Y77" s="7">
        <v>0</v>
      </c>
      <c r="Z77" s="7">
        <v>0</v>
      </c>
      <c r="AA77" s="7">
        <v>0</v>
      </c>
      <c r="AB77" s="7">
        <v>0</v>
      </c>
      <c r="AC77" s="7">
        <v>0</v>
      </c>
      <c r="AD77" s="7">
        <v>0</v>
      </c>
      <c r="AE77" s="7">
        <v>0</v>
      </c>
      <c r="AF77" s="7">
        <v>0</v>
      </c>
      <c r="AG77" s="7">
        <v>0</v>
      </c>
      <c r="AH77" s="7">
        <v>0</v>
      </c>
      <c r="AI77" s="7">
        <v>0</v>
      </c>
      <c r="AJ77" s="7">
        <v>0</v>
      </c>
      <c r="AK77" s="7">
        <v>0</v>
      </c>
      <c r="AL77" s="7" t="s">
        <v>17</v>
      </c>
      <c r="AM77" s="7" t="s">
        <v>169</v>
      </c>
      <c r="AN77" s="7" t="s">
        <v>1957</v>
      </c>
      <c r="AO77" s="7" t="s">
        <v>1850</v>
      </c>
      <c r="AP77" s="7">
        <v>0</v>
      </c>
      <c r="AQ77" s="7">
        <v>0</v>
      </c>
      <c r="AR77" s="9">
        <v>0</v>
      </c>
      <c r="AS77" s="9">
        <v>10</v>
      </c>
      <c r="AT77" s="10" t="s">
        <v>50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row>
    <row r="78" spans="1:73" ht="15.75" customHeight="1" x14ac:dyDescent="0.2">
      <c r="A78" s="3">
        <f t="shared" si="1"/>
        <v>76</v>
      </c>
      <c r="B78" s="3" t="s">
        <v>83</v>
      </c>
      <c r="C78" s="3" t="s">
        <v>83</v>
      </c>
      <c r="D78" s="5" t="s">
        <v>16</v>
      </c>
      <c r="E78" s="5" t="s">
        <v>831</v>
      </c>
      <c r="F78" s="3">
        <v>0</v>
      </c>
      <c r="G78" s="3">
        <v>0</v>
      </c>
      <c r="H78" s="3">
        <v>0</v>
      </c>
      <c r="I78" s="3">
        <v>50</v>
      </c>
      <c r="J78" s="3">
        <v>5</v>
      </c>
      <c r="K78" s="3">
        <v>0.95</v>
      </c>
      <c r="L78" s="3">
        <v>0</v>
      </c>
      <c r="M78" s="3">
        <v>5</v>
      </c>
      <c r="N78" s="3">
        <v>2</v>
      </c>
      <c r="O78" s="3">
        <v>10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0</v>
      </c>
      <c r="AH78" s="3">
        <v>3</v>
      </c>
      <c r="AI78" s="3">
        <v>0</v>
      </c>
      <c r="AJ78" s="3">
        <v>0</v>
      </c>
      <c r="AK78" s="3">
        <v>0</v>
      </c>
      <c r="AL78" s="3" t="s">
        <v>368</v>
      </c>
      <c r="AM78" s="3" t="s">
        <v>18</v>
      </c>
      <c r="AN78" s="3" t="s">
        <v>1958</v>
      </c>
      <c r="AO78" s="3" t="s">
        <v>1850</v>
      </c>
      <c r="AP78" s="3">
        <v>0</v>
      </c>
      <c r="AQ78" s="3">
        <v>0</v>
      </c>
      <c r="AR78">
        <v>0</v>
      </c>
      <c r="AS78">
        <v>3</v>
      </c>
      <c r="AT78" s="6" t="s">
        <v>151</v>
      </c>
      <c r="AU78" s="6" t="s">
        <v>150</v>
      </c>
      <c r="AV78" s="6" t="s">
        <v>150</v>
      </c>
      <c r="AW78" s="6" t="s">
        <v>150</v>
      </c>
      <c r="AX78" s="6" t="s">
        <v>150</v>
      </c>
      <c r="AY78" s="6" t="s">
        <v>150</v>
      </c>
      <c r="AZ78" s="6" t="s">
        <v>150</v>
      </c>
      <c r="BA78" s="6" t="s">
        <v>150</v>
      </c>
      <c r="BB78" s="6" t="s">
        <v>150</v>
      </c>
      <c r="BC78" s="6" t="s">
        <v>150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row>
    <row r="79" spans="1:73" ht="15.75" customHeight="1" x14ac:dyDescent="0.2">
      <c r="A79" s="3">
        <f t="shared" si="1"/>
        <v>77</v>
      </c>
      <c r="B79" s="3" t="s">
        <v>1861</v>
      </c>
      <c r="C79" s="3" t="s">
        <v>1861</v>
      </c>
      <c r="D79" s="5" t="s">
        <v>3615</v>
      </c>
      <c r="E79" s="5" t="s">
        <v>3616</v>
      </c>
      <c r="F79" s="3">
        <v>0</v>
      </c>
      <c r="G79" s="3">
        <v>0</v>
      </c>
      <c r="H79" s="3">
        <v>0</v>
      </c>
      <c r="I79" s="3">
        <v>50</v>
      </c>
      <c r="J79" s="3">
        <v>5</v>
      </c>
      <c r="K79" s="3">
        <v>0.95</v>
      </c>
      <c r="L79" s="3">
        <v>0</v>
      </c>
      <c r="M79" s="3">
        <v>10</v>
      </c>
      <c r="N79" s="3">
        <v>3</v>
      </c>
      <c r="O79" s="3">
        <v>5</v>
      </c>
      <c r="P79" s="3">
        <v>0</v>
      </c>
      <c r="Q79" s="3">
        <v>0</v>
      </c>
      <c r="R79" s="3">
        <v>0</v>
      </c>
      <c r="S79" s="3">
        <v>0</v>
      </c>
      <c r="T79" s="3">
        <v>0</v>
      </c>
      <c r="U79" s="3">
        <v>0</v>
      </c>
      <c r="V79" s="3">
        <v>0</v>
      </c>
      <c r="W79" s="3">
        <v>0</v>
      </c>
      <c r="X79" s="3">
        <v>3</v>
      </c>
      <c r="Y79" s="3">
        <v>0</v>
      </c>
      <c r="Z79" s="3">
        <v>5</v>
      </c>
      <c r="AA79" s="3">
        <v>0</v>
      </c>
      <c r="AB79" s="3">
        <v>0</v>
      </c>
      <c r="AC79" s="3">
        <v>0</v>
      </c>
      <c r="AD79" s="3">
        <v>0</v>
      </c>
      <c r="AE79" s="3">
        <v>0</v>
      </c>
      <c r="AF79" s="3">
        <v>0</v>
      </c>
      <c r="AG79" s="3">
        <v>0</v>
      </c>
      <c r="AH79" s="3">
        <v>3</v>
      </c>
      <c r="AI79" s="3">
        <v>0</v>
      </c>
      <c r="AJ79" s="3">
        <v>0</v>
      </c>
      <c r="AK79" s="3">
        <v>0</v>
      </c>
      <c r="AL79" s="3" t="s">
        <v>51</v>
      </c>
      <c r="AM79" s="3" t="s">
        <v>18</v>
      </c>
      <c r="AN79" s="3" t="s">
        <v>1958</v>
      </c>
      <c r="AO79" s="3" t="s">
        <v>50</v>
      </c>
      <c r="AP79" s="3">
        <v>0</v>
      </c>
      <c r="AQ79" s="3">
        <v>0</v>
      </c>
      <c r="AR79">
        <v>0</v>
      </c>
      <c r="AS79">
        <v>3</v>
      </c>
      <c r="AT79" s="6" t="s">
        <v>1863</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row>
    <row r="80" spans="1:73" ht="15.75" customHeight="1" x14ac:dyDescent="0.2">
      <c r="A80" s="3">
        <f t="shared" si="1"/>
        <v>78</v>
      </c>
      <c r="B80" s="3" t="s">
        <v>383</v>
      </c>
      <c r="C80" s="3" t="s">
        <v>2221</v>
      </c>
      <c r="D80" s="5" t="s">
        <v>267</v>
      </c>
      <c r="E80" s="5" t="s">
        <v>265</v>
      </c>
      <c r="F80" s="3">
        <v>0</v>
      </c>
      <c r="G80" s="3">
        <v>0</v>
      </c>
      <c r="H80" s="3">
        <v>0</v>
      </c>
      <c r="I80" s="3">
        <v>50</v>
      </c>
      <c r="J80" s="3">
        <v>10</v>
      </c>
      <c r="K80" s="3">
        <v>0.95</v>
      </c>
      <c r="L80" s="3">
        <v>0</v>
      </c>
      <c r="M80" s="3">
        <v>7</v>
      </c>
      <c r="N80" s="3">
        <v>2</v>
      </c>
      <c r="O80" s="3">
        <v>20</v>
      </c>
      <c r="P80" s="3">
        <v>0</v>
      </c>
      <c r="Q80" s="3">
        <v>0</v>
      </c>
      <c r="R80" s="3">
        <v>0</v>
      </c>
      <c r="S80" s="3">
        <v>0</v>
      </c>
      <c r="T80" s="3">
        <v>0</v>
      </c>
      <c r="U80" s="3">
        <v>0</v>
      </c>
      <c r="V80" s="3">
        <v>0</v>
      </c>
      <c r="W80" s="3">
        <v>0</v>
      </c>
      <c r="X80" s="3">
        <v>4</v>
      </c>
      <c r="Y80" s="3">
        <v>0</v>
      </c>
      <c r="Z80" s="3">
        <v>5</v>
      </c>
      <c r="AA80" s="3">
        <v>0</v>
      </c>
      <c r="AB80" s="3">
        <v>0</v>
      </c>
      <c r="AC80" s="3">
        <v>0</v>
      </c>
      <c r="AD80" s="3">
        <v>0</v>
      </c>
      <c r="AE80" s="3">
        <v>0</v>
      </c>
      <c r="AF80" s="3">
        <v>0</v>
      </c>
      <c r="AG80" s="3">
        <v>0</v>
      </c>
      <c r="AH80" s="3">
        <v>3</v>
      </c>
      <c r="AI80" s="3">
        <v>0</v>
      </c>
      <c r="AJ80" s="3">
        <v>0</v>
      </c>
      <c r="AK80" s="3">
        <v>0</v>
      </c>
      <c r="AL80" s="3" t="s">
        <v>17</v>
      </c>
      <c r="AM80" s="3" t="s">
        <v>18</v>
      </c>
      <c r="AN80" s="3" t="s">
        <v>1958</v>
      </c>
      <c r="AO80" s="3" t="s">
        <v>1850</v>
      </c>
      <c r="AP80" s="3">
        <v>0</v>
      </c>
      <c r="AQ80" s="3">
        <v>0</v>
      </c>
      <c r="AR80">
        <v>0</v>
      </c>
      <c r="AS80">
        <v>6</v>
      </c>
      <c r="AT80" s="6" t="s">
        <v>268</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row>
    <row r="81" spans="1:73" s="9" customFormat="1" ht="15.75" customHeight="1" x14ac:dyDescent="0.2">
      <c r="A81" s="7">
        <f t="shared" si="1"/>
        <v>79</v>
      </c>
      <c r="B81" s="7" t="s">
        <v>83</v>
      </c>
      <c r="C81" s="7" t="s">
        <v>189</v>
      </c>
      <c r="D81" s="8" t="s">
        <v>41</v>
      </c>
      <c r="E81" s="8" t="s">
        <v>310</v>
      </c>
      <c r="F81" s="7">
        <v>0</v>
      </c>
      <c r="G81" s="7">
        <v>0</v>
      </c>
      <c r="H81" s="7">
        <v>0</v>
      </c>
      <c r="I81" s="7">
        <v>0</v>
      </c>
      <c r="J81" s="7">
        <v>50</v>
      </c>
      <c r="K81" s="7">
        <v>0.95</v>
      </c>
      <c r="L81" s="7">
        <v>0</v>
      </c>
      <c r="M81" s="7">
        <v>3</v>
      </c>
      <c r="N81" s="7">
        <v>0</v>
      </c>
      <c r="O81" s="7">
        <v>10</v>
      </c>
      <c r="P81" s="7">
        <v>0</v>
      </c>
      <c r="Q81" s="7">
        <v>0</v>
      </c>
      <c r="R81" s="7">
        <v>0</v>
      </c>
      <c r="S81" s="7">
        <v>0</v>
      </c>
      <c r="T81" s="7">
        <v>0</v>
      </c>
      <c r="U81" s="7">
        <v>0</v>
      </c>
      <c r="V81" s="7">
        <v>0</v>
      </c>
      <c r="W81" s="7">
        <v>0</v>
      </c>
      <c r="X81" s="7">
        <v>0</v>
      </c>
      <c r="Y81" s="7">
        <v>0</v>
      </c>
      <c r="Z81" s="7">
        <v>10</v>
      </c>
      <c r="AA81" s="7">
        <v>0</v>
      </c>
      <c r="AB81" s="7">
        <v>0</v>
      </c>
      <c r="AC81" s="7">
        <v>0</v>
      </c>
      <c r="AD81" s="7">
        <v>0</v>
      </c>
      <c r="AE81" s="7">
        <v>0</v>
      </c>
      <c r="AF81" s="7">
        <v>0</v>
      </c>
      <c r="AG81" s="7">
        <v>0</v>
      </c>
      <c r="AH81" s="7">
        <v>0</v>
      </c>
      <c r="AI81" s="7">
        <v>0</v>
      </c>
      <c r="AJ81" s="7">
        <v>0</v>
      </c>
      <c r="AK81" s="7">
        <v>0</v>
      </c>
      <c r="AL81" s="7" t="s">
        <v>17</v>
      </c>
      <c r="AM81" s="7" t="s">
        <v>23</v>
      </c>
      <c r="AN81" s="7" t="s">
        <v>1959</v>
      </c>
      <c r="AO81" s="7" t="s">
        <v>1850</v>
      </c>
      <c r="AP81" s="7">
        <v>0</v>
      </c>
      <c r="AQ81" s="7">
        <v>0</v>
      </c>
      <c r="AR81" s="9">
        <v>0</v>
      </c>
      <c r="AS81" s="9">
        <v>0</v>
      </c>
      <c r="AT81" s="10" t="s">
        <v>151</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row>
    <row r="82" spans="1:73" ht="15.75" customHeight="1" x14ac:dyDescent="0.2">
      <c r="A82" s="3">
        <f t="shared" si="1"/>
        <v>80</v>
      </c>
      <c r="B82" s="3" t="s">
        <v>54</v>
      </c>
      <c r="C82" s="3" t="s">
        <v>54</v>
      </c>
      <c r="D82" s="5" t="s">
        <v>19</v>
      </c>
      <c r="E82" s="5" t="s">
        <v>124</v>
      </c>
      <c r="F82" s="3">
        <v>0</v>
      </c>
      <c r="G82" s="3">
        <v>0</v>
      </c>
      <c r="H82" s="3">
        <v>0</v>
      </c>
      <c r="I82" s="3">
        <v>50</v>
      </c>
      <c r="J82" s="3">
        <v>8</v>
      </c>
      <c r="K82" s="3">
        <v>0.95</v>
      </c>
      <c r="L82" s="3">
        <v>0</v>
      </c>
      <c r="M82" s="3">
        <v>3</v>
      </c>
      <c r="N82" s="3">
        <v>0</v>
      </c>
      <c r="O82" s="3">
        <v>7</v>
      </c>
      <c r="P82" s="3">
        <v>0</v>
      </c>
      <c r="Q82" s="3">
        <v>0</v>
      </c>
      <c r="R82" s="3">
        <v>0</v>
      </c>
      <c r="S82" s="3">
        <v>0</v>
      </c>
      <c r="T82" s="3">
        <v>0</v>
      </c>
      <c r="U82" s="3">
        <v>0</v>
      </c>
      <c r="V82" s="3">
        <v>0</v>
      </c>
      <c r="W82" s="3">
        <v>0</v>
      </c>
      <c r="X82" s="3">
        <v>3</v>
      </c>
      <c r="Y82" s="3">
        <v>0</v>
      </c>
      <c r="Z82" s="3">
        <v>5</v>
      </c>
      <c r="AA82" s="3">
        <v>0</v>
      </c>
      <c r="AB82" s="3">
        <v>0</v>
      </c>
      <c r="AC82" s="3">
        <v>0</v>
      </c>
      <c r="AD82" s="3">
        <v>0</v>
      </c>
      <c r="AE82" s="3">
        <v>0</v>
      </c>
      <c r="AF82" s="3">
        <v>0</v>
      </c>
      <c r="AG82" s="3">
        <v>0</v>
      </c>
      <c r="AH82" s="3">
        <v>3</v>
      </c>
      <c r="AI82" s="3">
        <v>0</v>
      </c>
      <c r="AJ82" s="3">
        <v>0</v>
      </c>
      <c r="AK82" s="3">
        <v>0</v>
      </c>
      <c r="AL82" s="3" t="s">
        <v>17</v>
      </c>
      <c r="AM82" s="3" t="s">
        <v>18</v>
      </c>
      <c r="AN82" s="3" t="s">
        <v>1960</v>
      </c>
      <c r="AO82" s="3" t="s">
        <v>1850</v>
      </c>
      <c r="AP82" s="3">
        <v>0</v>
      </c>
      <c r="AQ82" s="3">
        <v>0</v>
      </c>
      <c r="AR82">
        <v>0</v>
      </c>
      <c r="AS82">
        <v>4</v>
      </c>
      <c r="AT82" s="6" t="s">
        <v>152</v>
      </c>
      <c r="AU82" s="6" t="s">
        <v>150</v>
      </c>
      <c r="AV82" s="6" t="s">
        <v>150</v>
      </c>
      <c r="AW82" s="6" t="s">
        <v>150</v>
      </c>
      <c r="AX82" s="6" t="s">
        <v>150</v>
      </c>
      <c r="AY82" s="6" t="s">
        <v>150</v>
      </c>
      <c r="AZ82" s="6" t="s">
        <v>150</v>
      </c>
      <c r="BA82" s="6" t="s">
        <v>150</v>
      </c>
      <c r="BB82" s="6" t="s">
        <v>150</v>
      </c>
      <c r="BC82" s="6" t="s">
        <v>150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row>
    <row r="83" spans="1:73" ht="15.75" customHeight="1" x14ac:dyDescent="0.2">
      <c r="A83" s="3">
        <f t="shared" si="1"/>
        <v>81</v>
      </c>
      <c r="B83" s="3" t="s">
        <v>2408</v>
      </c>
      <c r="C83" s="3" t="s">
        <v>2408</v>
      </c>
      <c r="D83" s="5" t="s">
        <v>2407</v>
      </c>
      <c r="E83" s="5" t="s">
        <v>2409</v>
      </c>
      <c r="F83" s="3">
        <v>0</v>
      </c>
      <c r="G83" s="3">
        <v>0</v>
      </c>
      <c r="H83" s="3">
        <v>0</v>
      </c>
      <c r="I83" s="3">
        <v>50</v>
      </c>
      <c r="J83" s="3">
        <v>8</v>
      </c>
      <c r="K83" s="3">
        <v>0.95</v>
      </c>
      <c r="L83" s="3">
        <v>0</v>
      </c>
      <c r="M83" s="3">
        <v>25</v>
      </c>
      <c r="N83" s="3">
        <v>0</v>
      </c>
      <c r="O83" s="3">
        <v>4</v>
      </c>
      <c r="P83" s="3">
        <v>0</v>
      </c>
      <c r="Q83" s="3">
        <v>10</v>
      </c>
      <c r="R83" s="3">
        <v>10</v>
      </c>
      <c r="S83" s="3">
        <v>0</v>
      </c>
      <c r="T83" s="3">
        <v>0</v>
      </c>
      <c r="U83" s="3">
        <v>0</v>
      </c>
      <c r="V83" s="3">
        <v>0</v>
      </c>
      <c r="W83" s="3">
        <v>0</v>
      </c>
      <c r="X83" s="3">
        <v>1</v>
      </c>
      <c r="Y83" s="3">
        <v>0</v>
      </c>
      <c r="Z83" s="3">
        <v>30</v>
      </c>
      <c r="AA83" s="3">
        <v>0</v>
      </c>
      <c r="AB83" s="3">
        <v>0</v>
      </c>
      <c r="AC83" s="3">
        <v>0</v>
      </c>
      <c r="AD83" s="3">
        <v>0</v>
      </c>
      <c r="AE83" s="3">
        <v>0</v>
      </c>
      <c r="AF83" s="3">
        <v>0</v>
      </c>
      <c r="AG83" s="3">
        <v>0</v>
      </c>
      <c r="AH83" s="3">
        <v>3</v>
      </c>
      <c r="AI83" s="3">
        <v>0</v>
      </c>
      <c r="AJ83" s="3">
        <v>0</v>
      </c>
      <c r="AK83" s="3">
        <v>0</v>
      </c>
      <c r="AL83" s="3" t="s">
        <v>17</v>
      </c>
      <c r="AM83" s="3" t="s">
        <v>18</v>
      </c>
      <c r="AN83" s="3" t="s">
        <v>1960</v>
      </c>
      <c r="AO83" s="3" t="s">
        <v>50</v>
      </c>
      <c r="AP83" s="3">
        <v>0</v>
      </c>
      <c r="AQ83" s="3">
        <v>0</v>
      </c>
      <c r="AR83">
        <v>0</v>
      </c>
      <c r="AS83">
        <v>4</v>
      </c>
      <c r="AT83" s="6" t="s">
        <v>2506</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row>
    <row r="84" spans="1:73" s="9" customFormat="1" ht="15.75" customHeight="1" x14ac:dyDescent="0.2">
      <c r="A84" s="7">
        <f t="shared" si="1"/>
        <v>82</v>
      </c>
      <c r="B84" s="7" t="s">
        <v>1304</v>
      </c>
      <c r="C84" s="7" t="s">
        <v>1304</v>
      </c>
      <c r="D84" s="8" t="s">
        <v>1305</v>
      </c>
      <c r="E84" s="8" t="s">
        <v>1306</v>
      </c>
      <c r="F84" s="7">
        <v>0</v>
      </c>
      <c r="G84" s="7">
        <v>0</v>
      </c>
      <c r="H84" s="7">
        <v>0</v>
      </c>
      <c r="I84" s="7">
        <v>50</v>
      </c>
      <c r="J84" s="7">
        <v>8</v>
      </c>
      <c r="K84" s="7">
        <v>0.95</v>
      </c>
      <c r="L84" s="7">
        <v>0</v>
      </c>
      <c r="M84" s="7">
        <v>10</v>
      </c>
      <c r="N84" s="7">
        <v>0</v>
      </c>
      <c r="O84" s="7">
        <v>12</v>
      </c>
      <c r="P84" s="7">
        <v>0</v>
      </c>
      <c r="Q84" s="7">
        <v>0</v>
      </c>
      <c r="R84" s="7">
        <v>0</v>
      </c>
      <c r="S84" s="7">
        <v>0</v>
      </c>
      <c r="T84" s="7">
        <v>0</v>
      </c>
      <c r="U84" s="7">
        <v>0</v>
      </c>
      <c r="V84" s="7">
        <v>0</v>
      </c>
      <c r="W84" s="7">
        <v>0</v>
      </c>
      <c r="X84" s="7">
        <v>1</v>
      </c>
      <c r="Y84" s="7">
        <v>0</v>
      </c>
      <c r="Z84" s="7">
        <v>5</v>
      </c>
      <c r="AA84" s="7">
        <v>0</v>
      </c>
      <c r="AB84" s="7">
        <v>0</v>
      </c>
      <c r="AC84" s="7">
        <v>0</v>
      </c>
      <c r="AD84" s="7">
        <v>0</v>
      </c>
      <c r="AE84" s="7">
        <v>0</v>
      </c>
      <c r="AF84" s="7">
        <v>0</v>
      </c>
      <c r="AG84" s="7">
        <v>0</v>
      </c>
      <c r="AH84" s="7">
        <v>0</v>
      </c>
      <c r="AI84" s="7">
        <v>0</v>
      </c>
      <c r="AJ84" s="7">
        <v>0</v>
      </c>
      <c r="AK84" s="7">
        <v>0</v>
      </c>
      <c r="AL84" s="7" t="s">
        <v>17</v>
      </c>
      <c r="AM84" s="7" t="s">
        <v>18</v>
      </c>
      <c r="AN84" s="7" t="s">
        <v>1960</v>
      </c>
      <c r="AO84" s="7" t="s">
        <v>1850</v>
      </c>
      <c r="AP84" s="7">
        <v>0</v>
      </c>
      <c r="AQ84" s="7">
        <v>0</v>
      </c>
      <c r="AR84" s="9">
        <v>0</v>
      </c>
      <c r="AS84" s="9">
        <v>4</v>
      </c>
      <c r="AT84" s="10" t="s">
        <v>50</v>
      </c>
      <c r="AU84" s="10" t="s">
        <v>50</v>
      </c>
      <c r="AV84" s="10" t="s">
        <v>50</v>
      </c>
      <c r="AW84" s="10" t="s">
        <v>50</v>
      </c>
      <c r="AX84" s="10" t="s">
        <v>50</v>
      </c>
      <c r="AY84" s="10" t="s">
        <v>50</v>
      </c>
      <c r="AZ84" s="10" t="s">
        <v>50</v>
      </c>
      <c r="BA84" s="10" t="s">
        <v>50</v>
      </c>
      <c r="BB84" s="10" t="s">
        <v>50</v>
      </c>
      <c r="BC84" s="10" t="s">
        <v>50</v>
      </c>
      <c r="BD84" s="10" t="s">
        <v>1310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row>
    <row r="85" spans="1:73" ht="15.75" customHeight="1" x14ac:dyDescent="0.2">
      <c r="A85" s="3">
        <f t="shared" si="1"/>
        <v>83</v>
      </c>
      <c r="B85" s="3" t="s">
        <v>2424</v>
      </c>
      <c r="C85" s="3" t="s">
        <v>2424</v>
      </c>
      <c r="D85" s="5" t="s">
        <v>2425</v>
      </c>
      <c r="E85" s="5" t="s">
        <v>2429</v>
      </c>
      <c r="F85" s="3">
        <v>0</v>
      </c>
      <c r="G85" s="3">
        <v>0</v>
      </c>
      <c r="H85" s="3">
        <v>0</v>
      </c>
      <c r="I85" s="3">
        <v>50</v>
      </c>
      <c r="J85" s="3">
        <v>8</v>
      </c>
      <c r="K85" s="3">
        <v>0.95</v>
      </c>
      <c r="L85" s="3">
        <v>0</v>
      </c>
      <c r="M85" s="3">
        <v>12</v>
      </c>
      <c r="N85" s="3">
        <v>0</v>
      </c>
      <c r="O85" s="3">
        <v>5</v>
      </c>
      <c r="P85" s="3">
        <v>0</v>
      </c>
      <c r="Q85" s="3">
        <v>0</v>
      </c>
      <c r="R85" s="3">
        <v>0</v>
      </c>
      <c r="S85" s="3">
        <v>0</v>
      </c>
      <c r="T85" s="3">
        <v>0</v>
      </c>
      <c r="U85" s="3">
        <v>0</v>
      </c>
      <c r="V85" s="3">
        <v>0</v>
      </c>
      <c r="W85" s="3">
        <v>0</v>
      </c>
      <c r="X85" s="3">
        <v>5</v>
      </c>
      <c r="Y85" s="3">
        <v>0</v>
      </c>
      <c r="Z85" s="3">
        <v>5</v>
      </c>
      <c r="AA85" s="3">
        <v>6</v>
      </c>
      <c r="AB85" s="3">
        <v>0</v>
      </c>
      <c r="AC85" s="3">
        <v>0</v>
      </c>
      <c r="AD85" s="3">
        <v>0</v>
      </c>
      <c r="AE85" s="3">
        <v>5</v>
      </c>
      <c r="AF85" s="3">
        <v>0</v>
      </c>
      <c r="AG85" s="3">
        <v>5</v>
      </c>
      <c r="AH85" s="3">
        <v>3</v>
      </c>
      <c r="AI85" s="3">
        <v>0</v>
      </c>
      <c r="AJ85" s="3">
        <v>0</v>
      </c>
      <c r="AK85" s="3">
        <v>0</v>
      </c>
      <c r="AL85" s="3" t="s">
        <v>17</v>
      </c>
      <c r="AM85" s="3" t="s">
        <v>18</v>
      </c>
      <c r="AN85" s="3" t="s">
        <v>1960</v>
      </c>
      <c r="AO85" s="3" t="s">
        <v>50</v>
      </c>
      <c r="AP85" s="3">
        <v>0</v>
      </c>
      <c r="AQ85" s="3">
        <v>0</v>
      </c>
      <c r="AR85">
        <v>0</v>
      </c>
      <c r="AS85">
        <v>4</v>
      </c>
      <c r="AT85" s="6" t="s">
        <v>2507</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row>
    <row r="86" spans="1:73" ht="15.75" customHeight="1" x14ac:dyDescent="0.2">
      <c r="A86" s="3">
        <f t="shared" si="1"/>
        <v>84</v>
      </c>
      <c r="B86" s="3" t="s">
        <v>2167</v>
      </c>
      <c r="C86" s="3" t="s">
        <v>636</v>
      </c>
      <c r="D86" s="5" t="s">
        <v>20</v>
      </c>
      <c r="E86" s="5" t="s">
        <v>136</v>
      </c>
      <c r="F86" s="3">
        <v>0</v>
      </c>
      <c r="G86" s="3">
        <v>0</v>
      </c>
      <c r="H86" s="3">
        <v>0</v>
      </c>
      <c r="I86" s="3">
        <v>50</v>
      </c>
      <c r="J86" s="3">
        <v>10</v>
      </c>
      <c r="K86" s="3">
        <v>0.95</v>
      </c>
      <c r="L86" s="3">
        <v>0</v>
      </c>
      <c r="M86" s="3">
        <v>5</v>
      </c>
      <c r="N86" s="3">
        <v>0</v>
      </c>
      <c r="O86" s="3">
        <v>5</v>
      </c>
      <c r="P86" s="3">
        <v>0</v>
      </c>
      <c r="Q86" s="3">
        <v>0</v>
      </c>
      <c r="R86" s="3">
        <v>0</v>
      </c>
      <c r="S86" s="3">
        <v>0</v>
      </c>
      <c r="T86" s="3">
        <v>0</v>
      </c>
      <c r="U86" s="3">
        <v>0</v>
      </c>
      <c r="V86" s="3">
        <v>0</v>
      </c>
      <c r="W86" s="3">
        <v>0</v>
      </c>
      <c r="X86" s="3">
        <v>2</v>
      </c>
      <c r="Y86" s="3">
        <v>0</v>
      </c>
      <c r="Z86" s="3">
        <v>5</v>
      </c>
      <c r="AA86" s="3">
        <v>0</v>
      </c>
      <c r="AB86" s="3">
        <v>0</v>
      </c>
      <c r="AC86" s="3">
        <v>0</v>
      </c>
      <c r="AD86" s="3">
        <v>0</v>
      </c>
      <c r="AE86" s="3">
        <v>2</v>
      </c>
      <c r="AF86" s="3">
        <v>1</v>
      </c>
      <c r="AG86" s="3">
        <v>3</v>
      </c>
      <c r="AH86" s="3">
        <v>3</v>
      </c>
      <c r="AI86" s="3">
        <v>0</v>
      </c>
      <c r="AJ86" s="3">
        <v>0</v>
      </c>
      <c r="AK86" s="3">
        <v>0</v>
      </c>
      <c r="AL86" s="3" t="s">
        <v>17</v>
      </c>
      <c r="AM86" t="s">
        <v>1034</v>
      </c>
      <c r="AN86" s="6" t="s">
        <v>1961</v>
      </c>
      <c r="AO86" s="3" t="s">
        <v>1850</v>
      </c>
      <c r="AP86" s="3">
        <v>0</v>
      </c>
      <c r="AQ86" s="3">
        <v>0</v>
      </c>
      <c r="AR86">
        <v>0</v>
      </c>
      <c r="AS86">
        <v>6</v>
      </c>
      <c r="AT86" s="6" t="s">
        <v>153</v>
      </c>
      <c r="AU86" s="6" t="s">
        <v>150</v>
      </c>
      <c r="AV86" s="6" t="s">
        <v>150</v>
      </c>
      <c r="AW86" s="6" t="s">
        <v>150</v>
      </c>
      <c r="AX86" s="6" t="s">
        <v>150</v>
      </c>
      <c r="AY86" s="6" t="s">
        <v>150</v>
      </c>
      <c r="AZ86" s="6" t="s">
        <v>150</v>
      </c>
      <c r="BA86" s="6" t="s">
        <v>150</v>
      </c>
      <c r="BB86" s="6" t="s">
        <v>150</v>
      </c>
      <c r="BC86" s="6" t="s">
        <v>150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row>
    <row r="87" spans="1:73" ht="15.75" customHeight="1" x14ac:dyDescent="0.2">
      <c r="A87" s="3">
        <f t="shared" si="1"/>
        <v>85</v>
      </c>
      <c r="B87" s="3" t="s">
        <v>1007</v>
      </c>
      <c r="C87" s="3" t="s">
        <v>1007</v>
      </c>
      <c r="D87" s="5" t="s">
        <v>1006</v>
      </c>
      <c r="E87" s="5" t="s">
        <v>1008</v>
      </c>
      <c r="F87" s="3">
        <v>0</v>
      </c>
      <c r="G87" s="3">
        <v>0</v>
      </c>
      <c r="H87" s="3">
        <v>0</v>
      </c>
      <c r="I87" s="3">
        <v>50</v>
      </c>
      <c r="J87" s="3">
        <v>10</v>
      </c>
      <c r="K87" s="3">
        <v>0.95</v>
      </c>
      <c r="L87" s="3">
        <v>0</v>
      </c>
      <c r="M87" s="3">
        <v>5</v>
      </c>
      <c r="N87" s="3">
        <v>0</v>
      </c>
      <c r="O87" s="3">
        <v>15</v>
      </c>
      <c r="P87" s="3">
        <v>0</v>
      </c>
      <c r="Q87" s="3">
        <v>0</v>
      </c>
      <c r="R87" s="3">
        <v>0</v>
      </c>
      <c r="S87" s="3">
        <v>0</v>
      </c>
      <c r="T87" s="3">
        <v>0</v>
      </c>
      <c r="U87" s="3">
        <v>0</v>
      </c>
      <c r="V87" s="3">
        <v>0</v>
      </c>
      <c r="W87" s="3">
        <v>0</v>
      </c>
      <c r="X87" s="3">
        <v>2</v>
      </c>
      <c r="Y87" s="3">
        <v>0</v>
      </c>
      <c r="Z87" s="3">
        <v>5</v>
      </c>
      <c r="AA87" s="3">
        <v>0</v>
      </c>
      <c r="AB87" s="3">
        <v>0</v>
      </c>
      <c r="AC87" s="3">
        <v>3</v>
      </c>
      <c r="AD87" s="3">
        <v>0</v>
      </c>
      <c r="AE87" s="3">
        <v>2</v>
      </c>
      <c r="AF87" s="3">
        <v>1</v>
      </c>
      <c r="AG87" s="3">
        <v>3</v>
      </c>
      <c r="AH87" s="3">
        <v>3</v>
      </c>
      <c r="AI87" s="3">
        <v>0</v>
      </c>
      <c r="AJ87" s="3">
        <v>0</v>
      </c>
      <c r="AK87" s="3">
        <v>0</v>
      </c>
      <c r="AL87" s="3" t="s">
        <v>17</v>
      </c>
      <c r="AM87" t="s">
        <v>1034</v>
      </c>
      <c r="AN87" s="6" t="s">
        <v>1962</v>
      </c>
      <c r="AO87" s="3" t="s">
        <v>1850</v>
      </c>
      <c r="AP87" s="3">
        <v>0</v>
      </c>
      <c r="AQ87" s="3">
        <v>0</v>
      </c>
      <c r="AR87">
        <v>0</v>
      </c>
      <c r="AS87">
        <v>6</v>
      </c>
      <c r="AT87" s="6" t="s">
        <v>1013</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row>
    <row r="88" spans="1:73" ht="15.75" customHeight="1" x14ac:dyDescent="0.2">
      <c r="A88" s="3">
        <f t="shared" si="1"/>
        <v>86</v>
      </c>
      <c r="B88" s="3" t="s">
        <v>2547</v>
      </c>
      <c r="C88" s="3" t="s">
        <v>1855</v>
      </c>
      <c r="D88" s="5" t="s">
        <v>1854</v>
      </c>
      <c r="E88" s="5" t="s">
        <v>2548</v>
      </c>
      <c r="F88" s="3">
        <v>0</v>
      </c>
      <c r="G88" s="3">
        <v>0</v>
      </c>
      <c r="H88" s="3">
        <v>0</v>
      </c>
      <c r="I88" s="3">
        <v>50</v>
      </c>
      <c r="J88" s="3">
        <v>10</v>
      </c>
      <c r="K88" s="3">
        <v>0.95</v>
      </c>
      <c r="L88" s="3">
        <v>0</v>
      </c>
      <c r="M88" s="3">
        <v>7</v>
      </c>
      <c r="N88" s="3">
        <v>5</v>
      </c>
      <c r="O88" s="3">
        <v>22</v>
      </c>
      <c r="P88" s="3">
        <v>0</v>
      </c>
      <c r="Q88" s="3">
        <v>0</v>
      </c>
      <c r="R88" s="3">
        <v>0</v>
      </c>
      <c r="S88" s="3">
        <v>0</v>
      </c>
      <c r="T88" s="3">
        <v>0</v>
      </c>
      <c r="U88" s="3">
        <v>0</v>
      </c>
      <c r="V88" s="3">
        <v>0</v>
      </c>
      <c r="W88" s="3">
        <v>0</v>
      </c>
      <c r="X88" s="3">
        <v>2</v>
      </c>
      <c r="Y88" s="3">
        <v>0</v>
      </c>
      <c r="Z88" s="3">
        <v>30</v>
      </c>
      <c r="AA88" s="3">
        <v>0</v>
      </c>
      <c r="AB88" s="3">
        <v>0</v>
      </c>
      <c r="AC88" s="3">
        <v>3</v>
      </c>
      <c r="AD88" s="3">
        <v>0</v>
      </c>
      <c r="AE88" s="3">
        <v>2</v>
      </c>
      <c r="AF88" s="3">
        <v>3</v>
      </c>
      <c r="AG88" s="3">
        <v>8</v>
      </c>
      <c r="AH88" s="3">
        <v>3</v>
      </c>
      <c r="AI88" s="3">
        <v>0</v>
      </c>
      <c r="AJ88" s="3">
        <v>0</v>
      </c>
      <c r="AK88" s="3">
        <v>0</v>
      </c>
      <c r="AL88" s="3" t="s">
        <v>17</v>
      </c>
      <c r="AM88" s="6" t="s">
        <v>1034</v>
      </c>
      <c r="AN88" s="6" t="s">
        <v>1962</v>
      </c>
      <c r="AO88" s="3" t="s">
        <v>50</v>
      </c>
      <c r="AP88" s="3">
        <v>0</v>
      </c>
      <c r="AQ88" s="3">
        <v>0</v>
      </c>
      <c r="AR88">
        <v>0</v>
      </c>
      <c r="AS88">
        <v>10</v>
      </c>
      <c r="AT88" s="6" t="s">
        <v>1856</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c r="BP88" s="6" t="s">
        <v>50</v>
      </c>
      <c r="BQ88">
        <v>0</v>
      </c>
      <c r="BR88" s="6" t="s">
        <v>50</v>
      </c>
      <c r="BS88">
        <v>0</v>
      </c>
      <c r="BT88" s="6" t="s">
        <v>50</v>
      </c>
      <c r="BU88">
        <v>0</v>
      </c>
    </row>
    <row r="89" spans="1:73" ht="15.75" customHeight="1" x14ac:dyDescent="0.2">
      <c r="A89" s="3">
        <f t="shared" si="1"/>
        <v>87</v>
      </c>
      <c r="B89" s="3" t="s">
        <v>1899</v>
      </c>
      <c r="C89" s="3" t="s">
        <v>1899</v>
      </c>
      <c r="D89" s="5" t="s">
        <v>1900</v>
      </c>
      <c r="E89" s="5" t="s">
        <v>1901</v>
      </c>
      <c r="F89" s="3">
        <v>0</v>
      </c>
      <c r="G89" s="3">
        <v>0</v>
      </c>
      <c r="H89" s="3">
        <v>0</v>
      </c>
      <c r="I89" s="3">
        <v>50</v>
      </c>
      <c r="J89" s="3">
        <v>10</v>
      </c>
      <c r="K89" s="3">
        <v>0.95</v>
      </c>
      <c r="L89" s="3">
        <v>0</v>
      </c>
      <c r="M89" s="3">
        <v>20</v>
      </c>
      <c r="N89" s="3">
        <v>7</v>
      </c>
      <c r="O89" s="3">
        <v>20</v>
      </c>
      <c r="P89" s="3">
        <v>0</v>
      </c>
      <c r="Q89" s="3">
        <v>0</v>
      </c>
      <c r="R89" s="3">
        <v>0</v>
      </c>
      <c r="S89" s="3">
        <v>0</v>
      </c>
      <c r="T89" s="3">
        <v>0</v>
      </c>
      <c r="U89" s="3">
        <v>0</v>
      </c>
      <c r="V89" s="3">
        <v>0</v>
      </c>
      <c r="W89" s="3">
        <v>0</v>
      </c>
      <c r="X89" s="3">
        <v>2</v>
      </c>
      <c r="Y89" s="3">
        <v>0</v>
      </c>
      <c r="Z89" s="3">
        <v>30</v>
      </c>
      <c r="AA89" s="3">
        <v>0</v>
      </c>
      <c r="AB89" s="3">
        <v>0</v>
      </c>
      <c r="AC89" s="3">
        <v>0</v>
      </c>
      <c r="AD89" s="3">
        <v>0</v>
      </c>
      <c r="AE89" s="3">
        <v>0</v>
      </c>
      <c r="AF89" s="3">
        <v>0</v>
      </c>
      <c r="AG89" s="3">
        <v>8</v>
      </c>
      <c r="AH89" s="3">
        <v>3</v>
      </c>
      <c r="AI89" s="3">
        <v>0</v>
      </c>
      <c r="AJ89" s="3">
        <v>0</v>
      </c>
      <c r="AK89" s="3">
        <v>0</v>
      </c>
      <c r="AL89" s="3" t="s">
        <v>17</v>
      </c>
      <c r="AM89" t="s">
        <v>1034</v>
      </c>
      <c r="AN89" s="6" t="s">
        <v>1963</v>
      </c>
      <c r="AO89" s="3" t="s">
        <v>50</v>
      </c>
      <c r="AP89" s="3">
        <v>0</v>
      </c>
      <c r="AQ89" s="3">
        <v>0</v>
      </c>
      <c r="AR89">
        <v>0</v>
      </c>
      <c r="AS89">
        <v>10</v>
      </c>
      <c r="AT89" s="6" t="s">
        <v>1902</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3</v>
      </c>
      <c r="BL89">
        <v>0</v>
      </c>
      <c r="BM89">
        <v>0</v>
      </c>
      <c r="BN89">
        <v>0</v>
      </c>
      <c r="BO89">
        <v>0</v>
      </c>
      <c r="BP89" s="6" t="s">
        <v>50</v>
      </c>
      <c r="BQ89">
        <v>0</v>
      </c>
      <c r="BR89" s="6" t="s">
        <v>50</v>
      </c>
      <c r="BS89">
        <v>0</v>
      </c>
      <c r="BT89" s="6" t="s">
        <v>50</v>
      </c>
      <c r="BU89">
        <v>0</v>
      </c>
    </row>
    <row r="90" spans="1:73" ht="15.75" customHeight="1" x14ac:dyDescent="0.2">
      <c r="A90" s="3">
        <f t="shared" si="1"/>
        <v>88</v>
      </c>
      <c r="B90" s="3" t="s">
        <v>1012</v>
      </c>
      <c r="C90" s="3" t="s">
        <v>1012</v>
      </c>
      <c r="D90" s="5" t="s">
        <v>1010</v>
      </c>
      <c r="E90" s="5" t="s">
        <v>1011</v>
      </c>
      <c r="F90" s="3">
        <v>0</v>
      </c>
      <c r="G90" s="3">
        <v>0</v>
      </c>
      <c r="H90" s="3">
        <v>0</v>
      </c>
      <c r="I90" s="3">
        <v>50</v>
      </c>
      <c r="J90" s="3">
        <v>10</v>
      </c>
      <c r="K90" s="3">
        <v>0.95</v>
      </c>
      <c r="L90" s="3">
        <v>0</v>
      </c>
      <c r="M90" s="3">
        <v>7</v>
      </c>
      <c r="N90" s="3">
        <v>5</v>
      </c>
      <c r="O90" s="3">
        <v>12</v>
      </c>
      <c r="P90" s="3">
        <v>0</v>
      </c>
      <c r="Q90" s="3">
        <v>0</v>
      </c>
      <c r="R90" s="3">
        <v>0</v>
      </c>
      <c r="S90" s="3">
        <v>0</v>
      </c>
      <c r="T90" s="3">
        <v>0</v>
      </c>
      <c r="U90" s="3">
        <v>0</v>
      </c>
      <c r="V90" s="3">
        <v>0</v>
      </c>
      <c r="W90" s="3">
        <v>0</v>
      </c>
      <c r="X90" s="3">
        <v>2</v>
      </c>
      <c r="Y90" s="3">
        <v>0</v>
      </c>
      <c r="Z90" s="3">
        <v>5</v>
      </c>
      <c r="AA90" s="3">
        <v>0</v>
      </c>
      <c r="AB90" s="3">
        <v>0</v>
      </c>
      <c r="AC90" s="3">
        <v>0</v>
      </c>
      <c r="AD90" s="3">
        <v>0</v>
      </c>
      <c r="AE90" s="3">
        <v>5</v>
      </c>
      <c r="AF90" s="3">
        <v>0</v>
      </c>
      <c r="AG90" s="3">
        <v>0</v>
      </c>
      <c r="AH90" s="3">
        <v>3</v>
      </c>
      <c r="AI90" s="3">
        <v>0</v>
      </c>
      <c r="AJ90" s="3">
        <v>0</v>
      </c>
      <c r="AK90" s="3">
        <v>0</v>
      </c>
      <c r="AL90" s="3" t="s">
        <v>17</v>
      </c>
      <c r="AM90" s="6" t="s">
        <v>1034</v>
      </c>
      <c r="AN90" s="6" t="s">
        <v>1964</v>
      </c>
      <c r="AO90" s="3" t="s">
        <v>1850</v>
      </c>
      <c r="AP90" s="3">
        <v>0</v>
      </c>
      <c r="AQ90" s="3">
        <v>0</v>
      </c>
      <c r="AR90">
        <v>0</v>
      </c>
      <c r="AS90">
        <v>6</v>
      </c>
      <c r="AT90" s="6" t="s">
        <v>1014</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row>
    <row r="91" spans="1:73" ht="15.75" customHeight="1" x14ac:dyDescent="0.2">
      <c r="A91" s="3">
        <f t="shared" si="1"/>
        <v>89</v>
      </c>
      <c r="B91" s="3" t="s">
        <v>1017</v>
      </c>
      <c r="C91" s="3" t="s">
        <v>1017</v>
      </c>
      <c r="D91" s="5" t="s">
        <v>1015</v>
      </c>
      <c r="E91" s="5" t="s">
        <v>1016</v>
      </c>
      <c r="F91" s="3">
        <v>0</v>
      </c>
      <c r="G91" s="3">
        <v>0</v>
      </c>
      <c r="H91" s="3">
        <v>0</v>
      </c>
      <c r="I91" s="3">
        <v>50</v>
      </c>
      <c r="J91" s="3">
        <v>10</v>
      </c>
      <c r="K91" s="3">
        <v>0.95</v>
      </c>
      <c r="L91" s="3">
        <v>0</v>
      </c>
      <c r="M91" s="3">
        <v>7</v>
      </c>
      <c r="N91" s="3">
        <v>5</v>
      </c>
      <c r="O91" s="3">
        <v>22</v>
      </c>
      <c r="P91" s="3">
        <v>0</v>
      </c>
      <c r="Q91" s="3">
        <v>0</v>
      </c>
      <c r="R91" s="3">
        <v>0</v>
      </c>
      <c r="S91" s="3">
        <v>0</v>
      </c>
      <c r="T91" s="3">
        <v>0</v>
      </c>
      <c r="U91" s="3">
        <v>0</v>
      </c>
      <c r="V91" s="3">
        <v>0</v>
      </c>
      <c r="W91" s="3">
        <v>0</v>
      </c>
      <c r="X91" s="3">
        <v>2</v>
      </c>
      <c r="Y91" s="3">
        <v>0</v>
      </c>
      <c r="Z91" s="3">
        <v>30</v>
      </c>
      <c r="AA91" s="3">
        <v>0</v>
      </c>
      <c r="AB91" s="3">
        <v>0</v>
      </c>
      <c r="AC91" s="3">
        <v>0</v>
      </c>
      <c r="AD91" s="3">
        <v>0</v>
      </c>
      <c r="AE91" s="3">
        <v>10</v>
      </c>
      <c r="AF91" s="3">
        <v>0</v>
      </c>
      <c r="AG91" s="3">
        <v>0</v>
      </c>
      <c r="AH91" s="3">
        <v>3</v>
      </c>
      <c r="AI91" s="3">
        <v>0</v>
      </c>
      <c r="AJ91" s="3">
        <v>0</v>
      </c>
      <c r="AK91" s="3">
        <v>0</v>
      </c>
      <c r="AL91" s="3" t="s">
        <v>17</v>
      </c>
      <c r="AM91" t="s">
        <v>1034</v>
      </c>
      <c r="AN91" s="6" t="s">
        <v>1965</v>
      </c>
      <c r="AO91" s="3" t="s">
        <v>1850</v>
      </c>
      <c r="AP91" s="3">
        <v>0</v>
      </c>
      <c r="AQ91" s="3">
        <v>0</v>
      </c>
      <c r="AR91">
        <v>0</v>
      </c>
      <c r="AS91">
        <v>10</v>
      </c>
      <c r="AT91" s="6" t="s">
        <v>1021</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row>
    <row r="92" spans="1:73" ht="15.75" customHeight="1" x14ac:dyDescent="0.2">
      <c r="A92" s="3">
        <f t="shared" si="1"/>
        <v>90</v>
      </c>
      <c r="B92" s="3" t="s">
        <v>1019</v>
      </c>
      <c r="C92" s="3" t="s">
        <v>1019</v>
      </c>
      <c r="D92" s="5" t="s">
        <v>1018</v>
      </c>
      <c r="E92" s="5" t="s">
        <v>1020</v>
      </c>
      <c r="F92" s="3">
        <v>0</v>
      </c>
      <c r="G92" s="3">
        <v>0</v>
      </c>
      <c r="H92" s="3">
        <v>0</v>
      </c>
      <c r="I92" s="3">
        <v>50</v>
      </c>
      <c r="J92" s="3">
        <v>10</v>
      </c>
      <c r="K92" s="3">
        <v>0.95</v>
      </c>
      <c r="L92" s="3">
        <v>0</v>
      </c>
      <c r="M92" s="3">
        <v>3</v>
      </c>
      <c r="N92" s="3">
        <v>20</v>
      </c>
      <c r="O92" s="3">
        <v>20</v>
      </c>
      <c r="P92" s="3">
        <v>0</v>
      </c>
      <c r="Q92" s="3">
        <v>0</v>
      </c>
      <c r="R92" s="3">
        <v>0</v>
      </c>
      <c r="S92" s="3">
        <v>0</v>
      </c>
      <c r="T92" s="3">
        <v>0</v>
      </c>
      <c r="U92" s="3">
        <v>0</v>
      </c>
      <c r="V92" s="3">
        <v>0</v>
      </c>
      <c r="W92" s="3">
        <v>0</v>
      </c>
      <c r="X92" s="3">
        <v>2</v>
      </c>
      <c r="Y92" s="3">
        <v>0</v>
      </c>
      <c r="Z92" s="3">
        <v>1</v>
      </c>
      <c r="AA92" s="3">
        <v>0</v>
      </c>
      <c r="AB92" s="3">
        <v>0</v>
      </c>
      <c r="AC92" s="3">
        <v>0</v>
      </c>
      <c r="AD92" s="3">
        <v>0</v>
      </c>
      <c r="AE92" s="3">
        <v>10</v>
      </c>
      <c r="AF92" s="3">
        <v>0</v>
      </c>
      <c r="AG92" s="3">
        <v>0</v>
      </c>
      <c r="AH92" s="3">
        <v>3</v>
      </c>
      <c r="AI92" s="3">
        <v>0</v>
      </c>
      <c r="AJ92" s="3">
        <v>0</v>
      </c>
      <c r="AK92" s="3">
        <v>0</v>
      </c>
      <c r="AL92" s="3" t="s">
        <v>17</v>
      </c>
      <c r="AM92" t="s">
        <v>1034</v>
      </c>
      <c r="AN92" s="6" t="s">
        <v>1966</v>
      </c>
      <c r="AO92" s="3" t="s">
        <v>1850</v>
      </c>
      <c r="AP92" s="3">
        <v>0</v>
      </c>
      <c r="AQ92" s="3">
        <v>0</v>
      </c>
      <c r="AR92">
        <v>0</v>
      </c>
      <c r="AS92">
        <v>6</v>
      </c>
      <c r="AT92" s="6" t="s">
        <v>1022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row>
    <row r="93" spans="1:73" ht="15.75" customHeight="1" x14ac:dyDescent="0.2">
      <c r="A93" s="3">
        <f t="shared" si="1"/>
        <v>91</v>
      </c>
      <c r="B93" s="3" t="s">
        <v>22</v>
      </c>
      <c r="C93" s="3" t="s">
        <v>154</v>
      </c>
      <c r="D93" s="5" t="s">
        <v>319</v>
      </c>
      <c r="E93" s="5" t="s">
        <v>1009</v>
      </c>
      <c r="F93" s="3">
        <v>0</v>
      </c>
      <c r="G93" s="3">
        <v>0</v>
      </c>
      <c r="H93" s="3">
        <v>0</v>
      </c>
      <c r="I93" s="3">
        <v>50</v>
      </c>
      <c r="J93" s="3">
        <v>15</v>
      </c>
      <c r="K93" s="3">
        <v>0.95</v>
      </c>
      <c r="L93" s="3">
        <v>0</v>
      </c>
      <c r="M93" s="3">
        <v>7</v>
      </c>
      <c r="N93" s="3">
        <v>0</v>
      </c>
      <c r="O93" s="3">
        <v>5</v>
      </c>
      <c r="P93" s="3">
        <v>0</v>
      </c>
      <c r="Q93" s="3">
        <v>0</v>
      </c>
      <c r="R93" s="3">
        <v>0</v>
      </c>
      <c r="S93" s="3">
        <v>0</v>
      </c>
      <c r="T93" s="3">
        <v>0</v>
      </c>
      <c r="U93" s="3">
        <v>0</v>
      </c>
      <c r="V93" s="3">
        <v>0</v>
      </c>
      <c r="W93" s="3">
        <v>0</v>
      </c>
      <c r="X93" s="3">
        <v>3</v>
      </c>
      <c r="Y93" s="3">
        <v>0</v>
      </c>
      <c r="Z93" s="3">
        <v>5</v>
      </c>
      <c r="AA93" s="3">
        <v>0</v>
      </c>
      <c r="AB93" s="3">
        <v>0</v>
      </c>
      <c r="AC93" s="3">
        <v>3</v>
      </c>
      <c r="AD93" s="3">
        <v>0</v>
      </c>
      <c r="AE93" s="3">
        <v>0</v>
      </c>
      <c r="AF93" s="3">
        <v>5</v>
      </c>
      <c r="AG93" s="3">
        <v>3</v>
      </c>
      <c r="AH93" s="3">
        <v>3</v>
      </c>
      <c r="AI93" s="3">
        <v>0</v>
      </c>
      <c r="AJ93" s="3">
        <v>0</v>
      </c>
      <c r="AK93" s="3">
        <v>0</v>
      </c>
      <c r="AL93" s="3" t="s">
        <v>17</v>
      </c>
      <c r="AM93" t="s">
        <v>1034</v>
      </c>
      <c r="AN93" s="6" t="s">
        <v>1967</v>
      </c>
      <c r="AO93" s="3" t="s">
        <v>1850</v>
      </c>
      <c r="AP93" s="3">
        <v>0</v>
      </c>
      <c r="AQ93" s="3">
        <v>0</v>
      </c>
      <c r="AR93">
        <v>0</v>
      </c>
      <c r="AS93">
        <v>5</v>
      </c>
      <c r="AT93" s="6" t="s">
        <v>155</v>
      </c>
      <c r="AU93" s="6" t="s">
        <v>150</v>
      </c>
      <c r="AV93" s="6" t="s">
        <v>150</v>
      </c>
      <c r="AW93" s="6" t="s">
        <v>150</v>
      </c>
      <c r="AX93" s="6" t="s">
        <v>150</v>
      </c>
      <c r="AY93" s="6" t="s">
        <v>150</v>
      </c>
      <c r="AZ93" s="6" t="s">
        <v>150</v>
      </c>
      <c r="BA93" s="6" t="s">
        <v>150</v>
      </c>
      <c r="BB93" s="6" t="s">
        <v>150</v>
      </c>
      <c r="BC93" s="6" t="s">
        <v>150</v>
      </c>
      <c r="BD93" s="6" t="s">
        <v>50</v>
      </c>
      <c r="BE93" s="6" t="s">
        <v>50</v>
      </c>
      <c r="BF93" s="6" t="s">
        <v>50</v>
      </c>
      <c r="BG93" s="6" t="s">
        <v>50</v>
      </c>
      <c r="BH93" s="6" t="s">
        <v>50</v>
      </c>
      <c r="BI93">
        <v>1</v>
      </c>
      <c r="BJ93">
        <v>0</v>
      </c>
      <c r="BK93">
        <v>1</v>
      </c>
      <c r="BL93">
        <v>0</v>
      </c>
      <c r="BM93">
        <v>0</v>
      </c>
      <c r="BN93">
        <v>0</v>
      </c>
      <c r="BO93">
        <v>0</v>
      </c>
      <c r="BP93" s="6" t="s">
        <v>50</v>
      </c>
      <c r="BQ93">
        <v>0</v>
      </c>
      <c r="BR93" s="6" t="s">
        <v>50</v>
      </c>
      <c r="BS93">
        <v>0</v>
      </c>
      <c r="BT93" s="6" t="s">
        <v>50</v>
      </c>
      <c r="BU93">
        <v>0</v>
      </c>
    </row>
    <row r="94" spans="1:73" ht="15.75" customHeight="1" x14ac:dyDescent="0.2">
      <c r="A94" s="3">
        <f t="shared" si="1"/>
        <v>92</v>
      </c>
      <c r="B94" s="3" t="s">
        <v>2551</v>
      </c>
      <c r="C94" s="3" t="s">
        <v>2033</v>
      </c>
      <c r="D94" s="5" t="s">
        <v>2377</v>
      </c>
      <c r="E94" s="5" t="s">
        <v>2549</v>
      </c>
      <c r="F94" s="3">
        <v>0</v>
      </c>
      <c r="G94" s="3">
        <v>0</v>
      </c>
      <c r="H94" s="3">
        <v>0</v>
      </c>
      <c r="I94" s="3">
        <v>50</v>
      </c>
      <c r="J94" s="3">
        <v>15</v>
      </c>
      <c r="K94" s="3">
        <v>0.95</v>
      </c>
      <c r="L94" s="3">
        <v>0</v>
      </c>
      <c r="M94" s="3">
        <v>7</v>
      </c>
      <c r="N94" s="3">
        <v>0</v>
      </c>
      <c r="O94" s="3">
        <v>17</v>
      </c>
      <c r="P94" s="3">
        <v>0</v>
      </c>
      <c r="Q94" s="3">
        <v>0</v>
      </c>
      <c r="R94" s="3">
        <v>0</v>
      </c>
      <c r="S94" s="3">
        <v>0</v>
      </c>
      <c r="T94" s="3">
        <v>0</v>
      </c>
      <c r="U94" s="3">
        <v>0</v>
      </c>
      <c r="V94" s="3">
        <v>0</v>
      </c>
      <c r="W94" s="3">
        <v>0</v>
      </c>
      <c r="X94" s="3">
        <v>3</v>
      </c>
      <c r="Y94" s="3">
        <v>0</v>
      </c>
      <c r="Z94" s="3">
        <v>5</v>
      </c>
      <c r="AA94" s="3">
        <v>0</v>
      </c>
      <c r="AB94" s="3">
        <v>0</v>
      </c>
      <c r="AC94" s="3">
        <v>3</v>
      </c>
      <c r="AD94" s="3">
        <v>0</v>
      </c>
      <c r="AE94" s="3">
        <v>0</v>
      </c>
      <c r="AF94" s="3">
        <v>5</v>
      </c>
      <c r="AG94" s="3">
        <v>8</v>
      </c>
      <c r="AH94" s="3">
        <v>3</v>
      </c>
      <c r="AI94" s="3">
        <v>0</v>
      </c>
      <c r="AJ94" s="3">
        <v>0</v>
      </c>
      <c r="AK94" s="3">
        <v>0</v>
      </c>
      <c r="AL94" s="3" t="s">
        <v>17</v>
      </c>
      <c r="AM94" t="s">
        <v>1034</v>
      </c>
      <c r="AN94" s="6" t="s">
        <v>1967</v>
      </c>
      <c r="AO94" s="3" t="s">
        <v>50</v>
      </c>
      <c r="AP94" s="3">
        <v>0</v>
      </c>
      <c r="AQ94" s="3">
        <v>0</v>
      </c>
      <c r="AR94">
        <v>0</v>
      </c>
      <c r="AS94">
        <v>5</v>
      </c>
      <c r="AT94" s="6" t="s">
        <v>2508</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row>
    <row r="95" spans="1:73" ht="15.75" customHeight="1" x14ac:dyDescent="0.2">
      <c r="A95" s="3">
        <f t="shared" si="1"/>
        <v>93</v>
      </c>
      <c r="B95" s="3" t="s">
        <v>2552</v>
      </c>
      <c r="C95" s="3" t="s">
        <v>2034</v>
      </c>
      <c r="D95" s="5" t="s">
        <v>2168</v>
      </c>
      <c r="E95" s="5" t="s">
        <v>2378</v>
      </c>
      <c r="F95" s="3">
        <v>0</v>
      </c>
      <c r="G95" s="3">
        <v>0</v>
      </c>
      <c r="H95" s="3">
        <v>0</v>
      </c>
      <c r="I95" s="3">
        <v>50</v>
      </c>
      <c r="J95" s="3">
        <v>15</v>
      </c>
      <c r="K95" s="3">
        <v>0.95</v>
      </c>
      <c r="L95" s="3">
        <v>0</v>
      </c>
      <c r="M95" s="3">
        <v>22</v>
      </c>
      <c r="N95" s="3">
        <v>0</v>
      </c>
      <c r="O95" s="3">
        <v>3</v>
      </c>
      <c r="P95" s="3">
        <v>0</v>
      </c>
      <c r="Q95" s="3">
        <v>0</v>
      </c>
      <c r="R95" s="3">
        <v>0</v>
      </c>
      <c r="S95" s="3">
        <v>0</v>
      </c>
      <c r="T95" s="3">
        <v>0</v>
      </c>
      <c r="U95" s="3">
        <v>0</v>
      </c>
      <c r="V95" s="3">
        <v>0</v>
      </c>
      <c r="W95" s="3">
        <v>0</v>
      </c>
      <c r="X95" s="3">
        <v>3</v>
      </c>
      <c r="Y95" s="3">
        <v>0</v>
      </c>
      <c r="Z95" s="3">
        <v>5</v>
      </c>
      <c r="AA95" s="3">
        <v>0</v>
      </c>
      <c r="AB95" s="3">
        <v>0</v>
      </c>
      <c r="AC95" s="3">
        <v>6</v>
      </c>
      <c r="AD95" s="3">
        <v>0</v>
      </c>
      <c r="AE95" s="3">
        <v>0</v>
      </c>
      <c r="AF95" s="3">
        <v>5</v>
      </c>
      <c r="AG95" s="3">
        <v>13</v>
      </c>
      <c r="AH95" s="3">
        <v>3</v>
      </c>
      <c r="AI95" s="3">
        <v>0</v>
      </c>
      <c r="AJ95" s="3">
        <v>0</v>
      </c>
      <c r="AK95" s="3">
        <v>0</v>
      </c>
      <c r="AL95" s="3" t="s">
        <v>17</v>
      </c>
      <c r="AM95" t="s">
        <v>1034</v>
      </c>
      <c r="AN95" s="6" t="s">
        <v>1967</v>
      </c>
      <c r="AO95" s="3" t="s">
        <v>50</v>
      </c>
      <c r="AP95" s="3">
        <v>0</v>
      </c>
      <c r="AQ95" s="3">
        <v>0</v>
      </c>
      <c r="AR95">
        <v>0</v>
      </c>
      <c r="AS95">
        <v>5</v>
      </c>
      <c r="AT95" s="6" t="s">
        <v>2509</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row>
    <row r="96" spans="1:73" ht="15.75" customHeight="1" x14ac:dyDescent="0.2">
      <c r="A96" s="3">
        <f t="shared" si="1"/>
        <v>94</v>
      </c>
      <c r="B96" s="3" t="s">
        <v>543</v>
      </c>
      <c r="C96" s="3" t="s">
        <v>543</v>
      </c>
      <c r="D96" s="5" t="s">
        <v>542</v>
      </c>
      <c r="E96" s="5" t="s">
        <v>544</v>
      </c>
      <c r="F96" s="3">
        <v>0</v>
      </c>
      <c r="G96" s="3">
        <v>0</v>
      </c>
      <c r="H96" s="3">
        <v>0</v>
      </c>
      <c r="I96" s="3">
        <v>50</v>
      </c>
      <c r="J96" s="3">
        <v>20</v>
      </c>
      <c r="K96" s="3">
        <v>0.95</v>
      </c>
      <c r="L96" s="3">
        <v>0</v>
      </c>
      <c r="M96" s="3">
        <v>8</v>
      </c>
      <c r="N96" s="3">
        <v>0</v>
      </c>
      <c r="O96" s="3">
        <v>5</v>
      </c>
      <c r="P96" s="3">
        <v>0</v>
      </c>
      <c r="Q96" s="3">
        <v>0</v>
      </c>
      <c r="R96" s="3">
        <v>0</v>
      </c>
      <c r="S96" s="3">
        <v>0</v>
      </c>
      <c r="T96" s="3">
        <v>0</v>
      </c>
      <c r="U96" s="3">
        <v>0</v>
      </c>
      <c r="V96" s="3">
        <v>0</v>
      </c>
      <c r="W96" s="3">
        <v>0</v>
      </c>
      <c r="X96" s="3">
        <v>2</v>
      </c>
      <c r="Y96" s="3">
        <v>0</v>
      </c>
      <c r="Z96" s="3">
        <v>5</v>
      </c>
      <c r="AA96" s="3">
        <v>0</v>
      </c>
      <c r="AB96" s="3">
        <v>0</v>
      </c>
      <c r="AC96" s="3">
        <v>0</v>
      </c>
      <c r="AD96" s="3">
        <v>0</v>
      </c>
      <c r="AE96" s="3">
        <v>0</v>
      </c>
      <c r="AF96" s="3">
        <v>4</v>
      </c>
      <c r="AG96" s="3">
        <v>4</v>
      </c>
      <c r="AH96" s="3">
        <v>3</v>
      </c>
      <c r="AI96" s="3">
        <v>0</v>
      </c>
      <c r="AJ96" s="3">
        <v>0</v>
      </c>
      <c r="AK96" s="3">
        <v>0</v>
      </c>
      <c r="AL96" s="3" t="s">
        <v>17</v>
      </c>
      <c r="AM96" s="6" t="s">
        <v>1034</v>
      </c>
      <c r="AN96" s="6" t="s">
        <v>1968</v>
      </c>
      <c r="AO96" s="3" t="s">
        <v>1850</v>
      </c>
      <c r="AP96" s="3">
        <v>0</v>
      </c>
      <c r="AQ96" s="3">
        <v>0</v>
      </c>
      <c r="AR96">
        <v>0</v>
      </c>
      <c r="AS96">
        <v>5</v>
      </c>
      <c r="AT96" s="6" t="s">
        <v>546</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row>
    <row r="97" spans="1:73" ht="15.75" customHeight="1" x14ac:dyDescent="0.2">
      <c r="A97" s="3">
        <f t="shared" si="1"/>
        <v>95</v>
      </c>
      <c r="B97" s="3" t="s">
        <v>357</v>
      </c>
      <c r="C97" s="3" t="s">
        <v>320</v>
      </c>
      <c r="D97" s="5" t="s">
        <v>318</v>
      </c>
      <c r="E97" s="5" t="s">
        <v>321</v>
      </c>
      <c r="F97" s="3">
        <v>0</v>
      </c>
      <c r="G97" s="3">
        <v>0</v>
      </c>
      <c r="H97" s="3">
        <v>0</v>
      </c>
      <c r="I97" s="3">
        <v>50</v>
      </c>
      <c r="J97" s="3">
        <v>7</v>
      </c>
      <c r="K97" s="3">
        <v>0.95</v>
      </c>
      <c r="L97" s="3">
        <v>0</v>
      </c>
      <c r="M97" s="3">
        <v>9</v>
      </c>
      <c r="N97" s="3">
        <v>0</v>
      </c>
      <c r="O97" s="3">
        <v>0</v>
      </c>
      <c r="P97" s="3">
        <v>0</v>
      </c>
      <c r="Q97" s="3">
        <v>0</v>
      </c>
      <c r="R97" s="3">
        <v>0</v>
      </c>
      <c r="S97" s="3">
        <v>0</v>
      </c>
      <c r="T97" s="3">
        <v>0</v>
      </c>
      <c r="U97" s="3">
        <v>0</v>
      </c>
      <c r="V97" s="3">
        <v>0</v>
      </c>
      <c r="W97" s="3">
        <v>0</v>
      </c>
      <c r="X97" s="3">
        <v>3</v>
      </c>
      <c r="Y97" s="3">
        <v>0</v>
      </c>
      <c r="Z97" s="3">
        <v>5</v>
      </c>
      <c r="AA97" s="3">
        <v>0</v>
      </c>
      <c r="AB97" s="3">
        <v>0</v>
      </c>
      <c r="AC97" s="3">
        <v>0</v>
      </c>
      <c r="AD97" s="3">
        <v>0</v>
      </c>
      <c r="AE97" s="3">
        <v>0</v>
      </c>
      <c r="AF97" s="3">
        <v>0</v>
      </c>
      <c r="AG97" s="3">
        <v>0</v>
      </c>
      <c r="AH97" s="3">
        <v>3</v>
      </c>
      <c r="AI97" s="3">
        <v>0</v>
      </c>
      <c r="AJ97" s="3">
        <v>0</v>
      </c>
      <c r="AK97" s="3">
        <v>0</v>
      </c>
      <c r="AL97" s="3" t="s">
        <v>17</v>
      </c>
      <c r="AM97" s="3" t="s">
        <v>18</v>
      </c>
      <c r="AN97" s="6" t="s">
        <v>1969</v>
      </c>
      <c r="AO97" s="3" t="s">
        <v>1850</v>
      </c>
      <c r="AP97" s="3">
        <v>0</v>
      </c>
      <c r="AQ97" s="3">
        <v>0</v>
      </c>
      <c r="AR97">
        <v>0</v>
      </c>
      <c r="AS97">
        <v>3</v>
      </c>
      <c r="AT97" s="6" t="s">
        <v>331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row>
    <row r="98" spans="1:73" ht="15.75" customHeight="1" x14ac:dyDescent="0.2">
      <c r="A98" s="3">
        <f t="shared" si="1"/>
        <v>96</v>
      </c>
      <c r="B98" s="3" t="s">
        <v>358</v>
      </c>
      <c r="C98" s="3" t="s">
        <v>323</v>
      </c>
      <c r="D98" s="5" t="s">
        <v>333</v>
      </c>
      <c r="E98" s="5" t="s">
        <v>322</v>
      </c>
      <c r="F98" s="3">
        <v>0</v>
      </c>
      <c r="G98" s="3">
        <v>0</v>
      </c>
      <c r="H98" s="3">
        <v>0</v>
      </c>
      <c r="I98" s="3">
        <v>50</v>
      </c>
      <c r="J98" s="3">
        <v>12</v>
      </c>
      <c r="K98" s="3">
        <v>0.95</v>
      </c>
      <c r="L98" s="3">
        <v>0</v>
      </c>
      <c r="M98" s="3">
        <v>5</v>
      </c>
      <c r="N98" s="3">
        <v>0</v>
      </c>
      <c r="O98" s="3">
        <v>7</v>
      </c>
      <c r="P98" s="3">
        <v>0</v>
      </c>
      <c r="Q98" s="3">
        <v>0</v>
      </c>
      <c r="R98" s="3">
        <v>0</v>
      </c>
      <c r="S98" s="3">
        <v>0</v>
      </c>
      <c r="T98" s="3">
        <v>0</v>
      </c>
      <c r="U98" s="3">
        <v>0</v>
      </c>
      <c r="V98" s="3">
        <v>0</v>
      </c>
      <c r="W98" s="3">
        <v>0</v>
      </c>
      <c r="X98" s="3">
        <v>3</v>
      </c>
      <c r="Y98" s="3">
        <v>0</v>
      </c>
      <c r="Z98" s="3">
        <v>5</v>
      </c>
      <c r="AA98" s="3">
        <v>6</v>
      </c>
      <c r="AB98" s="3">
        <v>0</v>
      </c>
      <c r="AC98" s="3">
        <v>0</v>
      </c>
      <c r="AD98" s="3">
        <v>0</v>
      </c>
      <c r="AE98" s="3">
        <v>15</v>
      </c>
      <c r="AF98" s="3">
        <v>0</v>
      </c>
      <c r="AG98" s="3">
        <v>0</v>
      </c>
      <c r="AH98" s="3">
        <v>3</v>
      </c>
      <c r="AI98" s="3">
        <v>0</v>
      </c>
      <c r="AJ98" s="3">
        <v>0</v>
      </c>
      <c r="AK98" s="3">
        <v>0</v>
      </c>
      <c r="AL98" s="3" t="s">
        <v>17</v>
      </c>
      <c r="AM98" s="3" t="s">
        <v>18</v>
      </c>
      <c r="AN98" s="6" t="s">
        <v>1970</v>
      </c>
      <c r="AO98" s="3" t="s">
        <v>1850</v>
      </c>
      <c r="AP98" s="3">
        <v>0</v>
      </c>
      <c r="AQ98" s="3">
        <v>0</v>
      </c>
      <c r="AR98">
        <v>0</v>
      </c>
      <c r="AS98">
        <v>6</v>
      </c>
      <c r="AT98" s="6" t="s">
        <v>332</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row>
    <row r="99" spans="1:73" ht="15.75" customHeight="1" x14ac:dyDescent="0.2">
      <c r="A99" s="3">
        <f t="shared" si="1"/>
        <v>97</v>
      </c>
      <c r="B99" s="3" t="s">
        <v>523</v>
      </c>
      <c r="C99" s="3" t="s">
        <v>523</v>
      </c>
      <c r="D99" s="5" t="s">
        <v>522</v>
      </c>
      <c r="E99" s="5" t="s">
        <v>829</v>
      </c>
      <c r="F99" s="3">
        <v>0</v>
      </c>
      <c r="G99" s="3">
        <v>0</v>
      </c>
      <c r="H99" s="3">
        <v>0</v>
      </c>
      <c r="I99" s="3">
        <v>50</v>
      </c>
      <c r="J99" s="3">
        <v>20</v>
      </c>
      <c r="K99" s="3">
        <v>0.95</v>
      </c>
      <c r="L99" s="3">
        <v>0</v>
      </c>
      <c r="M99" s="3">
        <v>10</v>
      </c>
      <c r="N99" s="3">
        <v>0</v>
      </c>
      <c r="O99" s="3">
        <v>2</v>
      </c>
      <c r="P99" s="3">
        <v>0</v>
      </c>
      <c r="Q99" s="3">
        <v>0</v>
      </c>
      <c r="R99" s="3">
        <v>0</v>
      </c>
      <c r="S99" s="3">
        <v>0</v>
      </c>
      <c r="T99" s="3">
        <v>0</v>
      </c>
      <c r="U99" s="3">
        <v>0</v>
      </c>
      <c r="V99" s="3">
        <v>0</v>
      </c>
      <c r="W99" s="3">
        <v>0</v>
      </c>
      <c r="X99" s="3">
        <v>3</v>
      </c>
      <c r="Y99" s="3">
        <v>0</v>
      </c>
      <c r="Z99" s="3">
        <v>5</v>
      </c>
      <c r="AA99" s="3">
        <v>0</v>
      </c>
      <c r="AB99" s="3">
        <v>0</v>
      </c>
      <c r="AC99" s="3">
        <v>0</v>
      </c>
      <c r="AD99" s="3">
        <v>0</v>
      </c>
      <c r="AE99" s="3">
        <v>0</v>
      </c>
      <c r="AF99" s="3">
        <v>0</v>
      </c>
      <c r="AG99" s="3">
        <v>3</v>
      </c>
      <c r="AH99" s="3">
        <v>3</v>
      </c>
      <c r="AI99" s="3">
        <v>0</v>
      </c>
      <c r="AJ99" s="3">
        <v>0</v>
      </c>
      <c r="AK99" s="3">
        <v>0</v>
      </c>
      <c r="AL99" s="3" t="s">
        <v>17</v>
      </c>
      <c r="AM99" s="3" t="s">
        <v>18</v>
      </c>
      <c r="AN99" s="6" t="s">
        <v>1971</v>
      </c>
      <c r="AO99" s="3" t="s">
        <v>1850</v>
      </c>
      <c r="AP99" s="3">
        <v>0</v>
      </c>
      <c r="AQ99" s="3">
        <v>0</v>
      </c>
      <c r="AR99">
        <v>0</v>
      </c>
      <c r="AS99">
        <v>8</v>
      </c>
      <c r="AT99" s="6" t="s">
        <v>545</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row>
    <row r="100" spans="1:73" ht="15.75" customHeight="1" x14ac:dyDescent="0.2">
      <c r="A100" s="3">
        <f t="shared" si="1"/>
        <v>98</v>
      </c>
      <c r="B100" s="3" t="s">
        <v>2420</v>
      </c>
      <c r="C100" s="3" t="s">
        <v>2420</v>
      </c>
      <c r="D100" s="5" t="s">
        <v>2419</v>
      </c>
      <c r="E100" s="5" t="s">
        <v>2421</v>
      </c>
      <c r="F100" s="3">
        <v>0</v>
      </c>
      <c r="G100" s="3">
        <v>0</v>
      </c>
      <c r="H100" s="3">
        <v>0</v>
      </c>
      <c r="I100" s="3">
        <v>50</v>
      </c>
      <c r="J100" s="3">
        <v>20</v>
      </c>
      <c r="K100" s="3">
        <v>0.95</v>
      </c>
      <c r="L100" s="3">
        <v>0</v>
      </c>
      <c r="M100" s="3">
        <v>22</v>
      </c>
      <c r="N100" s="3">
        <v>0</v>
      </c>
      <c r="O100" s="3">
        <v>2</v>
      </c>
      <c r="P100" s="3">
        <v>0</v>
      </c>
      <c r="Q100" s="3">
        <v>0</v>
      </c>
      <c r="R100" s="3">
        <v>15</v>
      </c>
      <c r="S100" s="3">
        <v>0</v>
      </c>
      <c r="T100" s="3">
        <v>0</v>
      </c>
      <c r="U100" s="3">
        <v>0</v>
      </c>
      <c r="V100" s="3">
        <v>0</v>
      </c>
      <c r="W100" s="3">
        <v>0</v>
      </c>
      <c r="X100" s="3">
        <v>8</v>
      </c>
      <c r="Y100" s="3">
        <v>0</v>
      </c>
      <c r="Z100" s="3">
        <v>5</v>
      </c>
      <c r="AA100" s="3">
        <v>0</v>
      </c>
      <c r="AB100" s="3">
        <v>0</v>
      </c>
      <c r="AC100" s="3">
        <v>0</v>
      </c>
      <c r="AD100" s="3">
        <v>0</v>
      </c>
      <c r="AE100" s="3">
        <v>0</v>
      </c>
      <c r="AF100" s="3">
        <v>0</v>
      </c>
      <c r="AG100" s="3">
        <v>3</v>
      </c>
      <c r="AH100" s="3">
        <v>3</v>
      </c>
      <c r="AI100" s="3">
        <v>0</v>
      </c>
      <c r="AJ100" s="3">
        <v>0</v>
      </c>
      <c r="AK100" s="3">
        <v>0</v>
      </c>
      <c r="AL100" s="3" t="s">
        <v>17</v>
      </c>
      <c r="AM100" s="3" t="s">
        <v>18</v>
      </c>
      <c r="AN100" s="6" t="s">
        <v>1971</v>
      </c>
      <c r="AO100" s="3" t="s">
        <v>50</v>
      </c>
      <c r="AP100" s="3">
        <v>0</v>
      </c>
      <c r="AQ100" s="3">
        <v>0</v>
      </c>
      <c r="AR100">
        <v>0</v>
      </c>
      <c r="AS100">
        <v>8</v>
      </c>
      <c r="AT100" s="6" t="s">
        <v>2510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row>
    <row r="101" spans="1:73" ht="15.75" customHeight="1" x14ac:dyDescent="0.2">
      <c r="A101" s="3">
        <f t="shared" si="1"/>
        <v>99</v>
      </c>
      <c r="B101" s="3" t="s">
        <v>783</v>
      </c>
      <c r="C101" s="3" t="s">
        <v>783</v>
      </c>
      <c r="D101" s="5" t="s">
        <v>782</v>
      </c>
      <c r="E101" s="5" t="s">
        <v>784</v>
      </c>
      <c r="F101" s="3">
        <v>0</v>
      </c>
      <c r="G101" s="3">
        <v>0</v>
      </c>
      <c r="H101" s="3">
        <v>0</v>
      </c>
      <c r="I101" s="3">
        <v>50</v>
      </c>
      <c r="J101" s="3">
        <v>20</v>
      </c>
      <c r="K101" s="3">
        <v>0.95</v>
      </c>
      <c r="L101" s="3">
        <v>0</v>
      </c>
      <c r="M101" s="3">
        <v>8</v>
      </c>
      <c r="N101" s="3">
        <v>0</v>
      </c>
      <c r="O101" s="3">
        <v>35</v>
      </c>
      <c r="P101" s="3">
        <v>0</v>
      </c>
      <c r="Q101" s="3">
        <v>0</v>
      </c>
      <c r="R101" s="3">
        <v>0</v>
      </c>
      <c r="S101" s="3">
        <v>0</v>
      </c>
      <c r="T101" s="3">
        <v>0</v>
      </c>
      <c r="U101" s="3">
        <v>0</v>
      </c>
      <c r="V101" s="3">
        <v>0</v>
      </c>
      <c r="W101" s="3">
        <v>0</v>
      </c>
      <c r="X101" s="3">
        <v>0</v>
      </c>
      <c r="Y101" s="3">
        <v>0</v>
      </c>
      <c r="Z101" s="3">
        <v>5</v>
      </c>
      <c r="AA101" s="3">
        <v>0</v>
      </c>
      <c r="AB101" s="3">
        <v>0</v>
      </c>
      <c r="AC101" s="3">
        <v>0</v>
      </c>
      <c r="AD101" s="3">
        <v>0</v>
      </c>
      <c r="AE101" s="3">
        <v>0</v>
      </c>
      <c r="AF101" s="3">
        <v>0</v>
      </c>
      <c r="AG101" s="3">
        <v>0</v>
      </c>
      <c r="AH101" s="3">
        <v>3</v>
      </c>
      <c r="AI101" s="3">
        <v>0</v>
      </c>
      <c r="AJ101" s="3">
        <v>0</v>
      </c>
      <c r="AK101" s="3">
        <v>0</v>
      </c>
      <c r="AL101" s="3" t="s">
        <v>17</v>
      </c>
      <c r="AM101" s="3" t="s">
        <v>18</v>
      </c>
      <c r="AN101" s="6" t="s">
        <v>1972</v>
      </c>
      <c r="AO101" s="3" t="s">
        <v>1850</v>
      </c>
      <c r="AP101" s="3">
        <v>0</v>
      </c>
      <c r="AQ101" s="3">
        <v>0</v>
      </c>
      <c r="AR101">
        <v>0</v>
      </c>
      <c r="AS101">
        <v>3</v>
      </c>
      <c r="AT101" s="6" t="s">
        <v>870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row>
    <row r="102" spans="1:73" ht="15.75" customHeight="1" x14ac:dyDescent="0.2">
      <c r="A102" s="3">
        <f t="shared" si="1"/>
        <v>100</v>
      </c>
      <c r="B102" s="3" t="s">
        <v>915</v>
      </c>
      <c r="C102" s="3" t="s">
        <v>915</v>
      </c>
      <c r="D102" s="5" t="s">
        <v>916</v>
      </c>
      <c r="E102" s="5" t="s">
        <v>917</v>
      </c>
      <c r="F102" s="3">
        <v>0</v>
      </c>
      <c r="G102" s="3">
        <v>0</v>
      </c>
      <c r="H102" s="3">
        <v>0</v>
      </c>
      <c r="I102" s="3">
        <v>50</v>
      </c>
      <c r="J102" s="3">
        <v>7</v>
      </c>
      <c r="K102" s="3">
        <v>0.95</v>
      </c>
      <c r="L102" s="3">
        <v>0</v>
      </c>
      <c r="M102" s="3">
        <v>10</v>
      </c>
      <c r="N102" s="3">
        <v>0</v>
      </c>
      <c r="O102" s="3">
        <v>10</v>
      </c>
      <c r="P102" s="3">
        <v>5</v>
      </c>
      <c r="Q102" s="3">
        <v>0</v>
      </c>
      <c r="R102" s="3">
        <v>0</v>
      </c>
      <c r="S102" s="3">
        <v>5</v>
      </c>
      <c r="T102" s="3">
        <v>0</v>
      </c>
      <c r="U102" s="3">
        <v>0</v>
      </c>
      <c r="V102" s="3">
        <v>0</v>
      </c>
      <c r="W102" s="3">
        <v>0</v>
      </c>
      <c r="X102" s="3">
        <v>4</v>
      </c>
      <c r="Y102" s="3">
        <v>0</v>
      </c>
      <c r="Z102" s="3">
        <v>5</v>
      </c>
      <c r="AA102" s="3">
        <v>0</v>
      </c>
      <c r="AB102" s="3">
        <v>0</v>
      </c>
      <c r="AC102" s="3">
        <v>0</v>
      </c>
      <c r="AD102" s="3">
        <v>0</v>
      </c>
      <c r="AE102" s="3">
        <v>0</v>
      </c>
      <c r="AF102" s="3">
        <v>0</v>
      </c>
      <c r="AG102" s="3">
        <v>3</v>
      </c>
      <c r="AH102" s="3">
        <v>3</v>
      </c>
      <c r="AI102" s="3">
        <v>0</v>
      </c>
      <c r="AJ102" s="3">
        <v>0</v>
      </c>
      <c r="AK102" s="3">
        <v>0</v>
      </c>
      <c r="AL102" s="3" t="s">
        <v>17</v>
      </c>
      <c r="AM102" s="3" t="s">
        <v>18</v>
      </c>
      <c r="AN102" s="6" t="s">
        <v>1973</v>
      </c>
      <c r="AO102" s="3" t="s">
        <v>1850</v>
      </c>
      <c r="AP102" s="3">
        <v>0</v>
      </c>
      <c r="AQ102" s="3">
        <v>0</v>
      </c>
      <c r="AR102">
        <v>0</v>
      </c>
      <c r="AS102">
        <v>4</v>
      </c>
      <c r="AT102" s="6" t="s">
        <v>918</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row>
    <row r="103" spans="1:73" ht="15.75" customHeight="1" x14ac:dyDescent="0.2">
      <c r="A103" s="3">
        <f t="shared" si="1"/>
        <v>101</v>
      </c>
      <c r="B103" s="3" t="s">
        <v>2417</v>
      </c>
      <c r="C103" s="3" t="s">
        <v>2417</v>
      </c>
      <c r="D103" s="5" t="s">
        <v>2416</v>
      </c>
      <c r="E103" s="5" t="s">
        <v>2418</v>
      </c>
      <c r="F103" s="3">
        <v>0</v>
      </c>
      <c r="G103" s="3">
        <v>0</v>
      </c>
      <c r="H103" s="3">
        <v>0</v>
      </c>
      <c r="I103" s="3">
        <v>50</v>
      </c>
      <c r="J103" s="3">
        <v>7</v>
      </c>
      <c r="K103" s="3">
        <v>0.95</v>
      </c>
      <c r="L103" s="3">
        <v>0</v>
      </c>
      <c r="M103" s="3">
        <v>5</v>
      </c>
      <c r="N103" s="3">
        <v>0</v>
      </c>
      <c r="O103" s="3">
        <v>20</v>
      </c>
      <c r="P103" s="3">
        <v>10</v>
      </c>
      <c r="Q103" s="3">
        <v>10</v>
      </c>
      <c r="R103" s="3">
        <v>10</v>
      </c>
      <c r="S103" s="3">
        <v>5</v>
      </c>
      <c r="T103" s="3">
        <v>0</v>
      </c>
      <c r="U103" s="3">
        <v>0</v>
      </c>
      <c r="V103" s="3">
        <v>0</v>
      </c>
      <c r="W103" s="3">
        <v>0</v>
      </c>
      <c r="X103" s="3">
        <v>4</v>
      </c>
      <c r="Y103" s="3">
        <v>0</v>
      </c>
      <c r="Z103" s="3">
        <v>15</v>
      </c>
      <c r="AA103" s="3">
        <v>0</v>
      </c>
      <c r="AB103" s="3">
        <v>0</v>
      </c>
      <c r="AC103" s="3">
        <v>0</v>
      </c>
      <c r="AD103" s="3">
        <v>0</v>
      </c>
      <c r="AE103" s="3">
        <v>0</v>
      </c>
      <c r="AF103" s="3">
        <v>0</v>
      </c>
      <c r="AG103" s="3">
        <v>2</v>
      </c>
      <c r="AH103" s="3">
        <v>3</v>
      </c>
      <c r="AI103" s="3">
        <v>0</v>
      </c>
      <c r="AJ103" s="3">
        <v>0</v>
      </c>
      <c r="AK103" s="3">
        <v>0</v>
      </c>
      <c r="AL103" s="3" t="s">
        <v>17</v>
      </c>
      <c r="AM103" s="3" t="s">
        <v>18</v>
      </c>
      <c r="AN103" s="6" t="s">
        <v>1973</v>
      </c>
      <c r="AO103" s="3" t="s">
        <v>50</v>
      </c>
      <c r="AP103" s="3">
        <v>0</v>
      </c>
      <c r="AQ103" s="3">
        <v>0</v>
      </c>
      <c r="AR103">
        <v>0</v>
      </c>
      <c r="AS103">
        <v>4</v>
      </c>
      <c r="AT103" s="6" t="s">
        <v>2511</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2</v>
      </c>
      <c r="BL103">
        <v>0</v>
      </c>
      <c r="BM103">
        <v>0</v>
      </c>
      <c r="BN103">
        <v>0</v>
      </c>
      <c r="BO103">
        <v>0</v>
      </c>
      <c r="BP103" s="6" t="s">
        <v>50</v>
      </c>
      <c r="BQ103">
        <v>0</v>
      </c>
      <c r="BR103" s="6" t="s">
        <v>50</v>
      </c>
      <c r="BS103">
        <v>0</v>
      </c>
      <c r="BT103" s="6" t="s">
        <v>50</v>
      </c>
      <c r="BU103">
        <v>0</v>
      </c>
    </row>
    <row r="104" spans="1:73" ht="15.75" customHeight="1" x14ac:dyDescent="0.2">
      <c r="A104" s="3">
        <f t="shared" si="1"/>
        <v>102</v>
      </c>
      <c r="B104" s="3" t="s">
        <v>1101</v>
      </c>
      <c r="C104" s="3" t="s">
        <v>1101</v>
      </c>
      <c r="D104" s="25" t="s">
        <v>1100</v>
      </c>
      <c r="E104" s="5" t="s">
        <v>1259</v>
      </c>
      <c r="F104" s="3">
        <v>0</v>
      </c>
      <c r="G104" s="3">
        <v>0</v>
      </c>
      <c r="H104" s="3">
        <v>0</v>
      </c>
      <c r="I104" s="3">
        <v>50</v>
      </c>
      <c r="J104" s="3">
        <v>7</v>
      </c>
      <c r="K104" s="3">
        <v>0.95</v>
      </c>
      <c r="L104" s="3">
        <v>0</v>
      </c>
      <c r="M104" s="3">
        <v>10</v>
      </c>
      <c r="N104" s="3">
        <v>0</v>
      </c>
      <c r="O104" s="3">
        <v>22</v>
      </c>
      <c r="P104" s="3">
        <v>5</v>
      </c>
      <c r="Q104" s="3">
        <v>0</v>
      </c>
      <c r="R104" s="3">
        <v>0</v>
      </c>
      <c r="S104" s="3">
        <v>5</v>
      </c>
      <c r="T104" s="3">
        <v>0</v>
      </c>
      <c r="U104" s="3">
        <v>0</v>
      </c>
      <c r="V104" s="3">
        <v>0</v>
      </c>
      <c r="W104" s="3">
        <v>0</v>
      </c>
      <c r="X104" s="3">
        <v>7</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1973</v>
      </c>
      <c r="AO104" s="3" t="s">
        <v>1850</v>
      </c>
      <c r="AP104" s="3">
        <v>0</v>
      </c>
      <c r="AQ104" s="3">
        <v>0</v>
      </c>
      <c r="AR104">
        <v>0</v>
      </c>
      <c r="AS104">
        <v>4</v>
      </c>
      <c r="AT104" s="6" t="s">
        <v>1347</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row>
    <row r="105" spans="1:73" ht="15.75" customHeight="1" x14ac:dyDescent="0.2">
      <c r="A105" s="3">
        <f t="shared" si="1"/>
        <v>103</v>
      </c>
      <c r="B105" s="3" t="s">
        <v>2393</v>
      </c>
      <c r="C105" s="3" t="s">
        <v>1860</v>
      </c>
      <c r="D105" s="5" t="s">
        <v>3613</v>
      </c>
      <c r="E105" s="5" t="s">
        <v>3614</v>
      </c>
      <c r="F105" s="3">
        <v>0</v>
      </c>
      <c r="G105" s="3">
        <v>0</v>
      </c>
      <c r="H105" s="3">
        <v>0</v>
      </c>
      <c r="I105" s="3">
        <v>50</v>
      </c>
      <c r="J105" s="3">
        <v>7</v>
      </c>
      <c r="K105" s="3">
        <v>0.95</v>
      </c>
      <c r="L105" s="3">
        <v>0</v>
      </c>
      <c r="M105" s="3">
        <v>10</v>
      </c>
      <c r="N105" s="3">
        <v>0</v>
      </c>
      <c r="O105" s="3">
        <v>10</v>
      </c>
      <c r="P105" s="3">
        <v>5</v>
      </c>
      <c r="Q105" s="3">
        <v>0</v>
      </c>
      <c r="R105" s="3">
        <v>0</v>
      </c>
      <c r="S105" s="3">
        <v>5</v>
      </c>
      <c r="T105" s="3">
        <v>0</v>
      </c>
      <c r="U105" s="3">
        <v>0</v>
      </c>
      <c r="V105" s="3">
        <v>0</v>
      </c>
      <c r="W105" s="3">
        <v>0</v>
      </c>
      <c r="X105" s="3">
        <v>4</v>
      </c>
      <c r="Y105" s="3">
        <v>0</v>
      </c>
      <c r="Z105" s="3">
        <v>5</v>
      </c>
      <c r="AA105" s="3">
        <v>0</v>
      </c>
      <c r="AB105" s="3">
        <v>0</v>
      </c>
      <c r="AC105" s="3">
        <v>0</v>
      </c>
      <c r="AD105" s="3">
        <v>0</v>
      </c>
      <c r="AE105" s="3">
        <v>0</v>
      </c>
      <c r="AF105" s="3">
        <v>0</v>
      </c>
      <c r="AG105" s="3">
        <v>15</v>
      </c>
      <c r="AH105" s="3">
        <v>3</v>
      </c>
      <c r="AI105" s="3">
        <v>10</v>
      </c>
      <c r="AJ105" s="3">
        <v>0</v>
      </c>
      <c r="AK105" s="3">
        <v>0</v>
      </c>
      <c r="AL105" s="3" t="s">
        <v>17</v>
      </c>
      <c r="AM105" s="3" t="s">
        <v>18</v>
      </c>
      <c r="AN105" s="6" t="s">
        <v>1973</v>
      </c>
      <c r="AO105" s="3" t="s">
        <v>50</v>
      </c>
      <c r="AP105" s="3">
        <v>0</v>
      </c>
      <c r="AQ105" s="3">
        <v>0</v>
      </c>
      <c r="AR105">
        <v>0</v>
      </c>
      <c r="AS105">
        <v>4</v>
      </c>
      <c r="AT105" s="6" t="s">
        <v>1862</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row>
    <row r="106" spans="1:73" ht="15.75" customHeight="1" x14ac:dyDescent="0.2">
      <c r="A106" s="3">
        <f t="shared" si="1"/>
        <v>104</v>
      </c>
      <c r="B106" s="3" t="s">
        <v>527</v>
      </c>
      <c r="C106" s="3" t="s">
        <v>527</v>
      </c>
      <c r="D106" s="5" t="s">
        <v>526</v>
      </c>
      <c r="E106" s="5" t="s">
        <v>528</v>
      </c>
      <c r="F106" s="3">
        <v>0</v>
      </c>
      <c r="G106" s="3">
        <v>0</v>
      </c>
      <c r="H106" s="3">
        <v>0</v>
      </c>
      <c r="I106" s="3">
        <v>50</v>
      </c>
      <c r="J106" s="3">
        <v>10</v>
      </c>
      <c r="K106" s="3">
        <v>0.95</v>
      </c>
      <c r="L106" s="3">
        <v>0</v>
      </c>
      <c r="M106" s="3">
        <v>8</v>
      </c>
      <c r="N106" s="3">
        <v>0</v>
      </c>
      <c r="O106" s="3">
        <v>15</v>
      </c>
      <c r="P106" s="3">
        <v>0</v>
      </c>
      <c r="Q106" s="3">
        <v>0</v>
      </c>
      <c r="R106" s="3">
        <v>15</v>
      </c>
      <c r="S106" s="3">
        <v>0</v>
      </c>
      <c r="T106" s="3">
        <v>0</v>
      </c>
      <c r="U106" s="3">
        <v>0</v>
      </c>
      <c r="V106" s="3">
        <v>0</v>
      </c>
      <c r="W106" s="3">
        <v>0</v>
      </c>
      <c r="X106" s="3">
        <v>10</v>
      </c>
      <c r="Y106" s="3">
        <v>0</v>
      </c>
      <c r="Z106" s="3">
        <v>5</v>
      </c>
      <c r="AA106" s="3">
        <v>0</v>
      </c>
      <c r="AB106" s="3">
        <v>0</v>
      </c>
      <c r="AC106" s="3">
        <v>0</v>
      </c>
      <c r="AD106" s="3">
        <v>0</v>
      </c>
      <c r="AE106" s="3">
        <v>0</v>
      </c>
      <c r="AF106" s="3">
        <v>3</v>
      </c>
      <c r="AG106" s="3">
        <v>0</v>
      </c>
      <c r="AH106" s="3">
        <v>8</v>
      </c>
      <c r="AI106" s="3">
        <v>0</v>
      </c>
      <c r="AJ106" s="3">
        <v>0</v>
      </c>
      <c r="AK106" s="3">
        <v>0</v>
      </c>
      <c r="AL106" s="3" t="s">
        <v>17</v>
      </c>
      <c r="AM106" s="3" t="s">
        <v>18</v>
      </c>
      <c r="AN106" s="6" t="s">
        <v>1974</v>
      </c>
      <c r="AO106" s="3" t="s">
        <v>1850</v>
      </c>
      <c r="AP106" s="3">
        <v>0</v>
      </c>
      <c r="AQ106" s="3">
        <v>0</v>
      </c>
      <c r="AR106">
        <v>0</v>
      </c>
      <c r="AS106">
        <v>7</v>
      </c>
      <c r="AT106" s="6" t="s">
        <v>547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row>
    <row r="107" spans="1:73" s="9" customFormat="1" ht="15.75" customHeight="1" x14ac:dyDescent="0.2">
      <c r="A107" s="7">
        <f t="shared" si="1"/>
        <v>105</v>
      </c>
      <c r="B107" s="7" t="s">
        <v>2317</v>
      </c>
      <c r="C107" s="7" t="s">
        <v>2317</v>
      </c>
      <c r="D107" s="8" t="s">
        <v>2315</v>
      </c>
      <c r="E107" s="8" t="s">
        <v>2316</v>
      </c>
      <c r="F107" s="7">
        <v>0</v>
      </c>
      <c r="G107" s="7">
        <v>0</v>
      </c>
      <c r="H107" s="7">
        <v>0</v>
      </c>
      <c r="I107" s="7">
        <v>50</v>
      </c>
      <c r="J107" s="7">
        <v>10</v>
      </c>
      <c r="K107" s="7">
        <v>0.95</v>
      </c>
      <c r="L107" s="7">
        <v>0</v>
      </c>
      <c r="M107" s="7">
        <v>25</v>
      </c>
      <c r="N107" s="7">
        <v>0</v>
      </c>
      <c r="O107" s="7">
        <v>9</v>
      </c>
      <c r="P107" s="7">
        <v>0</v>
      </c>
      <c r="Q107" s="7">
        <v>0</v>
      </c>
      <c r="R107" s="7">
        <v>30</v>
      </c>
      <c r="S107" s="7">
        <v>0</v>
      </c>
      <c r="T107" s="7">
        <v>0</v>
      </c>
      <c r="U107" s="7">
        <v>0</v>
      </c>
      <c r="V107" s="7">
        <v>0</v>
      </c>
      <c r="W107" s="7">
        <v>0</v>
      </c>
      <c r="X107" s="7">
        <v>15</v>
      </c>
      <c r="Y107" s="7">
        <v>0</v>
      </c>
      <c r="Z107" s="7">
        <v>5</v>
      </c>
      <c r="AA107" s="7">
        <v>0</v>
      </c>
      <c r="AB107" s="7">
        <v>0</v>
      </c>
      <c r="AC107" s="7">
        <v>0</v>
      </c>
      <c r="AD107" s="7">
        <v>0</v>
      </c>
      <c r="AE107" s="7">
        <v>10</v>
      </c>
      <c r="AF107" s="7">
        <v>2</v>
      </c>
      <c r="AG107" s="7">
        <v>0</v>
      </c>
      <c r="AH107" s="7">
        <v>0</v>
      </c>
      <c r="AI107" s="7">
        <v>0</v>
      </c>
      <c r="AJ107" s="7">
        <v>0</v>
      </c>
      <c r="AK107" s="7">
        <v>0</v>
      </c>
      <c r="AL107" s="7" t="s">
        <v>17</v>
      </c>
      <c r="AM107" s="7" t="s">
        <v>18</v>
      </c>
      <c r="AN107" s="10" t="s">
        <v>2390</v>
      </c>
      <c r="AO107" s="7" t="s">
        <v>50</v>
      </c>
      <c r="AP107" s="7">
        <v>0</v>
      </c>
      <c r="AQ107" s="7">
        <v>0</v>
      </c>
      <c r="AR107" s="9">
        <v>0</v>
      </c>
      <c r="AS107" s="9">
        <v>7</v>
      </c>
      <c r="AT107" s="10" t="s">
        <v>2512</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0</v>
      </c>
      <c r="BJ107" s="9">
        <v>0</v>
      </c>
      <c r="BK107" s="9">
        <v>3</v>
      </c>
      <c r="BL107" s="9">
        <v>0</v>
      </c>
      <c r="BM107" s="9">
        <v>0</v>
      </c>
      <c r="BN107" s="9">
        <v>0</v>
      </c>
      <c r="BO107" s="9">
        <v>0</v>
      </c>
      <c r="BP107" s="10" t="s">
        <v>50</v>
      </c>
      <c r="BQ107" s="9">
        <v>0</v>
      </c>
      <c r="BR107" s="10" t="s">
        <v>50</v>
      </c>
      <c r="BS107" s="9">
        <v>0</v>
      </c>
      <c r="BT107" s="10" t="s">
        <v>50</v>
      </c>
      <c r="BU107" s="9">
        <v>0</v>
      </c>
    </row>
    <row r="108" spans="1:73" s="9" customFormat="1" ht="15.75" customHeight="1" x14ac:dyDescent="0.2">
      <c r="A108" s="7">
        <f t="shared" si="1"/>
        <v>106</v>
      </c>
      <c r="B108" s="7" t="s">
        <v>2550</v>
      </c>
      <c r="C108" s="7" t="s">
        <v>2413</v>
      </c>
      <c r="D108" s="8" t="s">
        <v>2414</v>
      </c>
      <c r="E108" s="8" t="s">
        <v>2415</v>
      </c>
      <c r="F108" s="7">
        <v>0</v>
      </c>
      <c r="G108" s="7">
        <v>0</v>
      </c>
      <c r="H108" s="7">
        <v>0</v>
      </c>
      <c r="I108" s="7">
        <v>50</v>
      </c>
      <c r="J108" s="7">
        <v>10</v>
      </c>
      <c r="K108" s="7">
        <v>0.95</v>
      </c>
      <c r="L108" s="7">
        <v>0</v>
      </c>
      <c r="M108" s="7">
        <v>25</v>
      </c>
      <c r="N108" s="7">
        <v>0</v>
      </c>
      <c r="O108" s="7">
        <v>9</v>
      </c>
      <c r="P108" s="7">
        <v>0</v>
      </c>
      <c r="Q108" s="7">
        <v>0</v>
      </c>
      <c r="R108" s="7">
        <v>30</v>
      </c>
      <c r="S108" s="7">
        <v>0</v>
      </c>
      <c r="T108" s="7">
        <v>0</v>
      </c>
      <c r="U108" s="7">
        <v>0</v>
      </c>
      <c r="V108" s="7">
        <v>0</v>
      </c>
      <c r="W108" s="7">
        <v>0</v>
      </c>
      <c r="X108" s="7">
        <v>15</v>
      </c>
      <c r="Y108" s="7">
        <v>0</v>
      </c>
      <c r="Z108" s="7">
        <v>5</v>
      </c>
      <c r="AA108" s="7">
        <v>0</v>
      </c>
      <c r="AB108" s="7">
        <v>0</v>
      </c>
      <c r="AC108" s="7">
        <v>0</v>
      </c>
      <c r="AD108" s="7">
        <v>0</v>
      </c>
      <c r="AE108" s="7">
        <v>10</v>
      </c>
      <c r="AF108" s="7">
        <v>2</v>
      </c>
      <c r="AG108" s="7">
        <v>0</v>
      </c>
      <c r="AH108" s="7">
        <v>0</v>
      </c>
      <c r="AI108" s="7">
        <v>0</v>
      </c>
      <c r="AJ108" s="7">
        <v>0</v>
      </c>
      <c r="AK108" s="7">
        <v>0</v>
      </c>
      <c r="AL108" s="7" t="s">
        <v>17</v>
      </c>
      <c r="AM108" s="7" t="s">
        <v>18</v>
      </c>
      <c r="AN108" s="10" t="s">
        <v>2390</v>
      </c>
      <c r="AO108" s="7" t="s">
        <v>50</v>
      </c>
      <c r="AP108" s="7">
        <v>0</v>
      </c>
      <c r="AQ108" s="7">
        <v>0</v>
      </c>
      <c r="AR108" s="9">
        <v>0</v>
      </c>
      <c r="AS108" s="9">
        <v>7</v>
      </c>
      <c r="AT108" s="10" t="s">
        <v>2513</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0</v>
      </c>
      <c r="BJ108" s="9">
        <v>0</v>
      </c>
      <c r="BK108" s="9">
        <v>3</v>
      </c>
      <c r="BL108" s="9">
        <v>0</v>
      </c>
      <c r="BM108" s="9">
        <v>0</v>
      </c>
      <c r="BN108" s="9">
        <v>0</v>
      </c>
      <c r="BO108" s="9">
        <v>0</v>
      </c>
      <c r="BP108" s="10" t="s">
        <v>50</v>
      </c>
      <c r="BQ108" s="9">
        <v>0</v>
      </c>
      <c r="BR108" s="10" t="s">
        <v>50</v>
      </c>
      <c r="BS108" s="9">
        <v>0</v>
      </c>
      <c r="BT108" s="10" t="s">
        <v>50</v>
      </c>
      <c r="BU108" s="9">
        <v>0</v>
      </c>
    </row>
    <row r="109" spans="1:73" ht="15.75" customHeight="1" x14ac:dyDescent="0.2">
      <c r="A109" s="3">
        <f t="shared" si="1"/>
        <v>107</v>
      </c>
      <c r="B109" s="3" t="s">
        <v>2313</v>
      </c>
      <c r="C109" s="3" t="s">
        <v>2313</v>
      </c>
      <c r="D109" s="5" t="s">
        <v>2312</v>
      </c>
      <c r="E109" s="5" t="s">
        <v>2314</v>
      </c>
      <c r="F109" s="3">
        <v>0</v>
      </c>
      <c r="G109" s="3">
        <v>0</v>
      </c>
      <c r="H109" s="3">
        <v>0</v>
      </c>
      <c r="I109" s="3">
        <v>50</v>
      </c>
      <c r="J109" s="3">
        <v>10</v>
      </c>
      <c r="K109" s="3">
        <v>0.95</v>
      </c>
      <c r="L109" s="3">
        <v>0</v>
      </c>
      <c r="M109" s="3">
        <v>8</v>
      </c>
      <c r="N109" s="3">
        <v>0</v>
      </c>
      <c r="O109" s="3">
        <v>0</v>
      </c>
      <c r="P109" s="3">
        <v>20</v>
      </c>
      <c r="Q109" s="3">
        <v>8</v>
      </c>
      <c r="R109" s="3">
        <v>0</v>
      </c>
      <c r="S109" s="3">
        <v>6</v>
      </c>
      <c r="T109" s="3">
        <v>0</v>
      </c>
      <c r="U109" s="3">
        <v>0</v>
      </c>
      <c r="V109" s="3">
        <v>0</v>
      </c>
      <c r="W109" s="3">
        <v>0</v>
      </c>
      <c r="X109" s="3">
        <v>10</v>
      </c>
      <c r="Y109" s="3">
        <v>0</v>
      </c>
      <c r="Z109" s="3">
        <v>5</v>
      </c>
      <c r="AA109" s="3">
        <v>0</v>
      </c>
      <c r="AB109" s="3">
        <v>0</v>
      </c>
      <c r="AC109" s="3">
        <v>0</v>
      </c>
      <c r="AD109" s="3">
        <v>0</v>
      </c>
      <c r="AE109" s="3">
        <v>5</v>
      </c>
      <c r="AF109" s="3">
        <v>0</v>
      </c>
      <c r="AG109" s="3">
        <v>0</v>
      </c>
      <c r="AH109" s="3">
        <v>0</v>
      </c>
      <c r="AI109" s="3">
        <v>0</v>
      </c>
      <c r="AJ109" s="3">
        <v>0</v>
      </c>
      <c r="AK109" s="3">
        <v>0</v>
      </c>
      <c r="AL109" s="3" t="s">
        <v>17</v>
      </c>
      <c r="AM109" s="3" t="s">
        <v>156</v>
      </c>
      <c r="AN109" s="6" t="s">
        <v>2491</v>
      </c>
      <c r="AO109" s="3" t="s">
        <v>50</v>
      </c>
      <c r="AP109" s="3">
        <v>0</v>
      </c>
      <c r="AQ109" s="3">
        <v>0</v>
      </c>
      <c r="AR109">
        <v>0</v>
      </c>
      <c r="AS109">
        <v>7</v>
      </c>
      <c r="AT109" s="6" t="s">
        <v>2514</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row>
    <row r="110" spans="1:73" ht="15.75" customHeight="1" x14ac:dyDescent="0.2">
      <c r="A110" s="3">
        <f t="shared" si="1"/>
        <v>108</v>
      </c>
      <c r="B110" s="3" t="s">
        <v>2311</v>
      </c>
      <c r="C110" s="3" t="s">
        <v>2311</v>
      </c>
      <c r="D110" s="5" t="s">
        <v>2309</v>
      </c>
      <c r="E110" s="5" t="s">
        <v>2310</v>
      </c>
      <c r="F110" s="3">
        <v>0</v>
      </c>
      <c r="G110" s="3">
        <v>0</v>
      </c>
      <c r="H110" s="3">
        <v>0</v>
      </c>
      <c r="I110" s="3">
        <v>50</v>
      </c>
      <c r="J110" s="3">
        <v>10</v>
      </c>
      <c r="K110" s="3">
        <v>0.95</v>
      </c>
      <c r="L110" s="3">
        <v>0</v>
      </c>
      <c r="M110" s="3">
        <v>17</v>
      </c>
      <c r="N110" s="3">
        <v>0</v>
      </c>
      <c r="O110" s="3">
        <v>15</v>
      </c>
      <c r="P110" s="3">
        <v>0</v>
      </c>
      <c r="Q110" s="3">
        <v>0</v>
      </c>
      <c r="R110" s="3">
        <v>10</v>
      </c>
      <c r="S110" s="3">
        <v>0</v>
      </c>
      <c r="T110" s="3">
        <v>0</v>
      </c>
      <c r="U110" s="3">
        <v>0</v>
      </c>
      <c r="V110" s="3">
        <v>0</v>
      </c>
      <c r="W110" s="3">
        <v>0</v>
      </c>
      <c r="X110" s="3">
        <v>5</v>
      </c>
      <c r="Y110" s="3">
        <v>0</v>
      </c>
      <c r="Z110" s="3">
        <v>5</v>
      </c>
      <c r="AA110" s="3">
        <v>0</v>
      </c>
      <c r="AB110" s="3">
        <v>0</v>
      </c>
      <c r="AC110" s="3">
        <v>0</v>
      </c>
      <c r="AD110" s="3">
        <v>0</v>
      </c>
      <c r="AE110" s="3">
        <v>3</v>
      </c>
      <c r="AF110" s="3">
        <v>0</v>
      </c>
      <c r="AG110" s="3">
        <v>3</v>
      </c>
      <c r="AH110" s="3">
        <v>3</v>
      </c>
      <c r="AI110" s="3">
        <v>0</v>
      </c>
      <c r="AJ110" s="3">
        <v>0</v>
      </c>
      <c r="AK110" s="3">
        <v>0</v>
      </c>
      <c r="AL110" s="3" t="s">
        <v>17</v>
      </c>
      <c r="AM110" s="3" t="s">
        <v>3426</v>
      </c>
      <c r="AN110" s="6" t="s">
        <v>2392</v>
      </c>
      <c r="AO110" s="3" t="s">
        <v>50</v>
      </c>
      <c r="AP110" s="3">
        <v>0</v>
      </c>
      <c r="AQ110" s="3">
        <v>0</v>
      </c>
      <c r="AR110">
        <v>0</v>
      </c>
      <c r="AS110">
        <v>7</v>
      </c>
      <c r="AT110" s="6" t="s">
        <v>2515</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row>
    <row r="111" spans="1:73" s="9" customFormat="1" ht="15.75" customHeight="1" x14ac:dyDescent="0.2">
      <c r="A111" s="7">
        <f t="shared" si="1"/>
        <v>109</v>
      </c>
      <c r="B111" s="7" t="s">
        <v>83</v>
      </c>
      <c r="C111" s="7" t="s">
        <v>363</v>
      </c>
      <c r="D111" s="8" t="s">
        <v>2622</v>
      </c>
      <c r="E111" s="8" t="s">
        <v>364</v>
      </c>
      <c r="F111" s="7">
        <v>0</v>
      </c>
      <c r="G111" s="7">
        <v>0</v>
      </c>
      <c r="H111" s="7">
        <v>0</v>
      </c>
      <c r="I111" s="7">
        <v>50</v>
      </c>
      <c r="J111" s="7">
        <v>5</v>
      </c>
      <c r="K111" s="7">
        <v>1</v>
      </c>
      <c r="L111" s="7">
        <v>0</v>
      </c>
      <c r="M111" s="7">
        <v>10</v>
      </c>
      <c r="N111" s="7">
        <v>0</v>
      </c>
      <c r="O111" s="7">
        <v>15</v>
      </c>
      <c r="P111" s="7">
        <v>0</v>
      </c>
      <c r="Q111" s="7">
        <v>0</v>
      </c>
      <c r="R111" s="7">
        <v>0</v>
      </c>
      <c r="S111" s="7">
        <v>0</v>
      </c>
      <c r="T111" s="7">
        <v>0</v>
      </c>
      <c r="U111" s="7">
        <v>0</v>
      </c>
      <c r="V111" s="7">
        <v>0</v>
      </c>
      <c r="W111" s="7">
        <v>0</v>
      </c>
      <c r="X111" s="7">
        <v>5</v>
      </c>
      <c r="Y111" s="7">
        <v>0</v>
      </c>
      <c r="Z111" s="7">
        <v>0</v>
      </c>
      <c r="AA111" s="7">
        <v>0</v>
      </c>
      <c r="AB111" s="7">
        <v>0</v>
      </c>
      <c r="AC111" s="7">
        <v>0</v>
      </c>
      <c r="AD111" s="7">
        <v>0</v>
      </c>
      <c r="AE111" s="7">
        <v>0</v>
      </c>
      <c r="AF111" s="7">
        <v>0</v>
      </c>
      <c r="AG111" s="7">
        <v>0</v>
      </c>
      <c r="AH111" s="7">
        <v>0</v>
      </c>
      <c r="AI111" s="7">
        <v>0</v>
      </c>
      <c r="AJ111" s="7">
        <v>0</v>
      </c>
      <c r="AK111" s="7">
        <v>0</v>
      </c>
      <c r="AL111" s="7" t="s">
        <v>365</v>
      </c>
      <c r="AM111" s="7" t="s">
        <v>23</v>
      </c>
      <c r="AN111" s="7" t="s">
        <v>973</v>
      </c>
      <c r="AO111" s="7" t="s">
        <v>1850</v>
      </c>
      <c r="AP111" s="7">
        <v>0</v>
      </c>
      <c r="AQ111" s="7">
        <v>0</v>
      </c>
      <c r="AR111" s="9">
        <v>0</v>
      </c>
      <c r="AS111" s="9">
        <v>1</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0</v>
      </c>
      <c r="BK111" s="9">
        <v>1</v>
      </c>
      <c r="BL111" s="9">
        <v>0</v>
      </c>
      <c r="BM111" s="9">
        <v>0</v>
      </c>
      <c r="BN111" s="9">
        <v>0</v>
      </c>
      <c r="BO111" s="9">
        <v>0</v>
      </c>
      <c r="BP111" s="10" t="s">
        <v>50</v>
      </c>
      <c r="BQ111" s="9">
        <v>0</v>
      </c>
      <c r="BR111" s="10" t="s">
        <v>50</v>
      </c>
      <c r="BS111" s="9">
        <v>0</v>
      </c>
      <c r="BT111" s="10" t="s">
        <v>50</v>
      </c>
      <c r="BU111" s="9">
        <v>0</v>
      </c>
    </row>
    <row r="112" spans="1:73" ht="15.75" customHeight="1" x14ac:dyDescent="0.2">
      <c r="A112" s="3">
        <f t="shared" si="1"/>
        <v>110</v>
      </c>
      <c r="B112" s="3" t="s">
        <v>3361</v>
      </c>
      <c r="C112" s="3" t="s">
        <v>3199</v>
      </c>
      <c r="D112" s="5" t="s">
        <v>3198</v>
      </c>
      <c r="E112" s="5" t="s">
        <v>3200</v>
      </c>
      <c r="F112" s="3">
        <v>0</v>
      </c>
      <c r="G112" s="3">
        <v>0</v>
      </c>
      <c r="H112" s="3">
        <v>0</v>
      </c>
      <c r="I112" s="3">
        <v>50</v>
      </c>
      <c r="J112" s="3">
        <v>5</v>
      </c>
      <c r="K112" s="3">
        <v>1</v>
      </c>
      <c r="L112" s="3">
        <v>0</v>
      </c>
      <c r="M112" s="3">
        <v>10</v>
      </c>
      <c r="N112" s="3">
        <v>0</v>
      </c>
      <c r="O112" s="3">
        <v>15</v>
      </c>
      <c r="P112" s="3">
        <v>0</v>
      </c>
      <c r="Q112" s="3">
        <v>0</v>
      </c>
      <c r="R112" s="3">
        <v>0</v>
      </c>
      <c r="S112" s="3">
        <v>0</v>
      </c>
      <c r="T112" s="3">
        <v>0</v>
      </c>
      <c r="U112" s="3">
        <v>0</v>
      </c>
      <c r="V112" s="3">
        <v>0</v>
      </c>
      <c r="W112" s="3">
        <v>0</v>
      </c>
      <c r="X112" s="3">
        <v>5</v>
      </c>
      <c r="Y112" s="3">
        <v>0</v>
      </c>
      <c r="Z112" s="3">
        <v>0</v>
      </c>
      <c r="AA112" s="3">
        <v>0</v>
      </c>
      <c r="AB112" s="3">
        <v>0</v>
      </c>
      <c r="AC112" s="3">
        <v>0</v>
      </c>
      <c r="AD112" s="3">
        <v>0</v>
      </c>
      <c r="AE112" s="3">
        <v>0</v>
      </c>
      <c r="AF112" s="3">
        <v>0</v>
      </c>
      <c r="AG112" s="3">
        <v>0</v>
      </c>
      <c r="AH112" s="3">
        <v>0</v>
      </c>
      <c r="AI112" s="3">
        <v>0</v>
      </c>
      <c r="AJ112" s="3">
        <v>0</v>
      </c>
      <c r="AK112" s="3">
        <v>0</v>
      </c>
      <c r="AL112" s="3" t="s">
        <v>51</v>
      </c>
      <c r="AM112" s="3" t="s">
        <v>23</v>
      </c>
      <c r="AN112" s="3" t="s">
        <v>973</v>
      </c>
      <c r="AO112" s="3" t="s">
        <v>50</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row>
    <row r="113" spans="1:73" ht="15.75" customHeight="1" x14ac:dyDescent="0.2">
      <c r="A113" s="3">
        <f t="shared" si="1"/>
        <v>111</v>
      </c>
      <c r="B113" s="3" t="s">
        <v>3181</v>
      </c>
      <c r="C113" s="3" t="s">
        <v>3181</v>
      </c>
      <c r="D113" s="25" t="s">
        <v>3183</v>
      </c>
      <c r="E113" s="4" t="s">
        <v>3178</v>
      </c>
      <c r="F113" s="3">
        <v>0</v>
      </c>
      <c r="G113" s="3">
        <v>0</v>
      </c>
      <c r="H113" s="3">
        <v>0</v>
      </c>
      <c r="I113" s="3">
        <v>50</v>
      </c>
      <c r="J113" s="3">
        <v>5</v>
      </c>
      <c r="K113" s="3">
        <v>1</v>
      </c>
      <c r="L113" s="3">
        <v>0</v>
      </c>
      <c r="M113" s="3">
        <v>5</v>
      </c>
      <c r="N113" s="3">
        <v>2</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51</v>
      </c>
      <c r="AM113" s="3" t="s">
        <v>3512</v>
      </c>
      <c r="AN113" s="3" t="s">
        <v>3185</v>
      </c>
      <c r="AO113" s="3" t="s">
        <v>50</v>
      </c>
      <c r="AP113" s="3">
        <v>0</v>
      </c>
      <c r="AQ113" s="3">
        <v>0</v>
      </c>
      <c r="AR113">
        <v>0</v>
      </c>
      <c r="AS113">
        <v>1</v>
      </c>
      <c r="AT113" s="6" t="s">
        <v>495</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row>
    <row r="114" spans="1:73" ht="15.75" customHeight="1" x14ac:dyDescent="0.2">
      <c r="A114" s="3">
        <f t="shared" si="1"/>
        <v>112</v>
      </c>
      <c r="B114" s="3" t="s">
        <v>3505</v>
      </c>
      <c r="C114" s="3" t="s">
        <v>3427</v>
      </c>
      <c r="D114" s="25" t="s">
        <v>3492</v>
      </c>
      <c r="E114" s="4" t="s">
        <v>3428</v>
      </c>
      <c r="F114" s="3">
        <v>0</v>
      </c>
      <c r="G114" s="3">
        <v>0</v>
      </c>
      <c r="H114" s="3">
        <v>0</v>
      </c>
      <c r="I114" s="3">
        <v>50</v>
      </c>
      <c r="J114" s="3">
        <v>5</v>
      </c>
      <c r="K114" s="3">
        <v>1</v>
      </c>
      <c r="L114" s="3">
        <v>0</v>
      </c>
      <c r="M114" s="3">
        <v>5</v>
      </c>
      <c r="N114" s="3">
        <v>2</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51</v>
      </c>
      <c r="AM114" s="3" t="s">
        <v>3512</v>
      </c>
      <c r="AN114" s="3" t="s">
        <v>3185</v>
      </c>
      <c r="AO114" s="3" t="s">
        <v>50</v>
      </c>
      <c r="AP114" s="3">
        <v>0</v>
      </c>
      <c r="AQ114" s="3">
        <v>0</v>
      </c>
      <c r="AR114">
        <v>0</v>
      </c>
      <c r="AS114">
        <v>1</v>
      </c>
      <c r="AT114" s="6" t="s">
        <v>495</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row>
    <row r="115" spans="1:73" ht="15.75" customHeight="1" x14ac:dyDescent="0.2">
      <c r="A115" s="3">
        <f t="shared" si="1"/>
        <v>113</v>
      </c>
      <c r="B115" s="3" t="s">
        <v>183</v>
      </c>
      <c r="C115" s="3" t="s">
        <v>73</v>
      </c>
      <c r="D115" s="5" t="s">
        <v>21</v>
      </c>
      <c r="E115" s="5" t="s">
        <v>125</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0</v>
      </c>
      <c r="AB115" s="3">
        <v>0</v>
      </c>
      <c r="AC115" s="3">
        <v>0</v>
      </c>
      <c r="AD115" s="3">
        <v>0</v>
      </c>
      <c r="AE115" s="3">
        <v>0</v>
      </c>
      <c r="AF115" s="3">
        <v>0</v>
      </c>
      <c r="AG115" s="3">
        <v>0</v>
      </c>
      <c r="AH115" s="3">
        <v>0</v>
      </c>
      <c r="AI115" s="3">
        <v>0</v>
      </c>
      <c r="AJ115" s="3">
        <v>0</v>
      </c>
      <c r="AK115" s="3">
        <v>0</v>
      </c>
      <c r="AL115" s="3" t="s">
        <v>17</v>
      </c>
      <c r="AM115" s="3" t="s">
        <v>156</v>
      </c>
      <c r="AN115" s="3" t="s">
        <v>1975</v>
      </c>
      <c r="AO115" s="3" t="s">
        <v>1850</v>
      </c>
      <c r="AP115" s="3">
        <v>0</v>
      </c>
      <c r="AQ115" s="3">
        <v>0</v>
      </c>
      <c r="AR115">
        <v>0</v>
      </c>
      <c r="AS115">
        <v>2</v>
      </c>
      <c r="AT115" s="6" t="s">
        <v>156</v>
      </c>
      <c r="AU115" s="6" t="s">
        <v>150</v>
      </c>
      <c r="AV115" s="6" t="s">
        <v>150</v>
      </c>
      <c r="AW115" s="6" t="s">
        <v>150</v>
      </c>
      <c r="AX115" s="6" t="s">
        <v>150</v>
      </c>
      <c r="AY115" s="6" t="s">
        <v>150</v>
      </c>
      <c r="AZ115" s="6" t="s">
        <v>150</v>
      </c>
      <c r="BA115" s="6" t="s">
        <v>150</v>
      </c>
      <c r="BB115" s="6" t="s">
        <v>150</v>
      </c>
      <c r="BC115" s="6" t="s">
        <v>150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row>
    <row r="116" spans="1:73" ht="15.75" customHeight="1" x14ac:dyDescent="0.2">
      <c r="A116" s="3">
        <f t="shared" si="1"/>
        <v>114</v>
      </c>
      <c r="B116" s="3" t="s">
        <v>3082</v>
      </c>
      <c r="C116" s="3" t="s">
        <v>1858</v>
      </c>
      <c r="D116" s="5" t="s">
        <v>1857</v>
      </c>
      <c r="E116" s="5" t="s">
        <v>1859</v>
      </c>
      <c r="F116" s="3">
        <v>0</v>
      </c>
      <c r="G116" s="3">
        <v>0</v>
      </c>
      <c r="H116" s="3">
        <v>0</v>
      </c>
      <c r="I116" s="3">
        <v>50</v>
      </c>
      <c r="J116" s="3">
        <v>3</v>
      </c>
      <c r="K116" s="3">
        <v>0.95</v>
      </c>
      <c r="L116" s="3">
        <v>0</v>
      </c>
      <c r="M116" s="3">
        <v>0</v>
      </c>
      <c r="N116" s="3">
        <v>0</v>
      </c>
      <c r="O116" s="3">
        <v>0</v>
      </c>
      <c r="P116" s="3">
        <v>5</v>
      </c>
      <c r="Q116" s="3">
        <v>0</v>
      </c>
      <c r="R116" s="3">
        <v>0</v>
      </c>
      <c r="S116" s="3">
        <v>0</v>
      </c>
      <c r="T116" s="3">
        <v>0</v>
      </c>
      <c r="U116" s="3">
        <v>0</v>
      </c>
      <c r="V116" s="3">
        <v>0</v>
      </c>
      <c r="W116" s="3">
        <v>3</v>
      </c>
      <c r="X116" s="3">
        <v>-3</v>
      </c>
      <c r="Y116" s="3">
        <v>2</v>
      </c>
      <c r="Z116" s="3">
        <v>2</v>
      </c>
      <c r="AA116" s="3">
        <v>0</v>
      </c>
      <c r="AB116" s="3">
        <v>0</v>
      </c>
      <c r="AC116" s="3">
        <v>0</v>
      </c>
      <c r="AD116" s="3">
        <v>0</v>
      </c>
      <c r="AE116" s="3">
        <v>0</v>
      </c>
      <c r="AF116" s="3">
        <v>3</v>
      </c>
      <c r="AG116" s="3">
        <v>3</v>
      </c>
      <c r="AH116" s="3">
        <v>3</v>
      </c>
      <c r="AI116" s="3">
        <v>0</v>
      </c>
      <c r="AJ116" s="3">
        <v>0</v>
      </c>
      <c r="AK116" s="3">
        <v>0</v>
      </c>
      <c r="AL116" s="3" t="s">
        <v>17</v>
      </c>
      <c r="AM116" s="3" t="s">
        <v>156</v>
      </c>
      <c r="AN116" s="3" t="s">
        <v>1975</v>
      </c>
      <c r="AO116" s="3" t="s">
        <v>50</v>
      </c>
      <c r="AP116" s="3">
        <v>0</v>
      </c>
      <c r="AQ116" s="3">
        <v>0</v>
      </c>
      <c r="AR116">
        <v>0</v>
      </c>
      <c r="AS116">
        <v>2</v>
      </c>
      <c r="AT116" s="6" t="s">
        <v>1864</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3</v>
      </c>
      <c r="BL116">
        <v>0</v>
      </c>
      <c r="BM116">
        <v>0</v>
      </c>
      <c r="BN116">
        <v>0</v>
      </c>
      <c r="BO116">
        <v>0</v>
      </c>
      <c r="BP116" s="6" t="s">
        <v>50</v>
      </c>
      <c r="BQ116">
        <v>0</v>
      </c>
      <c r="BR116" s="6" t="s">
        <v>50</v>
      </c>
      <c r="BS116">
        <v>0</v>
      </c>
      <c r="BT116" s="6" t="s">
        <v>50</v>
      </c>
      <c r="BU116">
        <v>0</v>
      </c>
    </row>
    <row r="117" spans="1:73" ht="15.75" customHeight="1" x14ac:dyDescent="0.2">
      <c r="A117" s="3">
        <f t="shared" si="1"/>
        <v>115</v>
      </c>
      <c r="B117" s="3" t="s">
        <v>2177</v>
      </c>
      <c r="C117" s="3" t="s">
        <v>2177</v>
      </c>
      <c r="D117" s="5" t="s">
        <v>2175</v>
      </c>
      <c r="E117" s="5" t="s">
        <v>2176</v>
      </c>
      <c r="F117" s="3">
        <v>0</v>
      </c>
      <c r="G117" s="3">
        <v>0</v>
      </c>
      <c r="H117" s="3">
        <v>0</v>
      </c>
      <c r="I117" s="3">
        <v>50</v>
      </c>
      <c r="J117" s="3">
        <v>3</v>
      </c>
      <c r="K117" s="3">
        <v>0.95</v>
      </c>
      <c r="L117" s="3">
        <v>0</v>
      </c>
      <c r="M117" s="3">
        <v>0</v>
      </c>
      <c r="N117" s="3">
        <v>0</v>
      </c>
      <c r="O117" s="3">
        <v>0</v>
      </c>
      <c r="P117" s="3">
        <v>5</v>
      </c>
      <c r="Q117" s="3">
        <v>0</v>
      </c>
      <c r="R117" s="3">
        <v>0</v>
      </c>
      <c r="S117" s="3">
        <v>0</v>
      </c>
      <c r="T117" s="3">
        <v>0</v>
      </c>
      <c r="U117" s="3">
        <v>0</v>
      </c>
      <c r="V117" s="3">
        <v>0</v>
      </c>
      <c r="W117" s="3">
        <v>3</v>
      </c>
      <c r="X117" s="3">
        <v>-3</v>
      </c>
      <c r="Y117" s="3">
        <v>2</v>
      </c>
      <c r="Z117" s="3">
        <v>2</v>
      </c>
      <c r="AA117" s="3">
        <v>5</v>
      </c>
      <c r="AB117" s="3">
        <v>0</v>
      </c>
      <c r="AC117" s="3">
        <v>0</v>
      </c>
      <c r="AD117" s="3">
        <v>0</v>
      </c>
      <c r="AE117" s="3">
        <v>0</v>
      </c>
      <c r="AF117" s="3">
        <v>0</v>
      </c>
      <c r="AG117" s="3">
        <v>0</v>
      </c>
      <c r="AH117" s="3">
        <v>0</v>
      </c>
      <c r="AI117" s="3">
        <v>0</v>
      </c>
      <c r="AJ117" s="3">
        <v>0</v>
      </c>
      <c r="AK117" s="3">
        <v>0</v>
      </c>
      <c r="AL117" s="3" t="s">
        <v>17</v>
      </c>
      <c r="AM117" s="3" t="s">
        <v>156</v>
      </c>
      <c r="AN117" s="3" t="s">
        <v>1975</v>
      </c>
      <c r="AO117" s="3" t="s">
        <v>50</v>
      </c>
      <c r="AP117" s="3">
        <v>0</v>
      </c>
      <c r="AQ117" s="3">
        <v>0</v>
      </c>
      <c r="AR117">
        <v>0</v>
      </c>
      <c r="AS117">
        <v>2</v>
      </c>
      <c r="AT117" s="6" t="s">
        <v>2516</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row>
    <row r="118" spans="1:73" ht="15.75" customHeight="1" x14ac:dyDescent="0.2">
      <c r="A118" s="3">
        <f t="shared" si="1"/>
        <v>116</v>
      </c>
      <c r="B118" s="3" t="s">
        <v>2554</v>
      </c>
      <c r="C118" s="3" t="s">
        <v>2180</v>
      </c>
      <c r="D118" s="5" t="s">
        <v>2178</v>
      </c>
      <c r="E118" s="5" t="s">
        <v>2179</v>
      </c>
      <c r="F118" s="3">
        <v>0</v>
      </c>
      <c r="G118" s="3">
        <v>0</v>
      </c>
      <c r="H118" s="3">
        <v>0</v>
      </c>
      <c r="I118" s="3">
        <v>50</v>
      </c>
      <c r="J118" s="3">
        <v>3</v>
      </c>
      <c r="K118" s="3">
        <v>0.95</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17</v>
      </c>
      <c r="AM118" s="3" t="s">
        <v>270</v>
      </c>
      <c r="AN118" s="3" t="s">
        <v>2181</v>
      </c>
      <c r="AO118" s="3" t="s">
        <v>50</v>
      </c>
      <c r="AP118" s="3">
        <v>0</v>
      </c>
      <c r="AQ118" s="3">
        <v>0</v>
      </c>
      <c r="AR118">
        <v>0</v>
      </c>
      <c r="AS118">
        <v>2</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row>
    <row r="119" spans="1:73" ht="15.75" customHeight="1" x14ac:dyDescent="0.2">
      <c r="A119" s="3">
        <f t="shared" si="1"/>
        <v>117</v>
      </c>
      <c r="B119" s="3" t="s">
        <v>376</v>
      </c>
      <c r="C119" s="3" t="s">
        <v>376</v>
      </c>
      <c r="D119" s="5" t="s">
        <v>825</v>
      </c>
      <c r="E119" s="5" t="s">
        <v>830</v>
      </c>
      <c r="F119" s="3">
        <v>0</v>
      </c>
      <c r="G119" s="3">
        <v>0</v>
      </c>
      <c r="H119" s="3">
        <v>0</v>
      </c>
      <c r="I119" s="3">
        <v>50</v>
      </c>
      <c r="J119" s="3">
        <v>3</v>
      </c>
      <c r="K119" s="3">
        <v>0.95</v>
      </c>
      <c r="L119" s="3">
        <v>0</v>
      </c>
      <c r="M119" s="3">
        <v>0</v>
      </c>
      <c r="N119" s="3">
        <v>0</v>
      </c>
      <c r="O119" s="3">
        <v>0</v>
      </c>
      <c r="P119" s="3">
        <v>0</v>
      </c>
      <c r="Q119" s="3">
        <v>0</v>
      </c>
      <c r="R119" s="3">
        <v>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1608</v>
      </c>
      <c r="AN119" s="3" t="s">
        <v>1976</v>
      </c>
      <c r="AO119" s="3" t="s">
        <v>1850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row>
    <row r="120" spans="1:73" ht="15.75" customHeight="1" x14ac:dyDescent="0.2">
      <c r="A120" s="3">
        <f t="shared" si="1"/>
        <v>118</v>
      </c>
      <c r="B120" s="3" t="s">
        <v>2388</v>
      </c>
      <c r="C120" s="3" t="s">
        <v>2388</v>
      </c>
      <c r="D120" s="5" t="s">
        <v>2599</v>
      </c>
      <c r="E120" s="5" t="s">
        <v>2389</v>
      </c>
      <c r="F120" s="3">
        <v>0</v>
      </c>
      <c r="G120" s="3">
        <v>0</v>
      </c>
      <c r="H120" s="3">
        <v>0</v>
      </c>
      <c r="I120" s="3">
        <v>50</v>
      </c>
      <c r="J120" s="3">
        <v>3</v>
      </c>
      <c r="K120" s="3">
        <v>0.95</v>
      </c>
      <c r="L120" s="3">
        <v>0</v>
      </c>
      <c r="M120" s="3">
        <v>0</v>
      </c>
      <c r="N120" s="3">
        <v>0</v>
      </c>
      <c r="O120" s="3">
        <v>0</v>
      </c>
      <c r="P120" s="3">
        <v>20</v>
      </c>
      <c r="Q120" s="3">
        <v>20</v>
      </c>
      <c r="R120" s="3">
        <v>20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1608</v>
      </c>
      <c r="AN120" s="3" t="s">
        <v>1976</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2</v>
      </c>
      <c r="BL120">
        <v>0</v>
      </c>
      <c r="BM120">
        <v>0</v>
      </c>
      <c r="BN120">
        <v>0</v>
      </c>
      <c r="BO120">
        <v>0</v>
      </c>
      <c r="BP120" s="6" t="s">
        <v>50</v>
      </c>
      <c r="BQ120">
        <v>0</v>
      </c>
      <c r="BR120" s="6" t="s">
        <v>50</v>
      </c>
      <c r="BS120">
        <v>0</v>
      </c>
      <c r="BT120" s="6" t="s">
        <v>50</v>
      </c>
      <c r="BU120">
        <v>0</v>
      </c>
    </row>
    <row r="121" spans="1:73" ht="15.75" customHeight="1" x14ac:dyDescent="0.2">
      <c r="A121" s="3">
        <f t="shared" si="1"/>
        <v>119</v>
      </c>
      <c r="B121" s="3" t="s">
        <v>2405</v>
      </c>
      <c r="C121" s="3" t="s">
        <v>2405</v>
      </c>
      <c r="D121" s="5" t="s">
        <v>2404</v>
      </c>
      <c r="E121" s="5" t="s">
        <v>2406</v>
      </c>
      <c r="F121" s="3">
        <v>0</v>
      </c>
      <c r="G121" s="3">
        <v>0</v>
      </c>
      <c r="H121" s="3">
        <v>0</v>
      </c>
      <c r="I121" s="3">
        <v>50</v>
      </c>
      <c r="J121" s="3">
        <v>3</v>
      </c>
      <c r="K121" s="3">
        <v>0.95</v>
      </c>
      <c r="L121" s="3">
        <v>0</v>
      </c>
      <c r="M121" s="3">
        <v>0</v>
      </c>
      <c r="N121" s="3">
        <v>0</v>
      </c>
      <c r="O121" s="3">
        <v>0</v>
      </c>
      <c r="P121" s="3">
        <v>40</v>
      </c>
      <c r="Q121" s="3">
        <v>40</v>
      </c>
      <c r="R121" s="3">
        <v>40</v>
      </c>
      <c r="S121" s="3">
        <v>0</v>
      </c>
      <c r="T121" s="3">
        <v>0</v>
      </c>
      <c r="U121" s="3">
        <v>0</v>
      </c>
      <c r="V121" s="3">
        <v>-7</v>
      </c>
      <c r="W121" s="3">
        <v>0</v>
      </c>
      <c r="X121" s="3">
        <v>15</v>
      </c>
      <c r="Y121" s="3">
        <v>0</v>
      </c>
      <c r="Z121" s="3">
        <v>0</v>
      </c>
      <c r="AA121" s="3">
        <v>0</v>
      </c>
      <c r="AB121" s="3">
        <v>0</v>
      </c>
      <c r="AC121" s="3">
        <v>0</v>
      </c>
      <c r="AD121" s="3">
        <v>0</v>
      </c>
      <c r="AE121" s="3">
        <v>0</v>
      </c>
      <c r="AF121" s="3">
        <v>0</v>
      </c>
      <c r="AG121" s="3">
        <v>0</v>
      </c>
      <c r="AH121" s="3">
        <v>0</v>
      </c>
      <c r="AI121" s="3">
        <v>0</v>
      </c>
      <c r="AJ121" s="3">
        <v>0</v>
      </c>
      <c r="AK121" s="3">
        <v>0</v>
      </c>
      <c r="AL121" s="3" t="s">
        <v>17</v>
      </c>
      <c r="AM121" s="3" t="s">
        <v>1608</v>
      </c>
      <c r="AN121" s="3" t="s">
        <v>1976</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3</v>
      </c>
      <c r="BL121">
        <v>0</v>
      </c>
      <c r="BM121">
        <v>0</v>
      </c>
      <c r="BN121">
        <v>0</v>
      </c>
      <c r="BO121">
        <v>0</v>
      </c>
      <c r="BP121" s="6" t="s">
        <v>50</v>
      </c>
      <c r="BQ121">
        <v>0</v>
      </c>
      <c r="BR121" s="6" t="s">
        <v>50</v>
      </c>
      <c r="BS121">
        <v>0</v>
      </c>
      <c r="BT121" s="6" t="s">
        <v>50</v>
      </c>
      <c r="BU121">
        <v>0</v>
      </c>
    </row>
    <row r="122" spans="1:73" ht="15.75" customHeight="1" x14ac:dyDescent="0.2">
      <c r="A122" s="3">
        <f t="shared" si="1"/>
        <v>120</v>
      </c>
      <c r="B122" s="3" t="s">
        <v>2636</v>
      </c>
      <c r="C122" s="3" t="s">
        <v>2636</v>
      </c>
      <c r="D122" s="5" t="s">
        <v>2635</v>
      </c>
      <c r="E122" s="5" t="s">
        <v>3117</v>
      </c>
      <c r="F122" s="3">
        <v>0</v>
      </c>
      <c r="G122" s="3">
        <v>0</v>
      </c>
      <c r="H122" s="3">
        <v>0</v>
      </c>
      <c r="I122" s="3">
        <v>50</v>
      </c>
      <c r="J122" s="3">
        <v>3</v>
      </c>
      <c r="K122" s="3">
        <v>0.95</v>
      </c>
      <c r="L122" s="3">
        <v>0</v>
      </c>
      <c r="M122" s="3">
        <v>0</v>
      </c>
      <c r="N122" s="3">
        <v>0</v>
      </c>
      <c r="O122" s="3">
        <v>0</v>
      </c>
      <c r="P122" s="3">
        <v>0</v>
      </c>
      <c r="Q122" s="3">
        <v>0</v>
      </c>
      <c r="R122" s="3">
        <v>0</v>
      </c>
      <c r="S122" s="3">
        <v>0</v>
      </c>
      <c r="T122" s="3">
        <v>0</v>
      </c>
      <c r="U122" s="3">
        <v>0</v>
      </c>
      <c r="V122" s="3">
        <v>-7</v>
      </c>
      <c r="W122" s="3">
        <v>0</v>
      </c>
      <c r="X122" s="3">
        <v>15</v>
      </c>
      <c r="Y122" s="3">
        <v>0</v>
      </c>
      <c r="Z122" s="3">
        <v>0</v>
      </c>
      <c r="AA122" s="3">
        <v>0</v>
      </c>
      <c r="AB122" s="3">
        <v>0</v>
      </c>
      <c r="AC122" s="3">
        <v>0</v>
      </c>
      <c r="AD122" s="3">
        <v>0</v>
      </c>
      <c r="AE122" s="3">
        <v>0</v>
      </c>
      <c r="AF122" s="3">
        <v>0</v>
      </c>
      <c r="AG122" s="3">
        <v>0</v>
      </c>
      <c r="AH122" s="3">
        <v>0</v>
      </c>
      <c r="AI122" s="3">
        <v>0</v>
      </c>
      <c r="AJ122" s="3">
        <v>0</v>
      </c>
      <c r="AK122" s="3">
        <v>0</v>
      </c>
      <c r="AL122" s="3" t="s">
        <v>17</v>
      </c>
      <c r="AM122" s="3" t="s">
        <v>1608</v>
      </c>
      <c r="AN122" s="3" t="s">
        <v>2637</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row>
    <row r="123" spans="1:73" s="9" customFormat="1" ht="15.75" customHeight="1" x14ac:dyDescent="0.2">
      <c r="A123" s="7">
        <f t="shared" si="1"/>
        <v>121</v>
      </c>
      <c r="B123" s="7" t="s">
        <v>2636</v>
      </c>
      <c r="C123" s="7" t="s">
        <v>3350</v>
      </c>
      <c r="D123" s="8" t="s">
        <v>3348</v>
      </c>
      <c r="E123" s="8" t="s">
        <v>3349</v>
      </c>
      <c r="F123" s="7">
        <v>0</v>
      </c>
      <c r="G123" s="7">
        <v>0</v>
      </c>
      <c r="H123" s="7">
        <v>0</v>
      </c>
      <c r="I123" s="7">
        <v>50</v>
      </c>
      <c r="J123" s="7">
        <v>3</v>
      </c>
      <c r="K123" s="7">
        <v>0.95</v>
      </c>
      <c r="L123" s="7">
        <v>0</v>
      </c>
      <c r="M123" s="7">
        <v>0</v>
      </c>
      <c r="N123" s="7">
        <v>0</v>
      </c>
      <c r="O123" s="7">
        <v>0</v>
      </c>
      <c r="P123" s="7">
        <v>0</v>
      </c>
      <c r="Q123" s="7">
        <v>0</v>
      </c>
      <c r="R123" s="7">
        <v>0</v>
      </c>
      <c r="S123" s="7">
        <v>0</v>
      </c>
      <c r="T123" s="7">
        <v>0</v>
      </c>
      <c r="U123" s="7">
        <v>0</v>
      </c>
      <c r="V123" s="7">
        <v>-7</v>
      </c>
      <c r="W123" s="7">
        <v>0</v>
      </c>
      <c r="X123" s="7">
        <v>15</v>
      </c>
      <c r="Y123" s="7">
        <v>0</v>
      </c>
      <c r="Z123" s="7">
        <v>0</v>
      </c>
      <c r="AA123" s="7">
        <v>0</v>
      </c>
      <c r="AB123" s="7">
        <v>0</v>
      </c>
      <c r="AC123" s="7">
        <v>0</v>
      </c>
      <c r="AD123" s="7">
        <v>0</v>
      </c>
      <c r="AE123" s="7">
        <v>0</v>
      </c>
      <c r="AF123" s="7">
        <v>0</v>
      </c>
      <c r="AG123" s="7">
        <v>0</v>
      </c>
      <c r="AH123" s="7">
        <v>0</v>
      </c>
      <c r="AI123" s="7">
        <v>0</v>
      </c>
      <c r="AJ123" s="7">
        <v>0</v>
      </c>
      <c r="AK123" s="7">
        <v>0</v>
      </c>
      <c r="AL123" s="7" t="s">
        <v>17</v>
      </c>
      <c r="AM123" s="7" t="s">
        <v>1608</v>
      </c>
      <c r="AN123" s="7" t="s">
        <v>2637</v>
      </c>
      <c r="AO123" s="7" t="s">
        <v>50</v>
      </c>
      <c r="AP123" s="7">
        <v>0</v>
      </c>
      <c r="AQ123" s="7">
        <v>0</v>
      </c>
      <c r="AR123" s="9">
        <v>0</v>
      </c>
      <c r="AS123" s="9">
        <v>1</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3</v>
      </c>
      <c r="BL123" s="9">
        <v>0</v>
      </c>
      <c r="BM123" s="9">
        <v>0</v>
      </c>
      <c r="BN123" s="9">
        <v>0</v>
      </c>
      <c r="BO123" s="9">
        <v>0</v>
      </c>
      <c r="BP123" s="10" t="s">
        <v>50</v>
      </c>
      <c r="BQ123" s="9">
        <v>0</v>
      </c>
      <c r="BR123" s="10" t="s">
        <v>50</v>
      </c>
      <c r="BS123" s="9">
        <v>0</v>
      </c>
      <c r="BT123" s="10" t="s">
        <v>50</v>
      </c>
      <c r="BU123" s="9">
        <v>0</v>
      </c>
    </row>
    <row r="124" spans="1:73" ht="15.75" customHeight="1" x14ac:dyDescent="0.2">
      <c r="A124" s="3">
        <f t="shared" si="1"/>
        <v>122</v>
      </c>
      <c r="B124" s="3" t="s">
        <v>1489</v>
      </c>
      <c r="C124" s="3" t="s">
        <v>1489</v>
      </c>
      <c r="D124" s="25" t="s">
        <v>1488</v>
      </c>
      <c r="E124" s="4" t="s">
        <v>1493</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1608</v>
      </c>
      <c r="AN124" s="3" t="s">
        <v>2934</v>
      </c>
      <c r="AO124" s="3" t="s">
        <v>1850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row>
    <row r="125" spans="1:73" ht="15.75" customHeight="1" x14ac:dyDescent="0.2">
      <c r="A125" s="3">
        <f t="shared" si="1"/>
        <v>123</v>
      </c>
      <c r="B125" s="3" t="s">
        <v>2932</v>
      </c>
      <c r="C125" s="3" t="s">
        <v>2932</v>
      </c>
      <c r="D125" s="25" t="s">
        <v>2931</v>
      </c>
      <c r="E125" s="4" t="s">
        <v>2933</v>
      </c>
      <c r="F125" s="3">
        <v>0</v>
      </c>
      <c r="G125" s="3">
        <v>0</v>
      </c>
      <c r="H125" s="3">
        <v>0</v>
      </c>
      <c r="I125" s="3">
        <v>0</v>
      </c>
      <c r="J125" s="3">
        <v>0</v>
      </c>
      <c r="K125" s="3">
        <v>1</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51</v>
      </c>
      <c r="AM125" s="3" t="s">
        <v>1608</v>
      </c>
      <c r="AN125" s="3" t="s">
        <v>2940</v>
      </c>
      <c r="AO125" s="3" t="s">
        <v>50</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row>
    <row r="126" spans="1:73" ht="15.75" customHeight="1" x14ac:dyDescent="0.2">
      <c r="A126" s="3">
        <f t="shared" si="1"/>
        <v>124</v>
      </c>
      <c r="B126" s="3" t="s">
        <v>1490</v>
      </c>
      <c r="C126" s="3" t="s">
        <v>1490</v>
      </c>
      <c r="D126" s="25" t="s">
        <v>1491</v>
      </c>
      <c r="E126" s="4" t="s">
        <v>1492</v>
      </c>
      <c r="F126" s="3">
        <v>0</v>
      </c>
      <c r="G126" s="3">
        <v>0</v>
      </c>
      <c r="H126" s="3">
        <v>0</v>
      </c>
      <c r="I126" s="3">
        <v>0</v>
      </c>
      <c r="J126" s="3">
        <v>0</v>
      </c>
      <c r="K126" s="3">
        <v>1</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51</v>
      </c>
      <c r="AM126" s="3" t="s">
        <v>1608</v>
      </c>
      <c r="AN126" s="3" t="s">
        <v>2934</v>
      </c>
      <c r="AO126" s="3" t="s">
        <v>1850</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row>
    <row r="127" spans="1:73" ht="15.75" customHeight="1" x14ac:dyDescent="0.2">
      <c r="A127" s="3">
        <f t="shared" si="1"/>
        <v>125</v>
      </c>
      <c r="B127" s="3" t="s">
        <v>611</v>
      </c>
      <c r="C127" s="3" t="s">
        <v>611</v>
      </c>
      <c r="D127" s="5" t="s">
        <v>610</v>
      </c>
      <c r="E127" s="5" t="s">
        <v>612</v>
      </c>
      <c r="F127" s="3">
        <v>0</v>
      </c>
      <c r="G127" s="3">
        <v>0</v>
      </c>
      <c r="H127" s="3">
        <v>0</v>
      </c>
      <c r="I127" s="3">
        <v>50</v>
      </c>
      <c r="J127" s="3">
        <v>3</v>
      </c>
      <c r="K127" s="3">
        <v>0.95</v>
      </c>
      <c r="L127" s="3">
        <v>0</v>
      </c>
      <c r="M127" s="3">
        <v>0</v>
      </c>
      <c r="N127" s="3">
        <v>12</v>
      </c>
      <c r="O127" s="3">
        <v>12</v>
      </c>
      <c r="P127" s="3">
        <v>0</v>
      </c>
      <c r="Q127" s="3">
        <v>0</v>
      </c>
      <c r="R127" s="3">
        <v>0</v>
      </c>
      <c r="S127" s="3">
        <v>0</v>
      </c>
      <c r="T127" s="3">
        <v>0</v>
      </c>
      <c r="U127" s="3">
        <v>0</v>
      </c>
      <c r="V127" s="3">
        <v>-3</v>
      </c>
      <c r="W127" s="3">
        <v>-3</v>
      </c>
      <c r="X127" s="3">
        <v>1</v>
      </c>
      <c r="Y127" s="3">
        <v>0</v>
      </c>
      <c r="Z127" s="3">
        <v>20</v>
      </c>
      <c r="AA127" s="3">
        <v>3</v>
      </c>
      <c r="AB127" s="3">
        <v>0</v>
      </c>
      <c r="AC127" s="3">
        <v>0</v>
      </c>
      <c r="AD127" s="3">
        <v>0</v>
      </c>
      <c r="AE127" s="3">
        <v>0</v>
      </c>
      <c r="AF127" s="3">
        <v>0</v>
      </c>
      <c r="AG127" s="3">
        <v>0</v>
      </c>
      <c r="AH127" s="3">
        <v>0</v>
      </c>
      <c r="AI127" s="3">
        <v>0</v>
      </c>
      <c r="AJ127" s="3">
        <v>0</v>
      </c>
      <c r="AK127" s="3">
        <v>0</v>
      </c>
      <c r="AL127" s="3" t="s">
        <v>17</v>
      </c>
      <c r="AM127" s="3" t="s">
        <v>3317</v>
      </c>
      <c r="AN127" s="3" t="s">
        <v>1977</v>
      </c>
      <c r="AO127" s="3" t="s">
        <v>1850</v>
      </c>
      <c r="AP127" s="3">
        <v>0</v>
      </c>
      <c r="AQ127" s="3">
        <v>0</v>
      </c>
      <c r="AR127">
        <v>0</v>
      </c>
      <c r="AS127">
        <v>2</v>
      </c>
      <c r="AT127" s="6" t="s">
        <v>872</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row>
    <row r="128" spans="1:73" ht="15.75" customHeight="1" x14ac:dyDescent="0.2">
      <c r="A128" s="3">
        <f t="shared" si="1"/>
        <v>126</v>
      </c>
      <c r="B128" s="3" t="s">
        <v>2411</v>
      </c>
      <c r="C128" s="3" t="s">
        <v>2411</v>
      </c>
      <c r="D128" s="5" t="s">
        <v>2410</v>
      </c>
      <c r="E128" s="5" t="s">
        <v>2412</v>
      </c>
      <c r="F128" s="3">
        <v>0</v>
      </c>
      <c r="G128" s="3">
        <v>0</v>
      </c>
      <c r="H128" s="3">
        <v>0</v>
      </c>
      <c r="I128" s="3">
        <v>50</v>
      </c>
      <c r="J128" s="3">
        <v>3</v>
      </c>
      <c r="K128" s="3">
        <v>0.95</v>
      </c>
      <c r="L128" s="3">
        <v>0</v>
      </c>
      <c r="M128" s="3">
        <v>0</v>
      </c>
      <c r="N128" s="3">
        <v>15</v>
      </c>
      <c r="O128" s="3">
        <v>15</v>
      </c>
      <c r="P128" s="3">
        <v>0</v>
      </c>
      <c r="Q128" s="3">
        <v>0</v>
      </c>
      <c r="R128" s="3">
        <v>0</v>
      </c>
      <c r="S128" s="3">
        <v>0</v>
      </c>
      <c r="T128" s="3">
        <v>0</v>
      </c>
      <c r="U128" s="3">
        <v>0</v>
      </c>
      <c r="V128" s="3">
        <v>-3</v>
      </c>
      <c r="W128" s="3">
        <v>-3</v>
      </c>
      <c r="X128" s="3">
        <v>1</v>
      </c>
      <c r="Y128" s="3">
        <v>0</v>
      </c>
      <c r="Z128" s="3">
        <v>20</v>
      </c>
      <c r="AA128" s="3">
        <v>0</v>
      </c>
      <c r="AB128" s="3">
        <v>0</v>
      </c>
      <c r="AC128" s="3">
        <v>0</v>
      </c>
      <c r="AD128" s="3">
        <v>0</v>
      </c>
      <c r="AE128" s="3">
        <v>0</v>
      </c>
      <c r="AF128" s="3">
        <v>0</v>
      </c>
      <c r="AG128" s="3">
        <v>5</v>
      </c>
      <c r="AH128" s="3">
        <v>0</v>
      </c>
      <c r="AI128" s="3">
        <v>10</v>
      </c>
      <c r="AJ128" s="3">
        <v>0</v>
      </c>
      <c r="AK128" s="3">
        <v>0</v>
      </c>
      <c r="AL128" s="3" t="s">
        <v>17</v>
      </c>
      <c r="AM128" s="3" t="s">
        <v>3317</v>
      </c>
      <c r="AN128" s="3" t="s">
        <v>1977</v>
      </c>
      <c r="AO128" s="3" t="s">
        <v>50</v>
      </c>
      <c r="AP128" s="3">
        <v>0</v>
      </c>
      <c r="AQ128" s="3">
        <v>0</v>
      </c>
      <c r="AR128">
        <v>0</v>
      </c>
      <c r="AS128">
        <v>2</v>
      </c>
      <c r="AT128" s="6" t="s">
        <v>2517</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row>
    <row r="129" spans="1:73" ht="15.75" customHeight="1" x14ac:dyDescent="0.2">
      <c r="A129" s="3">
        <f t="shared" si="1"/>
        <v>127</v>
      </c>
      <c r="B129" s="3" t="s">
        <v>2598</v>
      </c>
      <c r="C129" s="3" t="s">
        <v>2598</v>
      </c>
      <c r="D129" s="5" t="s">
        <v>2597</v>
      </c>
      <c r="E129" s="5" t="s">
        <v>2639</v>
      </c>
      <c r="F129" s="3">
        <v>0</v>
      </c>
      <c r="G129" s="3">
        <v>0</v>
      </c>
      <c r="H129" s="3">
        <v>0</v>
      </c>
      <c r="I129" s="3">
        <v>50</v>
      </c>
      <c r="J129" s="3">
        <v>3</v>
      </c>
      <c r="K129" s="3">
        <v>0.95</v>
      </c>
      <c r="L129" s="3">
        <v>0</v>
      </c>
      <c r="M129" s="3">
        <v>12</v>
      </c>
      <c r="N129" s="3">
        <v>6</v>
      </c>
      <c r="O129" s="3">
        <v>0</v>
      </c>
      <c r="P129" s="3">
        <v>0</v>
      </c>
      <c r="Q129" s="3">
        <v>0</v>
      </c>
      <c r="R129" s="3">
        <v>0</v>
      </c>
      <c r="S129" s="3">
        <v>0</v>
      </c>
      <c r="T129" s="3">
        <v>0</v>
      </c>
      <c r="U129" s="3">
        <v>0</v>
      </c>
      <c r="V129" s="3">
        <v>-3</v>
      </c>
      <c r="W129" s="3">
        <v>-3</v>
      </c>
      <c r="X129" s="3">
        <v>1</v>
      </c>
      <c r="Y129" s="3">
        <v>0</v>
      </c>
      <c r="Z129" s="3">
        <v>20</v>
      </c>
      <c r="AA129" s="3">
        <v>0</v>
      </c>
      <c r="AB129" s="3">
        <v>10</v>
      </c>
      <c r="AC129" s="3">
        <v>4</v>
      </c>
      <c r="AD129" s="3">
        <v>0</v>
      </c>
      <c r="AE129" s="3">
        <v>0</v>
      </c>
      <c r="AF129" s="3">
        <v>0</v>
      </c>
      <c r="AG129" s="3">
        <v>5</v>
      </c>
      <c r="AH129" s="3">
        <v>0</v>
      </c>
      <c r="AI129" s="3">
        <v>0</v>
      </c>
      <c r="AJ129" s="3">
        <v>0</v>
      </c>
      <c r="AK129" s="3">
        <v>0</v>
      </c>
      <c r="AL129" s="3" t="s">
        <v>17</v>
      </c>
      <c r="AM129" s="3" t="s">
        <v>3317</v>
      </c>
      <c r="AN129" s="3" t="s">
        <v>1977</v>
      </c>
      <c r="AO129" s="3" t="s">
        <v>50</v>
      </c>
      <c r="AP129" s="3">
        <v>0</v>
      </c>
      <c r="AQ129" s="3">
        <v>0</v>
      </c>
      <c r="AR129">
        <v>0</v>
      </c>
      <c r="AS129">
        <v>2</v>
      </c>
      <c r="AT129" s="6" t="s">
        <v>3493</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row>
    <row r="130" spans="1:73" ht="15.75" customHeight="1" x14ac:dyDescent="0.2">
      <c r="A130" s="3">
        <f t="shared" ref="A130:A193" si="2">ROW()-2</f>
        <v>128</v>
      </c>
      <c r="B130" s="3" t="s">
        <v>1471</v>
      </c>
      <c r="C130" s="3" t="s">
        <v>1453</v>
      </c>
      <c r="D130" s="5" t="s">
        <v>1450</v>
      </c>
      <c r="E130" s="5" t="s">
        <v>1451</v>
      </c>
      <c r="F130" s="3">
        <v>0</v>
      </c>
      <c r="G130" s="3">
        <v>0</v>
      </c>
      <c r="H130" s="3">
        <v>0</v>
      </c>
      <c r="I130" s="3">
        <v>50</v>
      </c>
      <c r="J130" s="3">
        <v>3</v>
      </c>
      <c r="K130" s="3">
        <v>0.95</v>
      </c>
      <c r="L130" s="3">
        <v>0</v>
      </c>
      <c r="M130" s="3">
        <v>10</v>
      </c>
      <c r="N130" s="3">
        <v>21</v>
      </c>
      <c r="O130" s="3">
        <v>5</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3317</v>
      </c>
      <c r="AN130" s="3" t="s">
        <v>1978</v>
      </c>
      <c r="AO130" s="3" t="s">
        <v>1850</v>
      </c>
      <c r="AP130" s="3">
        <v>0</v>
      </c>
      <c r="AQ130" s="3">
        <v>0</v>
      </c>
      <c r="AR130">
        <v>0</v>
      </c>
      <c r="AS130">
        <v>2</v>
      </c>
      <c r="AT130" s="6" t="s">
        <v>1452</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row>
    <row r="131" spans="1:73" ht="15.75" customHeight="1" x14ac:dyDescent="0.2">
      <c r="A131" s="3">
        <f t="shared" si="2"/>
        <v>129</v>
      </c>
      <c r="B131" s="3" t="s">
        <v>2553</v>
      </c>
      <c r="C131" s="3" t="s">
        <v>2423</v>
      </c>
      <c r="D131" s="5" t="s">
        <v>2422</v>
      </c>
      <c r="E131" s="5" t="s">
        <v>2430</v>
      </c>
      <c r="F131" s="3">
        <v>0</v>
      </c>
      <c r="G131" s="3">
        <v>0</v>
      </c>
      <c r="H131" s="3">
        <v>0</v>
      </c>
      <c r="I131" s="3">
        <v>50</v>
      </c>
      <c r="J131" s="3">
        <v>3</v>
      </c>
      <c r="K131" s="3">
        <v>0.95</v>
      </c>
      <c r="L131" s="3">
        <v>0</v>
      </c>
      <c r="M131" s="3">
        <v>10</v>
      </c>
      <c r="N131" s="3">
        <v>5</v>
      </c>
      <c r="O131" s="3">
        <v>21</v>
      </c>
      <c r="P131" s="3">
        <v>0</v>
      </c>
      <c r="Q131" s="3">
        <v>0</v>
      </c>
      <c r="R131" s="3">
        <v>0</v>
      </c>
      <c r="S131" s="3">
        <v>0</v>
      </c>
      <c r="T131" s="3">
        <v>0</v>
      </c>
      <c r="U131" s="3">
        <v>0</v>
      </c>
      <c r="V131" s="3">
        <v>0</v>
      </c>
      <c r="W131" s="3">
        <v>0</v>
      </c>
      <c r="X131" s="3">
        <v>0</v>
      </c>
      <c r="Y131" s="3">
        <v>0</v>
      </c>
      <c r="Z131" s="3">
        <v>0</v>
      </c>
      <c r="AA131" s="3">
        <v>10</v>
      </c>
      <c r="AB131" s="3">
        <v>0</v>
      </c>
      <c r="AC131" s="3">
        <v>0</v>
      </c>
      <c r="AD131" s="3">
        <v>0</v>
      </c>
      <c r="AE131" s="3">
        <v>0</v>
      </c>
      <c r="AF131" s="3">
        <v>0</v>
      </c>
      <c r="AG131" s="3">
        <v>8</v>
      </c>
      <c r="AH131" s="3">
        <v>5</v>
      </c>
      <c r="AI131" s="3">
        <v>10</v>
      </c>
      <c r="AJ131" s="3">
        <v>0</v>
      </c>
      <c r="AK131" s="3">
        <v>0</v>
      </c>
      <c r="AL131" s="3" t="s">
        <v>17</v>
      </c>
      <c r="AM131" s="3" t="s">
        <v>3317</v>
      </c>
      <c r="AN131" s="3" t="s">
        <v>1978</v>
      </c>
      <c r="AO131" s="3" t="s">
        <v>50</v>
      </c>
      <c r="AP131" s="3">
        <v>0</v>
      </c>
      <c r="AQ131" s="3">
        <v>0</v>
      </c>
      <c r="AR131">
        <v>0</v>
      </c>
      <c r="AS131">
        <v>2</v>
      </c>
      <c r="AT131" s="6" t="s">
        <v>2518</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row>
    <row r="132" spans="1:73" ht="15.75" customHeight="1" x14ac:dyDescent="0.2">
      <c r="A132" s="3">
        <f t="shared" si="2"/>
        <v>130</v>
      </c>
      <c r="B132" s="3" t="s">
        <v>2848</v>
      </c>
      <c r="C132" s="3" t="s">
        <v>2848</v>
      </c>
      <c r="D132" s="5" t="s">
        <v>2847</v>
      </c>
      <c r="E132" s="5" t="s">
        <v>2849</v>
      </c>
      <c r="F132" s="3">
        <v>0</v>
      </c>
      <c r="G132" s="3">
        <v>0</v>
      </c>
      <c r="H132" s="3">
        <v>0</v>
      </c>
      <c r="I132" s="3">
        <v>50</v>
      </c>
      <c r="J132" s="3">
        <v>3</v>
      </c>
      <c r="K132" s="3">
        <v>0.95</v>
      </c>
      <c r="L132" s="3">
        <v>0</v>
      </c>
      <c r="M132" s="3">
        <v>5</v>
      </c>
      <c r="N132" s="3">
        <v>0</v>
      </c>
      <c r="O132" s="3">
        <v>0</v>
      </c>
      <c r="P132" s="3">
        <v>8</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3318</v>
      </c>
      <c r="AN132" s="3" t="s">
        <v>2879</v>
      </c>
      <c r="AO132" s="3" t="s">
        <v>50</v>
      </c>
      <c r="AP132" s="3">
        <v>0</v>
      </c>
      <c r="AQ132" s="3">
        <v>0</v>
      </c>
      <c r="AR132">
        <v>0</v>
      </c>
      <c r="AS132">
        <v>2</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row>
    <row r="133" spans="1:73" ht="15.75" customHeight="1" x14ac:dyDescent="0.2">
      <c r="A133" s="3">
        <f t="shared" si="2"/>
        <v>131</v>
      </c>
      <c r="B133" s="3" t="s">
        <v>2848</v>
      </c>
      <c r="C133" s="3" t="s">
        <v>3494</v>
      </c>
      <c r="D133" s="5" t="s">
        <v>3495</v>
      </c>
      <c r="E133" s="5" t="s">
        <v>3496</v>
      </c>
      <c r="F133" s="3">
        <v>0</v>
      </c>
      <c r="G133" s="3">
        <v>0</v>
      </c>
      <c r="H133" s="3">
        <v>0</v>
      </c>
      <c r="I133" s="3">
        <v>50</v>
      </c>
      <c r="J133" s="3">
        <v>3</v>
      </c>
      <c r="K133" s="3">
        <v>0.95</v>
      </c>
      <c r="L133" s="3">
        <v>0</v>
      </c>
      <c r="M133" s="3">
        <v>5</v>
      </c>
      <c r="N133" s="3">
        <v>0</v>
      </c>
      <c r="O133" s="3">
        <v>0</v>
      </c>
      <c r="P133" s="3">
        <v>8</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3318</v>
      </c>
      <c r="AN133" s="3" t="s">
        <v>2879</v>
      </c>
      <c r="AO133" s="3" t="s">
        <v>50</v>
      </c>
      <c r="AP133" s="3">
        <v>0</v>
      </c>
      <c r="AQ133" s="3">
        <v>0</v>
      </c>
      <c r="AR133">
        <v>0</v>
      </c>
      <c r="AS133">
        <v>2</v>
      </c>
      <c r="AT133" s="6" t="s">
        <v>2518</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row>
    <row r="134" spans="1:73" ht="15.75" customHeight="1" x14ac:dyDescent="0.2">
      <c r="A134" s="3">
        <f t="shared" si="2"/>
        <v>132</v>
      </c>
      <c r="B134" s="3" t="s">
        <v>3389</v>
      </c>
      <c r="C134" s="3" t="s">
        <v>3389</v>
      </c>
      <c r="D134" s="5" t="s">
        <v>3390</v>
      </c>
      <c r="E134" s="5" t="s">
        <v>3391</v>
      </c>
      <c r="F134" s="3">
        <v>0</v>
      </c>
      <c r="G134" s="3">
        <v>0</v>
      </c>
      <c r="H134" s="3">
        <v>0</v>
      </c>
      <c r="I134" s="3">
        <v>50</v>
      </c>
      <c r="J134" s="3">
        <v>3</v>
      </c>
      <c r="K134" s="3">
        <v>0.95</v>
      </c>
      <c r="L134" s="3">
        <v>0</v>
      </c>
      <c r="M134" s="3">
        <v>10</v>
      </c>
      <c r="N134" s="3">
        <v>0</v>
      </c>
      <c r="O134" s="3">
        <v>0</v>
      </c>
      <c r="P134" s="3">
        <v>12</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3318</v>
      </c>
      <c r="AN134" s="3" t="s">
        <v>2879</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row>
    <row r="135" spans="1:73" ht="15.75" customHeight="1" x14ac:dyDescent="0.2">
      <c r="A135" s="3">
        <f t="shared" si="2"/>
        <v>133</v>
      </c>
      <c r="B135" s="3" t="s">
        <v>3393</v>
      </c>
      <c r="C135" s="3" t="s">
        <v>3393</v>
      </c>
      <c r="D135" s="5" t="s">
        <v>3392</v>
      </c>
      <c r="E135" s="5" t="s">
        <v>3394</v>
      </c>
      <c r="F135" s="3">
        <v>0</v>
      </c>
      <c r="G135" s="3">
        <v>0</v>
      </c>
      <c r="H135" s="3">
        <v>0</v>
      </c>
      <c r="I135" s="3">
        <v>50</v>
      </c>
      <c r="J135" s="3">
        <v>3</v>
      </c>
      <c r="K135" s="3">
        <v>0.95</v>
      </c>
      <c r="L135" s="3">
        <v>0</v>
      </c>
      <c r="M135" s="3">
        <v>7</v>
      </c>
      <c r="N135" s="3">
        <v>0</v>
      </c>
      <c r="O135" s="3">
        <v>0</v>
      </c>
      <c r="P135" s="3">
        <v>15</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3318</v>
      </c>
      <c r="AN135" s="3" t="s">
        <v>2879</v>
      </c>
      <c r="AO135" s="3" t="s">
        <v>50</v>
      </c>
      <c r="AP135" s="3">
        <v>0</v>
      </c>
      <c r="AQ135" s="3">
        <v>0</v>
      </c>
      <c r="AR135">
        <v>0</v>
      </c>
      <c r="AS135">
        <v>2</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row>
    <row r="136" spans="1:73" ht="15.75" customHeight="1" x14ac:dyDescent="0.2">
      <c r="A136" s="3">
        <f t="shared" si="2"/>
        <v>134</v>
      </c>
      <c r="B136" s="3" t="s">
        <v>2852</v>
      </c>
      <c r="C136" s="3" t="s">
        <v>2852</v>
      </c>
      <c r="D136" s="5" t="s">
        <v>2850</v>
      </c>
      <c r="E136" s="5" t="s">
        <v>2851</v>
      </c>
      <c r="F136" s="3">
        <v>0</v>
      </c>
      <c r="G136" s="3">
        <v>0</v>
      </c>
      <c r="H136" s="3">
        <v>0</v>
      </c>
      <c r="I136" s="3">
        <v>50</v>
      </c>
      <c r="J136" s="3">
        <v>3</v>
      </c>
      <c r="K136" s="3">
        <v>0.95</v>
      </c>
      <c r="L136" s="3">
        <v>0</v>
      </c>
      <c r="M136" s="3">
        <v>10</v>
      </c>
      <c r="N136" s="3">
        <v>0</v>
      </c>
      <c r="O136" s="3">
        <v>0</v>
      </c>
      <c r="P136" s="3">
        <v>12</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3318</v>
      </c>
      <c r="AN136" s="3" t="s">
        <v>3388</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row>
    <row r="137" spans="1:73" ht="15.75" customHeight="1" x14ac:dyDescent="0.2">
      <c r="A137" s="3">
        <f t="shared" si="2"/>
        <v>135</v>
      </c>
      <c r="B137" s="3" t="s">
        <v>743</v>
      </c>
      <c r="C137" s="3" t="s">
        <v>743</v>
      </c>
      <c r="D137" s="25" t="s">
        <v>744</v>
      </c>
      <c r="E137" s="4" t="s">
        <v>977</v>
      </c>
      <c r="F137" s="3">
        <v>0</v>
      </c>
      <c r="G137" s="3">
        <v>0</v>
      </c>
      <c r="H137" s="3">
        <v>0</v>
      </c>
      <c r="I137" s="3">
        <v>50</v>
      </c>
      <c r="J137" s="3">
        <v>10</v>
      </c>
      <c r="K137" s="3">
        <v>0.95</v>
      </c>
      <c r="L137" s="3">
        <v>0</v>
      </c>
      <c r="M137" s="3">
        <v>3</v>
      </c>
      <c r="N137" s="3">
        <v>15</v>
      </c>
      <c r="O137" s="3">
        <v>0</v>
      </c>
      <c r="P137" s="3">
        <v>0</v>
      </c>
      <c r="Q137" s="3">
        <v>0</v>
      </c>
      <c r="R137" s="3">
        <v>0</v>
      </c>
      <c r="S137" s="3">
        <v>0</v>
      </c>
      <c r="T137" s="3">
        <v>0</v>
      </c>
      <c r="U137" s="3">
        <v>0</v>
      </c>
      <c r="V137" s="3">
        <v>-3</v>
      </c>
      <c r="W137" s="3">
        <v>-5</v>
      </c>
      <c r="X137" s="3">
        <v>0</v>
      </c>
      <c r="Y137" s="3">
        <v>0</v>
      </c>
      <c r="Z137" s="3">
        <v>10</v>
      </c>
      <c r="AA137" s="3">
        <v>10</v>
      </c>
      <c r="AB137" s="3">
        <v>0</v>
      </c>
      <c r="AC137" s="3">
        <v>0</v>
      </c>
      <c r="AD137" s="3">
        <v>0</v>
      </c>
      <c r="AE137" s="3">
        <v>5</v>
      </c>
      <c r="AF137" s="3">
        <v>0</v>
      </c>
      <c r="AG137" s="3">
        <v>0</v>
      </c>
      <c r="AH137" s="3">
        <v>0</v>
      </c>
      <c r="AI137" s="3">
        <v>0</v>
      </c>
      <c r="AJ137" s="3">
        <v>0</v>
      </c>
      <c r="AK137" s="3">
        <v>0</v>
      </c>
      <c r="AL137" s="3" t="s">
        <v>17</v>
      </c>
      <c r="AM137" s="3" t="s">
        <v>3317</v>
      </c>
      <c r="AN137" s="3" t="s">
        <v>1979</v>
      </c>
      <c r="AO137" s="3" t="s">
        <v>50</v>
      </c>
      <c r="AP137" s="3">
        <v>0</v>
      </c>
      <c r="AQ137" s="3">
        <v>0</v>
      </c>
      <c r="AR137">
        <v>0</v>
      </c>
      <c r="AS137">
        <v>3</v>
      </c>
      <c r="AT137" s="6" t="s">
        <v>937</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row>
    <row r="138" spans="1:73" s="9" customFormat="1" ht="15.75" customHeight="1" x14ac:dyDescent="0.2">
      <c r="A138" s="7">
        <f t="shared" si="2"/>
        <v>136</v>
      </c>
      <c r="B138" s="7" t="s">
        <v>976</v>
      </c>
      <c r="C138" s="7" t="s">
        <v>976</v>
      </c>
      <c r="D138" s="8" t="s">
        <v>975</v>
      </c>
      <c r="E138" s="8" t="s">
        <v>974</v>
      </c>
      <c r="F138" s="7">
        <v>0</v>
      </c>
      <c r="G138" s="7">
        <v>0</v>
      </c>
      <c r="H138" s="7">
        <v>0</v>
      </c>
      <c r="I138" s="7">
        <v>50</v>
      </c>
      <c r="J138" s="7">
        <v>3</v>
      </c>
      <c r="K138" s="7">
        <v>0.95</v>
      </c>
      <c r="L138" s="7">
        <v>0</v>
      </c>
      <c r="M138" s="7">
        <v>0</v>
      </c>
      <c r="N138" s="7">
        <v>0</v>
      </c>
      <c r="O138" s="7">
        <v>0</v>
      </c>
      <c r="P138" s="7">
        <v>0</v>
      </c>
      <c r="Q138" s="7">
        <v>0</v>
      </c>
      <c r="R138" s="7">
        <v>0</v>
      </c>
      <c r="S138" s="7">
        <v>0</v>
      </c>
      <c r="T138" s="7">
        <v>0</v>
      </c>
      <c r="U138" s="7">
        <v>0</v>
      </c>
      <c r="V138" s="7">
        <v>0</v>
      </c>
      <c r="W138" s="7">
        <v>0</v>
      </c>
      <c r="X138" s="7">
        <v>0</v>
      </c>
      <c r="Y138" s="7">
        <v>0</v>
      </c>
      <c r="Z138" s="7">
        <v>0</v>
      </c>
      <c r="AA138" s="7">
        <v>0</v>
      </c>
      <c r="AB138" s="7">
        <v>0</v>
      </c>
      <c r="AC138" s="7">
        <v>0</v>
      </c>
      <c r="AD138" s="7">
        <v>0</v>
      </c>
      <c r="AE138" s="7">
        <v>0</v>
      </c>
      <c r="AF138" s="7">
        <v>0</v>
      </c>
      <c r="AG138" s="7">
        <v>0</v>
      </c>
      <c r="AH138" s="7">
        <v>0</v>
      </c>
      <c r="AI138" s="7">
        <v>0</v>
      </c>
      <c r="AJ138" s="7">
        <v>0</v>
      </c>
      <c r="AK138" s="7">
        <v>0</v>
      </c>
      <c r="AL138" s="7" t="s">
        <v>17</v>
      </c>
      <c r="AM138" s="7" t="s">
        <v>973</v>
      </c>
      <c r="AN138" s="7" t="s">
        <v>973</v>
      </c>
      <c r="AO138" s="7" t="s">
        <v>1850</v>
      </c>
      <c r="AP138" s="7">
        <v>0</v>
      </c>
      <c r="AQ138" s="7">
        <v>0</v>
      </c>
      <c r="AR138" s="9">
        <v>0</v>
      </c>
      <c r="AS138" s="9">
        <v>7</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0</v>
      </c>
      <c r="BJ138" s="9">
        <v>0</v>
      </c>
      <c r="BK138" s="9">
        <v>1</v>
      </c>
      <c r="BL138" s="9">
        <v>0</v>
      </c>
      <c r="BM138" s="9">
        <v>0</v>
      </c>
      <c r="BN138" s="9">
        <v>0</v>
      </c>
      <c r="BO138" s="9">
        <v>0</v>
      </c>
      <c r="BP138" s="10" t="s">
        <v>50</v>
      </c>
      <c r="BQ138" s="9">
        <v>0</v>
      </c>
      <c r="BR138" s="10" t="s">
        <v>50</v>
      </c>
      <c r="BS138" s="9">
        <v>0</v>
      </c>
      <c r="BT138" s="10" t="s">
        <v>50</v>
      </c>
      <c r="BU138" s="9">
        <v>0</v>
      </c>
    </row>
    <row r="139" spans="1:73" ht="15.75" customHeight="1" x14ac:dyDescent="0.2">
      <c r="A139" s="3">
        <f t="shared" si="2"/>
        <v>137</v>
      </c>
      <c r="B139" s="3" t="s">
        <v>828</v>
      </c>
      <c r="C139" s="3" t="s">
        <v>618</v>
      </c>
      <c r="D139" s="5" t="s">
        <v>617</v>
      </c>
      <c r="E139" s="5" t="s">
        <v>619</v>
      </c>
      <c r="F139" s="3">
        <v>0</v>
      </c>
      <c r="G139" s="3">
        <v>0</v>
      </c>
      <c r="H139" s="3">
        <v>0</v>
      </c>
      <c r="I139" s="3">
        <v>50</v>
      </c>
      <c r="J139" s="3">
        <v>3</v>
      </c>
      <c r="K139" s="3">
        <v>0.95</v>
      </c>
      <c r="L139" s="3">
        <v>0</v>
      </c>
      <c r="M139" s="3">
        <v>1</v>
      </c>
      <c r="N139" s="3">
        <v>0</v>
      </c>
      <c r="O139" s="3">
        <v>0</v>
      </c>
      <c r="P139" s="3">
        <v>0</v>
      </c>
      <c r="Q139" s="3">
        <v>0</v>
      </c>
      <c r="R139" s="3">
        <v>0</v>
      </c>
      <c r="S139" s="3">
        <v>0</v>
      </c>
      <c r="T139" s="3">
        <v>0</v>
      </c>
      <c r="U139" s="3">
        <v>0</v>
      </c>
      <c r="V139" s="3">
        <v>0</v>
      </c>
      <c r="W139" s="3">
        <v>0</v>
      </c>
      <c r="X139" s="3">
        <v>0</v>
      </c>
      <c r="Y139" s="3">
        <v>0</v>
      </c>
      <c r="Z139" s="3">
        <v>10</v>
      </c>
      <c r="AA139" s="3">
        <v>0</v>
      </c>
      <c r="AB139" s="3">
        <v>0</v>
      </c>
      <c r="AC139" s="3">
        <v>0</v>
      </c>
      <c r="AD139" s="3">
        <v>0</v>
      </c>
      <c r="AE139" s="3">
        <v>0</v>
      </c>
      <c r="AF139" s="3">
        <v>0</v>
      </c>
      <c r="AG139" s="3">
        <v>0</v>
      </c>
      <c r="AH139" s="3">
        <v>0</v>
      </c>
      <c r="AI139" s="3">
        <v>0</v>
      </c>
      <c r="AJ139" s="3">
        <v>0</v>
      </c>
      <c r="AK139" s="3">
        <v>0</v>
      </c>
      <c r="AL139" s="3" t="s">
        <v>17</v>
      </c>
      <c r="AM139" s="3" t="s">
        <v>973</v>
      </c>
      <c r="AN139" s="3" t="s">
        <v>1980</v>
      </c>
      <c r="AO139" s="3" t="s">
        <v>1850</v>
      </c>
      <c r="AP139" s="3">
        <v>0</v>
      </c>
      <c r="AQ139" s="3">
        <v>0</v>
      </c>
      <c r="AR139">
        <v>0</v>
      </c>
      <c r="AS139">
        <v>1</v>
      </c>
      <c r="AT139" s="6" t="s">
        <v>873</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row>
    <row r="140" spans="1:73" ht="15.75" customHeight="1" x14ac:dyDescent="0.2">
      <c r="A140" s="3">
        <f t="shared" si="2"/>
        <v>138</v>
      </c>
      <c r="B140" s="3" t="s">
        <v>827</v>
      </c>
      <c r="C140" s="3" t="s">
        <v>822</v>
      </c>
      <c r="D140" s="5" t="s">
        <v>823</v>
      </c>
      <c r="E140" s="5" t="s">
        <v>824</v>
      </c>
      <c r="F140" s="3">
        <v>0</v>
      </c>
      <c r="G140" s="3">
        <v>0</v>
      </c>
      <c r="H140" s="3">
        <v>0</v>
      </c>
      <c r="I140" s="3">
        <v>50</v>
      </c>
      <c r="J140" s="3">
        <v>3</v>
      </c>
      <c r="K140" s="3">
        <v>0.95</v>
      </c>
      <c r="L140" s="3">
        <v>0</v>
      </c>
      <c r="M140" s="3">
        <v>0</v>
      </c>
      <c r="N140" s="3">
        <v>3</v>
      </c>
      <c r="O140" s="3">
        <v>0</v>
      </c>
      <c r="P140" s="3">
        <v>0</v>
      </c>
      <c r="Q140" s="3">
        <v>0</v>
      </c>
      <c r="R140" s="3">
        <v>0</v>
      </c>
      <c r="S140" s="3">
        <v>0</v>
      </c>
      <c r="T140" s="3">
        <v>0</v>
      </c>
      <c r="U140" s="3">
        <v>0</v>
      </c>
      <c r="V140" s="3">
        <v>0</v>
      </c>
      <c r="W140" s="3">
        <v>0</v>
      </c>
      <c r="X140" s="3">
        <v>0</v>
      </c>
      <c r="Y140" s="3">
        <v>0</v>
      </c>
      <c r="Z140" s="3">
        <v>10</v>
      </c>
      <c r="AA140" s="3">
        <v>0</v>
      </c>
      <c r="AB140" s="3">
        <v>0</v>
      </c>
      <c r="AC140" s="3">
        <v>3</v>
      </c>
      <c r="AD140" s="3">
        <v>0</v>
      </c>
      <c r="AE140" s="3">
        <v>0</v>
      </c>
      <c r="AF140" s="3">
        <v>0</v>
      </c>
      <c r="AG140" s="3">
        <v>5</v>
      </c>
      <c r="AH140" s="3">
        <v>0</v>
      </c>
      <c r="AI140" s="3">
        <v>0</v>
      </c>
      <c r="AJ140" s="3">
        <v>0</v>
      </c>
      <c r="AK140" s="3">
        <v>0</v>
      </c>
      <c r="AL140" s="3" t="s">
        <v>17</v>
      </c>
      <c r="AM140" s="3" t="s">
        <v>1161</v>
      </c>
      <c r="AN140" s="3" t="s">
        <v>1981</v>
      </c>
      <c r="AO140" s="3" t="s">
        <v>1850</v>
      </c>
      <c r="AP140" s="3">
        <v>0</v>
      </c>
      <c r="AQ140" s="3">
        <v>0</v>
      </c>
      <c r="AR140">
        <v>0</v>
      </c>
      <c r="AS140">
        <v>2</v>
      </c>
      <c r="AT140" s="6" t="s">
        <v>835</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row>
    <row r="141" spans="1:73" ht="15.75" customHeight="1" x14ac:dyDescent="0.2">
      <c r="A141" s="3">
        <f t="shared" si="2"/>
        <v>139</v>
      </c>
      <c r="B141" s="3" t="s">
        <v>942</v>
      </c>
      <c r="C141" s="3" t="s">
        <v>942</v>
      </c>
      <c r="D141" s="5" t="s">
        <v>941</v>
      </c>
      <c r="E141" s="5" t="s">
        <v>1321</v>
      </c>
      <c r="F141" s="3">
        <v>0</v>
      </c>
      <c r="G141" s="3">
        <v>0</v>
      </c>
      <c r="H141" s="3">
        <v>0</v>
      </c>
      <c r="I141" s="3">
        <v>50</v>
      </c>
      <c r="J141" s="3">
        <v>3</v>
      </c>
      <c r="K141" s="3">
        <v>0.95</v>
      </c>
      <c r="L141" s="3">
        <v>0</v>
      </c>
      <c r="M141" s="3">
        <v>0</v>
      </c>
      <c r="N141" s="3">
        <v>7</v>
      </c>
      <c r="O141" s="3">
        <v>0</v>
      </c>
      <c r="P141" s="3">
        <v>0</v>
      </c>
      <c r="Q141" s="3">
        <v>0</v>
      </c>
      <c r="R141" s="3">
        <v>0</v>
      </c>
      <c r="S141" s="3">
        <v>0</v>
      </c>
      <c r="T141" s="3">
        <v>0</v>
      </c>
      <c r="U141" s="3">
        <v>0</v>
      </c>
      <c r="V141" s="3">
        <v>0</v>
      </c>
      <c r="W141" s="3">
        <v>0</v>
      </c>
      <c r="X141" s="3">
        <v>0</v>
      </c>
      <c r="Y141" s="3">
        <v>0</v>
      </c>
      <c r="Z141" s="3">
        <v>16</v>
      </c>
      <c r="AA141" s="3">
        <v>0</v>
      </c>
      <c r="AB141" s="3">
        <v>0</v>
      </c>
      <c r="AC141" s="3">
        <v>3</v>
      </c>
      <c r="AD141" s="3">
        <v>0</v>
      </c>
      <c r="AE141" s="3">
        <v>0</v>
      </c>
      <c r="AF141" s="3">
        <v>0</v>
      </c>
      <c r="AG141" s="3">
        <v>5</v>
      </c>
      <c r="AH141" s="3">
        <v>0</v>
      </c>
      <c r="AI141" s="3">
        <v>0</v>
      </c>
      <c r="AJ141" s="3">
        <v>0</v>
      </c>
      <c r="AK141" s="3">
        <v>0</v>
      </c>
      <c r="AL141" s="3" t="s">
        <v>17</v>
      </c>
      <c r="AM141" s="3" t="s">
        <v>1161</v>
      </c>
      <c r="AN141" s="3" t="s">
        <v>1982</v>
      </c>
      <c r="AO141" s="3" t="s">
        <v>1850</v>
      </c>
      <c r="AP141" s="3">
        <v>0</v>
      </c>
      <c r="AQ141" s="3">
        <v>0</v>
      </c>
      <c r="AR141">
        <v>0</v>
      </c>
      <c r="AS141">
        <v>5</v>
      </c>
      <c r="AT141" s="6" t="s">
        <v>993</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row>
    <row r="142" spans="1:73" ht="15.75" customHeight="1" x14ac:dyDescent="0.2">
      <c r="A142" s="3">
        <f t="shared" si="2"/>
        <v>140</v>
      </c>
      <c r="B142" s="3" t="s">
        <v>1045</v>
      </c>
      <c r="C142" s="3" t="s">
        <v>1045</v>
      </c>
      <c r="D142" s="5" t="s">
        <v>1044</v>
      </c>
      <c r="E142" s="5" t="s">
        <v>1319</v>
      </c>
      <c r="F142" s="3">
        <v>0</v>
      </c>
      <c r="G142" s="3">
        <v>0</v>
      </c>
      <c r="H142" s="3">
        <v>0</v>
      </c>
      <c r="I142" s="3">
        <v>50</v>
      </c>
      <c r="J142" s="3">
        <v>3</v>
      </c>
      <c r="K142" s="3">
        <v>0.95</v>
      </c>
      <c r="L142" s="3">
        <v>0</v>
      </c>
      <c r="M142" s="3">
        <v>3</v>
      </c>
      <c r="N142" s="3">
        <v>4</v>
      </c>
      <c r="O142" s="3">
        <v>0</v>
      </c>
      <c r="P142" s="3">
        <v>0</v>
      </c>
      <c r="Q142" s="3">
        <v>0</v>
      </c>
      <c r="R142" s="3">
        <v>0</v>
      </c>
      <c r="S142" s="3">
        <v>0</v>
      </c>
      <c r="T142" s="3">
        <v>0</v>
      </c>
      <c r="U142" s="3">
        <v>0</v>
      </c>
      <c r="V142" s="3">
        <v>0</v>
      </c>
      <c r="W142" s="3">
        <v>0</v>
      </c>
      <c r="X142" s="3">
        <v>0</v>
      </c>
      <c r="Y142" s="3">
        <v>0</v>
      </c>
      <c r="Z142" s="3">
        <v>13</v>
      </c>
      <c r="AA142" s="3">
        <v>0</v>
      </c>
      <c r="AB142" s="3">
        <v>0</v>
      </c>
      <c r="AC142" s="3">
        <v>3</v>
      </c>
      <c r="AD142" s="3">
        <v>0</v>
      </c>
      <c r="AE142" s="3">
        <v>0</v>
      </c>
      <c r="AF142" s="3">
        <v>0</v>
      </c>
      <c r="AG142" s="3">
        <v>5</v>
      </c>
      <c r="AH142" s="3">
        <v>0</v>
      </c>
      <c r="AI142" s="3">
        <v>0</v>
      </c>
      <c r="AJ142" s="3">
        <v>0</v>
      </c>
      <c r="AK142" s="3">
        <v>0</v>
      </c>
      <c r="AL142" s="3" t="s">
        <v>17</v>
      </c>
      <c r="AM142" s="3" t="s">
        <v>1161</v>
      </c>
      <c r="AN142" s="3" t="s">
        <v>1983</v>
      </c>
      <c r="AO142" s="3" t="s">
        <v>1850</v>
      </c>
      <c r="AP142" s="3">
        <v>0</v>
      </c>
      <c r="AQ142" s="3">
        <v>0</v>
      </c>
      <c r="AR142">
        <v>0</v>
      </c>
      <c r="AS142">
        <v>5</v>
      </c>
      <c r="AT142" s="6" t="s">
        <v>1142</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row>
    <row r="143" spans="1:73" ht="15.75" customHeight="1" x14ac:dyDescent="0.2">
      <c r="A143" s="3">
        <f t="shared" si="2"/>
        <v>141</v>
      </c>
      <c r="B143" s="3" t="s">
        <v>1047</v>
      </c>
      <c r="C143" s="3" t="s">
        <v>1047</v>
      </c>
      <c r="D143" s="5" t="s">
        <v>1046</v>
      </c>
      <c r="E143" s="5" t="s">
        <v>1320</v>
      </c>
      <c r="F143" s="3">
        <v>0</v>
      </c>
      <c r="G143" s="3">
        <v>0</v>
      </c>
      <c r="H143" s="3">
        <v>0</v>
      </c>
      <c r="I143" s="3">
        <v>50</v>
      </c>
      <c r="J143" s="3">
        <v>3</v>
      </c>
      <c r="K143" s="3">
        <v>0.95</v>
      </c>
      <c r="L143" s="3">
        <v>0</v>
      </c>
      <c r="M143" s="3">
        <v>3</v>
      </c>
      <c r="N143" s="3">
        <v>3</v>
      </c>
      <c r="O143" s="3">
        <v>0</v>
      </c>
      <c r="P143" s="3">
        <v>0</v>
      </c>
      <c r="Q143" s="3">
        <v>0</v>
      </c>
      <c r="R143" s="3">
        <v>0</v>
      </c>
      <c r="S143" s="3">
        <v>0</v>
      </c>
      <c r="T143" s="3">
        <v>0</v>
      </c>
      <c r="U143" s="3">
        <v>0</v>
      </c>
      <c r="V143" s="3">
        <v>0</v>
      </c>
      <c r="W143" s="3">
        <v>0</v>
      </c>
      <c r="X143" s="3">
        <v>0</v>
      </c>
      <c r="Y143" s="3">
        <v>0</v>
      </c>
      <c r="Z143" s="3">
        <v>18</v>
      </c>
      <c r="AA143" s="3">
        <v>0</v>
      </c>
      <c r="AB143" s="3">
        <v>0</v>
      </c>
      <c r="AC143" s="3">
        <v>3</v>
      </c>
      <c r="AD143" s="3">
        <v>0</v>
      </c>
      <c r="AE143" s="3">
        <v>0</v>
      </c>
      <c r="AF143" s="3">
        <v>0</v>
      </c>
      <c r="AG143" s="3">
        <v>5</v>
      </c>
      <c r="AH143" s="3">
        <v>0</v>
      </c>
      <c r="AI143" s="3">
        <v>0</v>
      </c>
      <c r="AJ143" s="3">
        <v>0</v>
      </c>
      <c r="AK143" s="3">
        <v>0</v>
      </c>
      <c r="AL143" s="3" t="s">
        <v>17</v>
      </c>
      <c r="AM143" s="3" t="s">
        <v>1161</v>
      </c>
      <c r="AN143" s="3" t="s">
        <v>1984</v>
      </c>
      <c r="AO143" s="3" t="s">
        <v>1850</v>
      </c>
      <c r="AP143" s="3">
        <v>0</v>
      </c>
      <c r="AQ143" s="3">
        <v>0</v>
      </c>
      <c r="AR143">
        <v>0</v>
      </c>
      <c r="AS143">
        <v>5</v>
      </c>
      <c r="AT143" s="6" t="s">
        <v>1143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row>
    <row r="144" spans="1:73" ht="15.75" customHeight="1" x14ac:dyDescent="0.2">
      <c r="A144" s="3">
        <f t="shared" si="2"/>
        <v>142</v>
      </c>
      <c r="B144" s="3" t="s">
        <v>1261</v>
      </c>
      <c r="C144" s="3" t="s">
        <v>1261</v>
      </c>
      <c r="D144" s="5" t="s">
        <v>1260</v>
      </c>
      <c r="E144" s="5" t="s">
        <v>1262</v>
      </c>
      <c r="F144" s="3">
        <v>0</v>
      </c>
      <c r="G144" s="3">
        <v>0</v>
      </c>
      <c r="H144" s="3">
        <v>0</v>
      </c>
      <c r="I144" s="3">
        <v>50</v>
      </c>
      <c r="J144" s="3">
        <v>3</v>
      </c>
      <c r="K144" s="3">
        <v>0.95</v>
      </c>
      <c r="L144" s="3">
        <v>0</v>
      </c>
      <c r="M144" s="3">
        <v>5</v>
      </c>
      <c r="N144" s="3">
        <v>3</v>
      </c>
      <c r="O144" s="3">
        <v>0</v>
      </c>
      <c r="P144" s="3">
        <v>0</v>
      </c>
      <c r="Q144" s="3">
        <v>0</v>
      </c>
      <c r="R144" s="3">
        <v>0</v>
      </c>
      <c r="S144" s="3">
        <v>0</v>
      </c>
      <c r="T144" s="3">
        <v>0</v>
      </c>
      <c r="U144" s="3">
        <v>0</v>
      </c>
      <c r="V144" s="3">
        <v>0</v>
      </c>
      <c r="W144" s="3">
        <v>0</v>
      </c>
      <c r="X144" s="3">
        <v>0</v>
      </c>
      <c r="Y144" s="3">
        <v>0</v>
      </c>
      <c r="Z144" s="3">
        <v>20</v>
      </c>
      <c r="AA144" s="3">
        <v>0</v>
      </c>
      <c r="AB144" s="3">
        <v>0</v>
      </c>
      <c r="AC144" s="3">
        <v>5</v>
      </c>
      <c r="AD144" s="3">
        <v>0</v>
      </c>
      <c r="AE144" s="3">
        <v>0</v>
      </c>
      <c r="AF144" s="3">
        <v>0</v>
      </c>
      <c r="AG144" s="3">
        <v>5</v>
      </c>
      <c r="AH144" s="3">
        <v>0</v>
      </c>
      <c r="AI144" s="3">
        <v>0</v>
      </c>
      <c r="AJ144" s="3">
        <v>0</v>
      </c>
      <c r="AK144" s="3">
        <v>0</v>
      </c>
      <c r="AL144" s="3" t="s">
        <v>17</v>
      </c>
      <c r="AM144" s="3" t="s">
        <v>1161</v>
      </c>
      <c r="AN144" s="3" t="s">
        <v>1985</v>
      </c>
      <c r="AO144" s="3" t="s">
        <v>1850</v>
      </c>
      <c r="AP144" s="3">
        <v>0</v>
      </c>
      <c r="AQ144" s="3">
        <v>0</v>
      </c>
      <c r="AR144">
        <v>0</v>
      </c>
      <c r="AS144">
        <v>5</v>
      </c>
      <c r="AT144" s="6" t="s">
        <v>1263</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row>
    <row r="145" spans="1:73" ht="15.75" customHeight="1" x14ac:dyDescent="0.2">
      <c r="A145" s="3">
        <f t="shared" si="2"/>
        <v>143</v>
      </c>
      <c r="B145" s="3" t="s">
        <v>1048</v>
      </c>
      <c r="C145" s="3" t="s">
        <v>1048</v>
      </c>
      <c r="D145" s="5" t="s">
        <v>1177</v>
      </c>
      <c r="E145" s="5" t="s">
        <v>1318</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0</v>
      </c>
      <c r="Z145" s="3">
        <v>10</v>
      </c>
      <c r="AA145" s="3">
        <v>0</v>
      </c>
      <c r="AB145" s="3">
        <v>0</v>
      </c>
      <c r="AC145" s="3">
        <v>5</v>
      </c>
      <c r="AD145" s="3">
        <v>0</v>
      </c>
      <c r="AE145" s="3">
        <v>0</v>
      </c>
      <c r="AF145" s="3">
        <v>0</v>
      </c>
      <c r="AG145" s="3">
        <v>5</v>
      </c>
      <c r="AH145" s="3">
        <v>0</v>
      </c>
      <c r="AI145" s="3">
        <v>0</v>
      </c>
      <c r="AJ145" s="3">
        <v>0</v>
      </c>
      <c r="AK145" s="3">
        <v>0</v>
      </c>
      <c r="AL145" s="3" t="s">
        <v>17</v>
      </c>
      <c r="AM145" s="3" t="s">
        <v>1161</v>
      </c>
      <c r="AN145" s="3" t="s">
        <v>1986</v>
      </c>
      <c r="AO145" s="3" t="s">
        <v>1850</v>
      </c>
      <c r="AP145" s="3">
        <v>0</v>
      </c>
      <c r="AQ145" s="3">
        <v>0</v>
      </c>
      <c r="AR145">
        <v>0</v>
      </c>
      <c r="AS145">
        <v>5</v>
      </c>
      <c r="AT145" s="6" t="s">
        <v>1144</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c r="BP145" s="6" t="s">
        <v>50</v>
      </c>
      <c r="BQ145">
        <v>0</v>
      </c>
      <c r="BR145" s="6" t="s">
        <v>50</v>
      </c>
      <c r="BS145">
        <v>0</v>
      </c>
      <c r="BT145" s="6" t="s">
        <v>50</v>
      </c>
      <c r="BU145">
        <v>0</v>
      </c>
    </row>
    <row r="146" spans="1:73" ht="15.75" customHeight="1" x14ac:dyDescent="0.2">
      <c r="A146" s="3">
        <f t="shared" si="2"/>
        <v>144</v>
      </c>
      <c r="B146" s="3" t="s">
        <v>2242</v>
      </c>
      <c r="C146" s="3" t="s">
        <v>2242</v>
      </c>
      <c r="D146" s="5" t="s">
        <v>2240</v>
      </c>
      <c r="E146" s="5" t="s">
        <v>2241</v>
      </c>
      <c r="F146" s="3">
        <v>0</v>
      </c>
      <c r="G146" s="3">
        <v>0</v>
      </c>
      <c r="H146" s="3">
        <v>0</v>
      </c>
      <c r="I146" s="3">
        <v>50</v>
      </c>
      <c r="J146" s="3">
        <v>3</v>
      </c>
      <c r="K146" s="3">
        <v>0.95</v>
      </c>
      <c r="L146" s="3">
        <v>0</v>
      </c>
      <c r="M146" s="3">
        <v>5</v>
      </c>
      <c r="N146" s="3">
        <v>2</v>
      </c>
      <c r="O146" s="3">
        <v>0</v>
      </c>
      <c r="P146" s="3">
        <v>0</v>
      </c>
      <c r="Q146" s="3">
        <v>0</v>
      </c>
      <c r="R146" s="3">
        <v>0</v>
      </c>
      <c r="S146" s="3">
        <v>0</v>
      </c>
      <c r="T146" s="3">
        <v>0</v>
      </c>
      <c r="U146" s="3">
        <v>0</v>
      </c>
      <c r="V146" s="3">
        <v>0</v>
      </c>
      <c r="W146" s="3">
        <v>0</v>
      </c>
      <c r="X146" s="3">
        <v>0</v>
      </c>
      <c r="Y146" s="3">
        <v>0</v>
      </c>
      <c r="Z146" s="3">
        <v>10</v>
      </c>
      <c r="AA146" s="3">
        <v>0</v>
      </c>
      <c r="AB146" s="3">
        <v>0</v>
      </c>
      <c r="AC146" s="3">
        <v>3</v>
      </c>
      <c r="AD146" s="3">
        <v>0</v>
      </c>
      <c r="AE146" s="3">
        <v>0</v>
      </c>
      <c r="AF146" s="3">
        <v>0</v>
      </c>
      <c r="AG146" s="3">
        <v>3</v>
      </c>
      <c r="AH146" s="3">
        <v>0</v>
      </c>
      <c r="AI146" s="3">
        <v>0</v>
      </c>
      <c r="AJ146" s="3">
        <v>0</v>
      </c>
      <c r="AK146" s="3">
        <v>0</v>
      </c>
      <c r="AL146" s="3" t="s">
        <v>17</v>
      </c>
      <c r="AM146" s="3" t="s">
        <v>1161</v>
      </c>
      <c r="AN146" s="3" t="s">
        <v>2519</v>
      </c>
      <c r="AO146" s="3" t="s">
        <v>50</v>
      </c>
      <c r="AP146" s="3">
        <v>0</v>
      </c>
      <c r="AQ146" s="3">
        <v>0</v>
      </c>
      <c r="AR146">
        <v>0</v>
      </c>
      <c r="AS146">
        <v>5</v>
      </c>
      <c r="AT146" s="6" t="s">
        <v>2536</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c r="BP146" s="6" t="s">
        <v>50</v>
      </c>
      <c r="BQ146">
        <v>0</v>
      </c>
      <c r="BR146" s="6" t="s">
        <v>50</v>
      </c>
      <c r="BS146">
        <v>0</v>
      </c>
      <c r="BT146" s="6" t="s">
        <v>50</v>
      </c>
      <c r="BU146">
        <v>0</v>
      </c>
    </row>
    <row r="147" spans="1:73" ht="15.75" customHeight="1" x14ac:dyDescent="0.2">
      <c r="A147" s="3">
        <f t="shared" si="2"/>
        <v>145</v>
      </c>
      <c r="B147" s="3" t="s">
        <v>1871</v>
      </c>
      <c r="C147" s="3" t="s">
        <v>1871</v>
      </c>
      <c r="D147" s="5" t="s">
        <v>1870</v>
      </c>
      <c r="E147" s="5" t="s">
        <v>2234</v>
      </c>
      <c r="F147" s="3">
        <v>0</v>
      </c>
      <c r="G147" s="3">
        <v>0</v>
      </c>
      <c r="H147" s="3">
        <v>0</v>
      </c>
      <c r="I147" s="3">
        <v>50</v>
      </c>
      <c r="J147" s="3">
        <v>3</v>
      </c>
      <c r="K147" s="3">
        <v>0.95</v>
      </c>
      <c r="L147" s="3">
        <v>0</v>
      </c>
      <c r="M147" s="3">
        <v>5</v>
      </c>
      <c r="N147" s="3">
        <v>2</v>
      </c>
      <c r="O147" s="3">
        <v>0</v>
      </c>
      <c r="P147" s="3">
        <v>0</v>
      </c>
      <c r="Q147" s="3">
        <v>0</v>
      </c>
      <c r="R147" s="3">
        <v>0</v>
      </c>
      <c r="S147" s="3">
        <v>0</v>
      </c>
      <c r="T147" s="3">
        <v>0</v>
      </c>
      <c r="U147" s="3">
        <v>0</v>
      </c>
      <c r="V147" s="3">
        <v>0</v>
      </c>
      <c r="W147" s="3">
        <v>0</v>
      </c>
      <c r="X147" s="3">
        <v>0</v>
      </c>
      <c r="Y147" s="3">
        <v>0</v>
      </c>
      <c r="Z147" s="3">
        <v>10</v>
      </c>
      <c r="AA147" s="3">
        <v>0</v>
      </c>
      <c r="AB147" s="3">
        <v>0</v>
      </c>
      <c r="AC147" s="3">
        <v>3</v>
      </c>
      <c r="AD147" s="3">
        <v>0</v>
      </c>
      <c r="AE147" s="3">
        <v>0</v>
      </c>
      <c r="AF147" s="3">
        <v>0</v>
      </c>
      <c r="AG147" s="3">
        <v>3</v>
      </c>
      <c r="AH147" s="3">
        <v>0</v>
      </c>
      <c r="AI147" s="3">
        <v>0</v>
      </c>
      <c r="AJ147" s="3">
        <v>0</v>
      </c>
      <c r="AK147" s="3">
        <v>0</v>
      </c>
      <c r="AL147" s="3" t="s">
        <v>17</v>
      </c>
      <c r="AM147" s="3" t="s">
        <v>1161</v>
      </c>
      <c r="AN147" s="3" t="s">
        <v>1987</v>
      </c>
      <c r="AO147" s="3" t="s">
        <v>50</v>
      </c>
      <c r="AP147" s="3">
        <v>0</v>
      </c>
      <c r="AQ147" s="3">
        <v>0</v>
      </c>
      <c r="AR147">
        <v>0</v>
      </c>
      <c r="AS147">
        <v>5</v>
      </c>
      <c r="AT147" s="6" t="s">
        <v>2520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c r="BP147" s="6" t="s">
        <v>50</v>
      </c>
      <c r="BQ147">
        <v>0</v>
      </c>
      <c r="BR147" s="6" t="s">
        <v>50</v>
      </c>
      <c r="BS147">
        <v>0</v>
      </c>
      <c r="BT147" s="6" t="s">
        <v>50</v>
      </c>
      <c r="BU147">
        <v>0</v>
      </c>
    </row>
    <row r="148" spans="1:73" ht="15.75" customHeight="1" x14ac:dyDescent="0.2">
      <c r="A148" s="3">
        <f t="shared" si="2"/>
        <v>146</v>
      </c>
      <c r="B148" s="3" t="s">
        <v>395</v>
      </c>
      <c r="C148" s="3" t="s">
        <v>346</v>
      </c>
      <c r="D148" s="5" t="s">
        <v>344</v>
      </c>
      <c r="E148" s="5" t="s">
        <v>345</v>
      </c>
      <c r="F148" s="3">
        <v>0</v>
      </c>
      <c r="G148" s="3">
        <v>0</v>
      </c>
      <c r="H148" s="3">
        <v>0</v>
      </c>
      <c r="I148" s="3">
        <v>50</v>
      </c>
      <c r="J148" s="3">
        <v>30</v>
      </c>
      <c r="K148" s="3">
        <v>0.95</v>
      </c>
      <c r="L148" s="3">
        <v>0</v>
      </c>
      <c r="M148" s="3">
        <v>25</v>
      </c>
      <c r="N148" s="3">
        <v>0</v>
      </c>
      <c r="O148" s="3">
        <v>0</v>
      </c>
      <c r="P148" s="3">
        <v>0</v>
      </c>
      <c r="Q148" s="3">
        <v>0</v>
      </c>
      <c r="R148" s="3">
        <v>15</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17</v>
      </c>
      <c r="AM148" s="3" t="s">
        <v>3513</v>
      </c>
      <c r="AN148" s="3" t="s">
        <v>1988</v>
      </c>
      <c r="AO148" s="3" t="s">
        <v>1850</v>
      </c>
      <c r="AP148" s="3">
        <v>0</v>
      </c>
      <c r="AQ148" s="3">
        <v>0</v>
      </c>
      <c r="AR148">
        <v>0</v>
      </c>
      <c r="AS148">
        <v>5</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row>
    <row r="149" spans="1:73" ht="15.75" customHeight="1" x14ac:dyDescent="0.2">
      <c r="A149" s="3">
        <f t="shared" si="2"/>
        <v>147</v>
      </c>
      <c r="B149" s="3" t="s">
        <v>308</v>
      </c>
      <c r="C149" s="3" t="s">
        <v>308</v>
      </c>
      <c r="D149" s="25" t="s">
        <v>307</v>
      </c>
      <c r="E149" s="4" t="s">
        <v>598</v>
      </c>
      <c r="F149" s="3">
        <v>0</v>
      </c>
      <c r="G149" s="3">
        <v>0</v>
      </c>
      <c r="H149" s="3">
        <v>0</v>
      </c>
      <c r="I149" s="3">
        <v>50</v>
      </c>
      <c r="J149" s="3">
        <v>10</v>
      </c>
      <c r="K149" s="3">
        <v>1</v>
      </c>
      <c r="L149" s="3">
        <v>0</v>
      </c>
      <c r="M149" s="3">
        <v>20</v>
      </c>
      <c r="N149" s="3">
        <v>0</v>
      </c>
      <c r="O149" s="3">
        <v>0</v>
      </c>
      <c r="P149" s="3">
        <v>0</v>
      </c>
      <c r="Q149" s="3">
        <v>0</v>
      </c>
      <c r="R149" s="3">
        <v>0</v>
      </c>
      <c r="S149" s="3">
        <v>0</v>
      </c>
      <c r="T149" s="3">
        <v>0</v>
      </c>
      <c r="U149" s="3">
        <v>0</v>
      </c>
      <c r="V149" s="3">
        <v>0</v>
      </c>
      <c r="W149" s="3">
        <v>5</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3512</v>
      </c>
      <c r="AN149" s="3" t="s">
        <v>1989</v>
      </c>
      <c r="AO149" s="3" t="s">
        <v>1850</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row>
    <row r="150" spans="1:73" ht="15.75" customHeight="1" x14ac:dyDescent="0.2">
      <c r="A150" s="3">
        <f t="shared" si="2"/>
        <v>148</v>
      </c>
      <c r="B150" s="3" t="s">
        <v>604</v>
      </c>
      <c r="C150" s="3" t="s">
        <v>601</v>
      </c>
      <c r="D150" s="25" t="s">
        <v>641</v>
      </c>
      <c r="E150" s="4" t="s">
        <v>599</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653</v>
      </c>
      <c r="AN150" s="3" t="s">
        <v>1990</v>
      </c>
      <c r="AO150" s="3" t="s">
        <v>1850</v>
      </c>
      <c r="AP150" s="3">
        <v>0</v>
      </c>
      <c r="AQ150" s="3">
        <v>0</v>
      </c>
      <c r="AR150">
        <v>0</v>
      </c>
      <c r="AS150">
        <v>1</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row>
    <row r="151" spans="1:73" ht="15.75" customHeight="1" x14ac:dyDescent="0.2">
      <c r="A151" s="3">
        <f t="shared" si="2"/>
        <v>149</v>
      </c>
      <c r="B151" s="3" t="s">
        <v>604</v>
      </c>
      <c r="C151" s="3" t="s">
        <v>971</v>
      </c>
      <c r="D151" s="25" t="s">
        <v>969</v>
      </c>
      <c r="E151" s="4" t="s">
        <v>970</v>
      </c>
      <c r="F151" s="3">
        <v>0</v>
      </c>
      <c r="G151" s="3">
        <v>300</v>
      </c>
      <c r="H151" s="3">
        <v>0</v>
      </c>
      <c r="I151" s="3">
        <v>50</v>
      </c>
      <c r="J151" s="3">
        <v>0</v>
      </c>
      <c r="K151" s="3">
        <v>1</v>
      </c>
      <c r="L151" s="3">
        <v>0</v>
      </c>
      <c r="M151" s="3">
        <v>20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51</v>
      </c>
      <c r="AM151" s="3" t="s">
        <v>653</v>
      </c>
      <c r="AN151" s="3" t="s">
        <v>1990</v>
      </c>
      <c r="AO151" s="3" t="s">
        <v>1850</v>
      </c>
      <c r="AP151" s="3">
        <v>0</v>
      </c>
      <c r="AQ151" s="3">
        <v>0</v>
      </c>
      <c r="AR151">
        <v>0</v>
      </c>
      <c r="AS151">
        <v>1</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row>
    <row r="152" spans="1:73" s="9" customFormat="1" ht="15.75" customHeight="1" x14ac:dyDescent="0.2">
      <c r="A152" s="7">
        <f t="shared" si="2"/>
        <v>150</v>
      </c>
      <c r="B152" s="7" t="s">
        <v>604</v>
      </c>
      <c r="C152" s="7" t="s">
        <v>688</v>
      </c>
      <c r="D152" s="26" t="s">
        <v>686</v>
      </c>
      <c r="E152" s="11" t="s">
        <v>687</v>
      </c>
      <c r="F152" s="7">
        <v>0</v>
      </c>
      <c r="G152" s="7">
        <v>300</v>
      </c>
      <c r="H152" s="7">
        <v>0</v>
      </c>
      <c r="I152" s="7">
        <v>50</v>
      </c>
      <c r="J152" s="7">
        <v>0</v>
      </c>
      <c r="K152" s="7">
        <v>1</v>
      </c>
      <c r="L152" s="7">
        <v>0</v>
      </c>
      <c r="M152" s="7">
        <v>20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t="s">
        <v>51</v>
      </c>
      <c r="AM152" s="7" t="s">
        <v>653</v>
      </c>
      <c r="AN152" s="7" t="s">
        <v>1990</v>
      </c>
      <c r="AO152" s="7" t="s">
        <v>1850</v>
      </c>
      <c r="AP152" s="7">
        <v>0</v>
      </c>
      <c r="AQ152" s="7">
        <v>0</v>
      </c>
      <c r="AR152" s="9">
        <v>0</v>
      </c>
      <c r="AS152" s="9">
        <v>0</v>
      </c>
      <c r="AT152" s="10" t="s">
        <v>50</v>
      </c>
      <c r="AU152" s="10" t="s">
        <v>50</v>
      </c>
      <c r="AV152" s="10" t="s">
        <v>50</v>
      </c>
      <c r="AW152" s="10" t="s">
        <v>50</v>
      </c>
      <c r="AX152" s="10" t="s">
        <v>50</v>
      </c>
      <c r="AY152" s="10" t="s">
        <v>50</v>
      </c>
      <c r="AZ152" s="10" t="s">
        <v>50</v>
      </c>
      <c r="BA152" s="10" t="s">
        <v>50</v>
      </c>
      <c r="BB152" s="10" t="s">
        <v>50</v>
      </c>
      <c r="BC152" s="10" t="s">
        <v>50</v>
      </c>
      <c r="BD152" s="10" t="s">
        <v>50</v>
      </c>
      <c r="BE152" s="10" t="s">
        <v>50</v>
      </c>
      <c r="BF152" s="10" t="s">
        <v>50</v>
      </c>
      <c r="BG152" s="10" t="s">
        <v>50</v>
      </c>
      <c r="BH152" s="10" t="s">
        <v>50</v>
      </c>
      <c r="BI152" s="9">
        <v>0</v>
      </c>
      <c r="BJ152" s="9">
        <v>0</v>
      </c>
      <c r="BK152" s="9">
        <v>1</v>
      </c>
      <c r="BL152" s="9">
        <v>0</v>
      </c>
      <c r="BM152" s="9">
        <v>0</v>
      </c>
      <c r="BN152" s="9">
        <v>0</v>
      </c>
      <c r="BO152" s="9">
        <v>0</v>
      </c>
      <c r="BP152" s="10" t="s">
        <v>50</v>
      </c>
      <c r="BQ152" s="9">
        <v>0</v>
      </c>
      <c r="BR152" s="10" t="s">
        <v>50</v>
      </c>
      <c r="BS152" s="9">
        <v>0</v>
      </c>
      <c r="BT152" s="10" t="s">
        <v>50</v>
      </c>
      <c r="BU152" s="9">
        <v>0</v>
      </c>
    </row>
    <row r="153" spans="1:73" s="9" customFormat="1" ht="15.75" customHeight="1" x14ac:dyDescent="0.2">
      <c r="A153" s="7">
        <f t="shared" si="2"/>
        <v>151</v>
      </c>
      <c r="B153" s="7" t="s">
        <v>604</v>
      </c>
      <c r="C153" s="7" t="s">
        <v>690</v>
      </c>
      <c r="D153" s="26" t="s">
        <v>689</v>
      </c>
      <c r="E153" s="11" t="s">
        <v>691</v>
      </c>
      <c r="F153" s="7">
        <v>0</v>
      </c>
      <c r="G153" s="7">
        <v>300</v>
      </c>
      <c r="H153" s="7">
        <v>0</v>
      </c>
      <c r="I153" s="7">
        <v>50</v>
      </c>
      <c r="J153" s="7">
        <v>0</v>
      </c>
      <c r="K153" s="7">
        <v>1</v>
      </c>
      <c r="L153" s="7">
        <v>0</v>
      </c>
      <c r="M153" s="7">
        <v>20</v>
      </c>
      <c r="N153" s="7">
        <v>0</v>
      </c>
      <c r="O153" s="7">
        <v>0</v>
      </c>
      <c r="P153" s="7">
        <v>0</v>
      </c>
      <c r="Q153" s="7">
        <v>0</v>
      </c>
      <c r="R153" s="7">
        <v>0</v>
      </c>
      <c r="S153" s="7">
        <v>0</v>
      </c>
      <c r="T153" s="7">
        <v>0</v>
      </c>
      <c r="U153" s="7">
        <v>0</v>
      </c>
      <c r="V153" s="7">
        <v>0</v>
      </c>
      <c r="W153" s="7">
        <v>0</v>
      </c>
      <c r="X153" s="7">
        <v>0</v>
      </c>
      <c r="Y153" s="7">
        <v>0</v>
      </c>
      <c r="Z153" s="7">
        <v>0</v>
      </c>
      <c r="AA153" s="7">
        <v>0</v>
      </c>
      <c r="AB153" s="7">
        <v>0</v>
      </c>
      <c r="AC153" s="7">
        <v>0</v>
      </c>
      <c r="AD153" s="7">
        <v>0</v>
      </c>
      <c r="AE153" s="7">
        <v>0</v>
      </c>
      <c r="AF153" s="7">
        <v>0</v>
      </c>
      <c r="AG153" s="7">
        <v>0</v>
      </c>
      <c r="AH153" s="7">
        <v>0</v>
      </c>
      <c r="AI153" s="7">
        <v>0</v>
      </c>
      <c r="AJ153" s="7">
        <v>0</v>
      </c>
      <c r="AK153" s="7">
        <v>0</v>
      </c>
      <c r="AL153" s="7" t="s">
        <v>51</v>
      </c>
      <c r="AM153" s="7" t="s">
        <v>653</v>
      </c>
      <c r="AN153" s="7" t="s">
        <v>1990</v>
      </c>
      <c r="AO153" s="7" t="s">
        <v>1850</v>
      </c>
      <c r="AP153" s="7">
        <v>0</v>
      </c>
      <c r="AQ153" s="7">
        <v>0</v>
      </c>
      <c r="AR153" s="9">
        <v>0</v>
      </c>
      <c r="AS153" s="9">
        <v>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0</v>
      </c>
      <c r="BM153" s="9">
        <v>0</v>
      </c>
      <c r="BN153" s="9">
        <v>0</v>
      </c>
      <c r="BO153" s="9">
        <v>0</v>
      </c>
      <c r="BP153" s="10" t="s">
        <v>50</v>
      </c>
      <c r="BQ153" s="9">
        <v>0</v>
      </c>
      <c r="BR153" s="10" t="s">
        <v>50</v>
      </c>
      <c r="BS153" s="9">
        <v>0</v>
      </c>
      <c r="BT153" s="10" t="s">
        <v>50</v>
      </c>
      <c r="BU153" s="9">
        <v>0</v>
      </c>
    </row>
    <row r="154" spans="1:73" ht="15.75" customHeight="1" x14ac:dyDescent="0.2">
      <c r="A154" s="3">
        <f t="shared" si="2"/>
        <v>152</v>
      </c>
      <c r="B154" s="3" t="s">
        <v>692</v>
      </c>
      <c r="C154" s="3" t="s">
        <v>692</v>
      </c>
      <c r="D154" s="25" t="s">
        <v>693</v>
      </c>
      <c r="E154" s="4" t="s">
        <v>694</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653</v>
      </c>
      <c r="AN154" s="3" t="s">
        <v>1990</v>
      </c>
      <c r="AO154" s="3" t="s">
        <v>1850</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row>
    <row r="155" spans="1:73" ht="15.75" customHeight="1" x14ac:dyDescent="0.2">
      <c r="A155" s="3">
        <f t="shared" si="2"/>
        <v>153</v>
      </c>
      <c r="B155" s="3" t="s">
        <v>650</v>
      </c>
      <c r="C155" s="3" t="s">
        <v>650</v>
      </c>
      <c r="D155" s="25" t="s">
        <v>651</v>
      </c>
      <c r="E155" s="4" t="s">
        <v>652</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1990</v>
      </c>
      <c r="AO155" s="3" t="s">
        <v>1850</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row>
    <row r="156" spans="1:73" ht="15.75" customHeight="1" x14ac:dyDescent="0.2">
      <c r="A156" s="3">
        <f t="shared" si="2"/>
        <v>154</v>
      </c>
      <c r="B156" s="3" t="s">
        <v>1205</v>
      </c>
      <c r="C156" s="3" t="s">
        <v>1205</v>
      </c>
      <c r="D156" s="25" t="s">
        <v>1204</v>
      </c>
      <c r="E156" s="4" t="s">
        <v>1221</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653</v>
      </c>
      <c r="AN156" s="3" t="s">
        <v>1990</v>
      </c>
      <c r="AO156" s="3" t="s">
        <v>1850</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row>
    <row r="157" spans="1:73" ht="15.75" customHeight="1" x14ac:dyDescent="0.2">
      <c r="A157" s="3">
        <f t="shared" si="2"/>
        <v>155</v>
      </c>
      <c r="B157" s="3" t="s">
        <v>1191</v>
      </c>
      <c r="C157" s="3" t="s">
        <v>1191</v>
      </c>
      <c r="D157" s="25" t="s">
        <v>1190</v>
      </c>
      <c r="E157" s="4" t="s">
        <v>1189</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653</v>
      </c>
      <c r="AN157" s="3" t="s">
        <v>1990</v>
      </c>
      <c r="AO157" s="3" t="s">
        <v>1850</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row>
    <row r="158" spans="1:73" ht="15.75" customHeight="1" x14ac:dyDescent="0.2">
      <c r="A158" s="3">
        <f t="shared" si="2"/>
        <v>156</v>
      </c>
      <c r="B158" s="3" t="s">
        <v>1191</v>
      </c>
      <c r="C158" s="3" t="s">
        <v>1194</v>
      </c>
      <c r="D158" s="25" t="s">
        <v>1192</v>
      </c>
      <c r="E158" s="4" t="s">
        <v>1193</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653</v>
      </c>
      <c r="AN158" s="3" t="s">
        <v>1990</v>
      </c>
      <c r="AO158" s="3" t="s">
        <v>1850</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row>
    <row r="159" spans="1:73" ht="15.75" customHeight="1" x14ac:dyDescent="0.2">
      <c r="A159" s="3">
        <f t="shared" si="2"/>
        <v>157</v>
      </c>
      <c r="B159" s="3" t="s">
        <v>1200</v>
      </c>
      <c r="C159" s="3" t="s">
        <v>1200</v>
      </c>
      <c r="D159" s="25" t="s">
        <v>1198</v>
      </c>
      <c r="E159" s="4" t="s">
        <v>1199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1990</v>
      </c>
      <c r="AO159" s="3" t="s">
        <v>1850</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3</v>
      </c>
      <c r="BL159">
        <v>0</v>
      </c>
      <c r="BM159">
        <v>0</v>
      </c>
      <c r="BN159">
        <v>0</v>
      </c>
      <c r="BO159">
        <v>0</v>
      </c>
      <c r="BP159" s="6" t="s">
        <v>50</v>
      </c>
      <c r="BQ159">
        <v>0</v>
      </c>
      <c r="BR159" s="6" t="s">
        <v>50</v>
      </c>
      <c r="BS159">
        <v>0</v>
      </c>
      <c r="BT159" s="6" t="s">
        <v>50</v>
      </c>
      <c r="BU159">
        <v>0</v>
      </c>
    </row>
    <row r="160" spans="1:73" ht="15.75" customHeight="1" x14ac:dyDescent="0.2">
      <c r="A160" s="3">
        <f t="shared" si="2"/>
        <v>158</v>
      </c>
      <c r="B160" s="3" t="s">
        <v>695</v>
      </c>
      <c r="C160" s="3" t="s">
        <v>695</v>
      </c>
      <c r="D160" s="25" t="s">
        <v>696</v>
      </c>
      <c r="E160" s="4" t="s">
        <v>697</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1990</v>
      </c>
      <c r="AO160" s="3" t="s">
        <v>1850</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row>
    <row r="161" spans="1:73" ht="15.75" customHeight="1" x14ac:dyDescent="0.2">
      <c r="A161" s="3">
        <f t="shared" si="2"/>
        <v>159</v>
      </c>
      <c r="B161" s="3" t="s">
        <v>1191</v>
      </c>
      <c r="C161" s="3" t="s">
        <v>1376</v>
      </c>
      <c r="D161" s="25" t="s">
        <v>1377</v>
      </c>
      <c r="E161" s="4" t="s">
        <v>1378</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1990</v>
      </c>
      <c r="AO161" s="3" t="s">
        <v>1850</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row>
    <row r="162" spans="1:73" ht="15.75" customHeight="1" x14ac:dyDescent="0.2">
      <c r="A162" s="3">
        <f t="shared" si="2"/>
        <v>160</v>
      </c>
      <c r="B162" s="3" t="s">
        <v>1395</v>
      </c>
      <c r="C162" s="3" t="s">
        <v>1395</v>
      </c>
      <c r="D162" s="25" t="s">
        <v>1394</v>
      </c>
      <c r="E162" s="4" t="s">
        <v>1396</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1990</v>
      </c>
      <c r="AO162" s="3" t="s">
        <v>1850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row>
    <row r="163" spans="1:73" ht="15.75" customHeight="1" x14ac:dyDescent="0.2">
      <c r="A163" s="3">
        <f t="shared" si="2"/>
        <v>161</v>
      </c>
      <c r="B163" s="3" t="s">
        <v>1866</v>
      </c>
      <c r="C163" s="3" t="s">
        <v>1866</v>
      </c>
      <c r="D163" s="25" t="s">
        <v>1865</v>
      </c>
      <c r="E163" s="4" t="s">
        <v>1905</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1990</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2</v>
      </c>
      <c r="BL163">
        <v>0</v>
      </c>
      <c r="BM163">
        <v>0</v>
      </c>
      <c r="BN163">
        <v>0</v>
      </c>
      <c r="BO163">
        <v>0</v>
      </c>
      <c r="BP163" s="6" t="s">
        <v>50</v>
      </c>
      <c r="BQ163">
        <v>0</v>
      </c>
      <c r="BR163" s="6" t="s">
        <v>50</v>
      </c>
      <c r="BS163">
        <v>0</v>
      </c>
      <c r="BT163" s="6" t="s">
        <v>50</v>
      </c>
      <c r="BU163">
        <v>0</v>
      </c>
    </row>
    <row r="164" spans="1:73" ht="15.75" customHeight="1" x14ac:dyDescent="0.2">
      <c r="A164" s="3">
        <f t="shared" si="2"/>
        <v>162</v>
      </c>
      <c r="B164" s="3" t="s">
        <v>695</v>
      </c>
      <c r="C164" s="3" t="s">
        <v>1631</v>
      </c>
      <c r="D164" s="25" t="s">
        <v>1630</v>
      </c>
      <c r="E164" s="4" t="s">
        <v>1632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1990</v>
      </c>
      <c r="AO164" s="3" t="s">
        <v>1850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1</v>
      </c>
      <c r="BP164" s="6" t="s">
        <v>50</v>
      </c>
      <c r="BQ164">
        <v>0</v>
      </c>
      <c r="BR164" s="6" t="s">
        <v>50</v>
      </c>
      <c r="BS164">
        <v>0</v>
      </c>
      <c r="BT164" s="6" t="s">
        <v>50</v>
      </c>
      <c r="BU164">
        <v>0</v>
      </c>
    </row>
    <row r="165" spans="1:73" ht="15.75" customHeight="1" x14ac:dyDescent="0.2">
      <c r="A165" s="3">
        <f t="shared" si="2"/>
        <v>163</v>
      </c>
      <c r="B165" s="3" t="s">
        <v>3215</v>
      </c>
      <c r="C165" s="3" t="s">
        <v>3215</v>
      </c>
      <c r="D165" s="25" t="s">
        <v>3213</v>
      </c>
      <c r="E165" s="4" t="s">
        <v>3214</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1990</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row>
    <row r="166" spans="1:73" ht="15.75" customHeight="1" x14ac:dyDescent="0.2">
      <c r="A166" s="3">
        <f t="shared" si="2"/>
        <v>164</v>
      </c>
      <c r="B166" s="3" t="s">
        <v>3247</v>
      </c>
      <c r="C166" s="3" t="s">
        <v>3247</v>
      </c>
      <c r="D166" s="25" t="s">
        <v>3246</v>
      </c>
      <c r="E166" s="4" t="s">
        <v>3248</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1990</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row>
    <row r="167" spans="1:73" ht="15.75" customHeight="1" x14ac:dyDescent="0.2">
      <c r="A167" s="3">
        <f t="shared" si="2"/>
        <v>165</v>
      </c>
      <c r="B167" s="3" t="s">
        <v>3251</v>
      </c>
      <c r="C167" s="3" t="s">
        <v>3251</v>
      </c>
      <c r="D167" s="25" t="s">
        <v>3250</v>
      </c>
      <c r="E167" s="4" t="s">
        <v>3249</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1990</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row>
    <row r="168" spans="1:73" ht="15.75" customHeight="1" x14ac:dyDescent="0.2">
      <c r="A168" s="3">
        <f t="shared" si="2"/>
        <v>166</v>
      </c>
      <c r="B168" s="3" t="s">
        <v>3253</v>
      </c>
      <c r="C168" s="3" t="s">
        <v>3253</v>
      </c>
      <c r="D168" s="25" t="s">
        <v>3353</v>
      </c>
      <c r="E168" s="4" t="s">
        <v>3252</v>
      </c>
      <c r="F168" s="3">
        <v>0</v>
      </c>
      <c r="G168" s="3">
        <v>0</v>
      </c>
      <c r="H168" s="3">
        <v>0</v>
      </c>
      <c r="I168" s="3">
        <v>0</v>
      </c>
      <c r="J168" s="3">
        <v>0</v>
      </c>
      <c r="K168" s="3">
        <v>1</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270</v>
      </c>
      <c r="AN168" s="3" t="s">
        <v>2949</v>
      </c>
      <c r="AO168" s="3" t="s">
        <v>50</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row>
    <row r="169" spans="1:73" s="9" customFormat="1" ht="15.75" customHeight="1" x14ac:dyDescent="0.2">
      <c r="A169" s="7">
        <f t="shared" si="2"/>
        <v>167</v>
      </c>
      <c r="B169" s="7" t="s">
        <v>604</v>
      </c>
      <c r="C169" s="7" t="s">
        <v>2232</v>
      </c>
      <c r="D169" s="26" t="s">
        <v>2233</v>
      </c>
      <c r="E169" s="11" t="s">
        <v>2379</v>
      </c>
      <c r="F169" s="7">
        <v>0</v>
      </c>
      <c r="G169" s="7">
        <v>300</v>
      </c>
      <c r="H169" s="7">
        <v>0</v>
      </c>
      <c r="I169" s="7">
        <v>50</v>
      </c>
      <c r="J169" s="7">
        <v>0</v>
      </c>
      <c r="K169" s="7">
        <v>1</v>
      </c>
      <c r="L169" s="7">
        <v>0</v>
      </c>
      <c r="M169" s="7">
        <v>20</v>
      </c>
      <c r="N169" s="7">
        <v>0</v>
      </c>
      <c r="O169" s="7">
        <v>0</v>
      </c>
      <c r="P169" s="7">
        <v>0</v>
      </c>
      <c r="Q169" s="7">
        <v>0</v>
      </c>
      <c r="R169" s="7">
        <v>0</v>
      </c>
      <c r="S169" s="7">
        <v>0</v>
      </c>
      <c r="T169" s="7">
        <v>0</v>
      </c>
      <c r="U169" s="7">
        <v>0</v>
      </c>
      <c r="V169" s="7">
        <v>0</v>
      </c>
      <c r="W169" s="7">
        <v>0</v>
      </c>
      <c r="X169" s="7">
        <v>0</v>
      </c>
      <c r="Y169" s="7">
        <v>0</v>
      </c>
      <c r="Z169" s="7">
        <v>0</v>
      </c>
      <c r="AA169" s="7">
        <v>0</v>
      </c>
      <c r="AB169" s="7">
        <v>0</v>
      </c>
      <c r="AC169" s="7">
        <v>0</v>
      </c>
      <c r="AD169" s="7">
        <v>0</v>
      </c>
      <c r="AE169" s="7">
        <v>0</v>
      </c>
      <c r="AF169" s="7">
        <v>0</v>
      </c>
      <c r="AG169" s="7">
        <v>0</v>
      </c>
      <c r="AH169" s="7">
        <v>0</v>
      </c>
      <c r="AI169" s="7">
        <v>0</v>
      </c>
      <c r="AJ169" s="7">
        <v>0</v>
      </c>
      <c r="AK169" s="7">
        <v>0</v>
      </c>
      <c r="AL169" s="7" t="s">
        <v>51</v>
      </c>
      <c r="AM169" s="7" t="s">
        <v>653</v>
      </c>
      <c r="AN169" s="7" t="s">
        <v>1990</v>
      </c>
      <c r="AO169" s="7" t="s">
        <v>50</v>
      </c>
      <c r="AP169" s="7">
        <v>0</v>
      </c>
      <c r="AQ169" s="7">
        <v>0</v>
      </c>
      <c r="AR169" s="9">
        <v>0</v>
      </c>
      <c r="AS169" s="9">
        <v>1</v>
      </c>
      <c r="AT169" s="10" t="s">
        <v>50</v>
      </c>
      <c r="AU169" s="10" t="s">
        <v>50</v>
      </c>
      <c r="AV169" s="10" t="s">
        <v>50</v>
      </c>
      <c r="AW169" s="10" t="s">
        <v>50</v>
      </c>
      <c r="AX169" s="10" t="s">
        <v>50</v>
      </c>
      <c r="AY169" s="10" t="s">
        <v>50</v>
      </c>
      <c r="AZ169" s="10" t="s">
        <v>50</v>
      </c>
      <c r="BA169" s="10" t="s">
        <v>50</v>
      </c>
      <c r="BB169" s="10" t="s">
        <v>50</v>
      </c>
      <c r="BC169" s="10" t="s">
        <v>50</v>
      </c>
      <c r="BD169" s="10" t="s">
        <v>50</v>
      </c>
      <c r="BE169" s="10" t="s">
        <v>50</v>
      </c>
      <c r="BF169" s="10" t="s">
        <v>50</v>
      </c>
      <c r="BG169" s="10" t="s">
        <v>50</v>
      </c>
      <c r="BH169" s="10" t="s">
        <v>50</v>
      </c>
      <c r="BI169" s="9">
        <v>0</v>
      </c>
      <c r="BJ169" s="9">
        <v>0</v>
      </c>
      <c r="BK169" s="9">
        <v>1</v>
      </c>
      <c r="BL169" s="9">
        <v>0</v>
      </c>
      <c r="BM169" s="9">
        <v>0</v>
      </c>
      <c r="BN169" s="9">
        <v>0</v>
      </c>
      <c r="BO169" s="9">
        <v>0</v>
      </c>
      <c r="BP169" s="10" t="s">
        <v>50</v>
      </c>
      <c r="BQ169" s="9">
        <v>0</v>
      </c>
      <c r="BR169" s="10" t="s">
        <v>50</v>
      </c>
      <c r="BS169" s="9">
        <v>0</v>
      </c>
      <c r="BT169" s="10" t="s">
        <v>50</v>
      </c>
      <c r="BU169" s="9">
        <v>0</v>
      </c>
    </row>
    <row r="170" spans="1:73" ht="15.75" customHeight="1" x14ac:dyDescent="0.2">
      <c r="A170" s="3">
        <f t="shared" si="2"/>
        <v>168</v>
      </c>
      <c r="B170" s="3" t="s">
        <v>52</v>
      </c>
      <c r="C170" s="3" t="s">
        <v>179</v>
      </c>
      <c r="D170" s="25" t="s">
        <v>49</v>
      </c>
      <c r="E170" s="4" t="s">
        <v>487</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1991</v>
      </c>
      <c r="AO170" s="3" t="s">
        <v>1850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row>
    <row r="171" spans="1:73" ht="15.75" customHeight="1" x14ac:dyDescent="0.2">
      <c r="A171" s="3">
        <f t="shared" si="2"/>
        <v>169</v>
      </c>
      <c r="B171" s="3" t="s">
        <v>52</v>
      </c>
      <c r="C171" s="3" t="s">
        <v>488</v>
      </c>
      <c r="D171" s="25" t="s">
        <v>486</v>
      </c>
      <c r="E171" s="4" t="s">
        <v>702</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1991</v>
      </c>
      <c r="AO171" s="3" t="s">
        <v>1850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row>
    <row r="172" spans="1:73" ht="15.75" customHeight="1" x14ac:dyDescent="0.2">
      <c r="A172" s="3">
        <f t="shared" si="2"/>
        <v>170</v>
      </c>
      <c r="B172" s="3" t="s">
        <v>1487</v>
      </c>
      <c r="C172" s="3" t="s">
        <v>3278</v>
      </c>
      <c r="D172" s="25" t="s">
        <v>1883</v>
      </c>
      <c r="E172" s="4" t="s">
        <v>3281</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1991</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row>
    <row r="173" spans="1:73" ht="15.75" customHeight="1" x14ac:dyDescent="0.2">
      <c r="A173" s="3">
        <f t="shared" si="2"/>
        <v>171</v>
      </c>
      <c r="B173" s="3" t="s">
        <v>3552</v>
      </c>
      <c r="C173" s="3" t="s">
        <v>1882</v>
      </c>
      <c r="D173" s="25" t="s">
        <v>3280</v>
      </c>
      <c r="E173" s="4" t="s">
        <v>3279</v>
      </c>
      <c r="F173" s="3">
        <v>0</v>
      </c>
      <c r="G173" s="3">
        <v>0</v>
      </c>
      <c r="H173" s="3">
        <v>0</v>
      </c>
      <c r="I173" s="3">
        <v>0</v>
      </c>
      <c r="J173" s="3">
        <v>0</v>
      </c>
      <c r="K173" s="3">
        <v>1</v>
      </c>
      <c r="L173" s="3">
        <v>0</v>
      </c>
      <c r="M173" s="3">
        <v>10</v>
      </c>
      <c r="N173" s="3">
        <v>0</v>
      </c>
      <c r="O173" s="3">
        <v>0</v>
      </c>
      <c r="P173" s="3">
        <v>20</v>
      </c>
      <c r="Q173" s="3">
        <v>0</v>
      </c>
      <c r="R173" s="3">
        <v>20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1991</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row>
    <row r="174" spans="1:73" ht="15.75" customHeight="1" x14ac:dyDescent="0.2">
      <c r="A174" s="3">
        <f t="shared" si="2"/>
        <v>172</v>
      </c>
      <c r="B174" s="3" t="s">
        <v>52</v>
      </c>
      <c r="C174" s="3" t="s">
        <v>366</v>
      </c>
      <c r="D174" s="25" t="s">
        <v>380</v>
      </c>
      <c r="E174" s="4" t="s">
        <v>411</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1991</v>
      </c>
      <c r="AO174" s="3" t="s">
        <v>1850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row>
    <row r="175" spans="1:73" ht="15.75" customHeight="1" x14ac:dyDescent="0.2">
      <c r="A175" s="3">
        <f t="shared" si="2"/>
        <v>173</v>
      </c>
      <c r="B175" s="3" t="s">
        <v>52</v>
      </c>
      <c r="C175" s="3" t="s">
        <v>410</v>
      </c>
      <c r="D175" s="25" t="s">
        <v>409</v>
      </c>
      <c r="E175" s="4" t="s">
        <v>412</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1991</v>
      </c>
      <c r="AO175" s="3" t="s">
        <v>1850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row>
    <row r="176" spans="1:73" ht="15.75" customHeight="1" x14ac:dyDescent="0.2">
      <c r="A176" s="3">
        <f t="shared" si="2"/>
        <v>174</v>
      </c>
      <c r="B176" s="3" t="s">
        <v>3432</v>
      </c>
      <c r="C176" s="3" t="s">
        <v>1835</v>
      </c>
      <c r="D176" s="25" t="s">
        <v>1833</v>
      </c>
      <c r="E176" s="4" t="s">
        <v>1834</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1991</v>
      </c>
      <c r="AO176" s="3" t="s">
        <v>1850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row>
    <row r="177" spans="1:73" ht="15.75" customHeight="1" x14ac:dyDescent="0.2">
      <c r="A177" s="3">
        <f t="shared" si="2"/>
        <v>175</v>
      </c>
      <c r="B177" s="3" t="s">
        <v>604</v>
      </c>
      <c r="C177" s="3" t="s">
        <v>2741</v>
      </c>
      <c r="D177" s="25" t="s">
        <v>2740</v>
      </c>
      <c r="E177" s="4" t="s">
        <v>2742</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1991</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row>
    <row r="178" spans="1:73" ht="15.75" customHeight="1" x14ac:dyDescent="0.2">
      <c r="A178" s="3">
        <f t="shared" si="2"/>
        <v>176</v>
      </c>
      <c r="B178" s="3" t="s">
        <v>2977</v>
      </c>
      <c r="C178" s="3" t="s">
        <v>2782</v>
      </c>
      <c r="D178" s="25" t="s">
        <v>2930</v>
      </c>
      <c r="E178" s="4" t="s">
        <v>2783</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1991</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row>
    <row r="179" spans="1:73" ht="15.75" customHeight="1" x14ac:dyDescent="0.2">
      <c r="A179" s="3">
        <f t="shared" si="2"/>
        <v>177</v>
      </c>
      <c r="B179" s="3" t="s">
        <v>2960</v>
      </c>
      <c r="C179" s="3" t="s">
        <v>2769</v>
      </c>
      <c r="D179" s="25" t="s">
        <v>2767</v>
      </c>
      <c r="E179" s="4" t="s">
        <v>2768</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1991</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row>
    <row r="180" spans="1:73" ht="15.75" customHeight="1" x14ac:dyDescent="0.2">
      <c r="A180" s="3">
        <f t="shared" si="2"/>
        <v>178</v>
      </c>
      <c r="B180" s="3" t="s">
        <v>1487</v>
      </c>
      <c r="C180" s="3" t="s">
        <v>3233</v>
      </c>
      <c r="D180" s="25" t="s">
        <v>3232</v>
      </c>
      <c r="E180" s="5" t="s">
        <v>3231</v>
      </c>
      <c r="F180" s="3">
        <v>0</v>
      </c>
      <c r="G180" s="3">
        <v>0</v>
      </c>
      <c r="H180" s="3">
        <v>0</v>
      </c>
      <c r="I180" s="3">
        <v>0</v>
      </c>
      <c r="J180" s="3">
        <v>0</v>
      </c>
      <c r="K180" s="3">
        <v>1</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1991</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row>
    <row r="181" spans="1:73" ht="15.75" customHeight="1" x14ac:dyDescent="0.2">
      <c r="A181" s="3">
        <f t="shared" si="2"/>
        <v>179</v>
      </c>
      <c r="B181" s="3" t="s">
        <v>3430</v>
      </c>
      <c r="C181" s="3" t="s">
        <v>3406</v>
      </c>
      <c r="D181" s="25" t="s">
        <v>3404</v>
      </c>
      <c r="E181" s="4" t="s">
        <v>3405</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1991</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row>
    <row r="182" spans="1:73" ht="15.75" customHeight="1" x14ac:dyDescent="0.2">
      <c r="A182" s="3">
        <f t="shared" si="2"/>
        <v>180</v>
      </c>
      <c r="B182" s="3" t="s">
        <v>3431</v>
      </c>
      <c r="C182" s="3" t="s">
        <v>3409</v>
      </c>
      <c r="D182" s="25" t="s">
        <v>3408</v>
      </c>
      <c r="E182" s="4" t="s">
        <v>3421</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1991</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row>
    <row r="183" spans="1:73" ht="15.75" customHeight="1" x14ac:dyDescent="0.2">
      <c r="A183" s="3">
        <f t="shared" si="2"/>
        <v>181</v>
      </c>
      <c r="B183" s="3" t="s">
        <v>604</v>
      </c>
      <c r="C183" s="3" t="s">
        <v>1002</v>
      </c>
      <c r="D183" s="25" t="s">
        <v>1084</v>
      </c>
      <c r="E183" s="4" t="s">
        <v>1003</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2613</v>
      </c>
      <c r="AN183" s="3" t="s">
        <v>2053</v>
      </c>
      <c r="AO183" s="3" t="s">
        <v>1850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row>
    <row r="184" spans="1:73" ht="15.75" customHeight="1" x14ac:dyDescent="0.2">
      <c r="A184" s="3">
        <f t="shared" si="2"/>
        <v>182</v>
      </c>
      <c r="B184" s="3" t="s">
        <v>2954</v>
      </c>
      <c r="C184" s="3" t="s">
        <v>2643</v>
      </c>
      <c r="D184" s="25" t="s">
        <v>2641</v>
      </c>
      <c r="E184" s="4" t="s">
        <v>2642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2613</v>
      </c>
      <c r="AN184" s="3" t="s">
        <v>2053</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row>
    <row r="185" spans="1:73" ht="15.75" customHeight="1" x14ac:dyDescent="0.2">
      <c r="A185" s="3">
        <f t="shared" si="2"/>
        <v>183</v>
      </c>
      <c r="B185" s="3" t="s">
        <v>2953</v>
      </c>
      <c r="C185" s="3" t="s">
        <v>2646</v>
      </c>
      <c r="D185" s="25" t="s">
        <v>2644</v>
      </c>
      <c r="E185" s="4" t="s">
        <v>2645</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2613</v>
      </c>
      <c r="AN185" s="3" t="s">
        <v>2053</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row>
    <row r="186" spans="1:73" ht="15.75" customHeight="1" x14ac:dyDescent="0.2">
      <c r="A186" s="3">
        <f t="shared" si="2"/>
        <v>184</v>
      </c>
      <c r="B186" s="3" t="s">
        <v>2955</v>
      </c>
      <c r="C186" s="3" t="s">
        <v>2656</v>
      </c>
      <c r="D186" s="25" t="s">
        <v>2647</v>
      </c>
      <c r="E186" s="4" t="s">
        <v>2652</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2613</v>
      </c>
      <c r="AN186" s="3" t="s">
        <v>2053</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row>
    <row r="187" spans="1:73" ht="15.75" customHeight="1" x14ac:dyDescent="0.2">
      <c r="A187" s="3">
        <f t="shared" si="2"/>
        <v>185</v>
      </c>
      <c r="B187" s="3" t="s">
        <v>2956</v>
      </c>
      <c r="C187" s="3" t="s">
        <v>2657</v>
      </c>
      <c r="D187" s="25" t="s">
        <v>2648</v>
      </c>
      <c r="E187" s="4" t="s">
        <v>2653</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2613</v>
      </c>
      <c r="AN187" s="3" t="s">
        <v>2053</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row>
    <row r="188" spans="1:73" ht="15.75" customHeight="1" x14ac:dyDescent="0.2">
      <c r="A188" s="3">
        <f t="shared" si="2"/>
        <v>186</v>
      </c>
      <c r="B188" s="3" t="s">
        <v>2957</v>
      </c>
      <c r="C188" s="3" t="s">
        <v>2658</v>
      </c>
      <c r="D188" s="25" t="s">
        <v>2649</v>
      </c>
      <c r="E188" s="4" t="s">
        <v>2654</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2613</v>
      </c>
      <c r="AN188" s="3" t="s">
        <v>2053</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row>
    <row r="189" spans="1:73" ht="15.75" customHeight="1" x14ac:dyDescent="0.2">
      <c r="A189" s="3">
        <f t="shared" si="2"/>
        <v>187</v>
      </c>
      <c r="B189" s="3" t="s">
        <v>2958</v>
      </c>
      <c r="C189" s="3" t="s">
        <v>2659</v>
      </c>
      <c r="D189" s="25" t="s">
        <v>2650</v>
      </c>
      <c r="E189" s="4" t="s">
        <v>2655</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2613</v>
      </c>
      <c r="AN189" s="3" t="s">
        <v>2053</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row>
    <row r="190" spans="1:73" ht="15.75" customHeight="1" x14ac:dyDescent="0.2">
      <c r="A190" s="3">
        <f t="shared" si="2"/>
        <v>188</v>
      </c>
      <c r="B190" s="3" t="s">
        <v>2959</v>
      </c>
      <c r="C190" s="3" t="s">
        <v>2660</v>
      </c>
      <c r="D190" s="25" t="s">
        <v>2651</v>
      </c>
      <c r="E190" s="4" t="s">
        <v>2661</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2613</v>
      </c>
      <c r="AN190" s="3" t="s">
        <v>2053</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row>
    <row r="191" spans="1:73" ht="15.75" customHeight="1" x14ac:dyDescent="0.2">
      <c r="A191" s="3">
        <f t="shared" si="2"/>
        <v>189</v>
      </c>
      <c r="B191" s="3" t="s">
        <v>1487</v>
      </c>
      <c r="C191" s="3" t="s">
        <v>3308</v>
      </c>
      <c r="D191" s="25" t="s">
        <v>3309</v>
      </c>
      <c r="E191" s="4" t="s">
        <v>3310</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2613</v>
      </c>
      <c r="AN191" s="3" t="s">
        <v>2053</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row>
    <row r="192" spans="1:73" ht="15.75" customHeight="1" x14ac:dyDescent="0.2">
      <c r="A192" s="3">
        <f t="shared" si="2"/>
        <v>190</v>
      </c>
      <c r="B192" s="3" t="s">
        <v>604</v>
      </c>
      <c r="C192" s="3" t="s">
        <v>843</v>
      </c>
      <c r="D192" s="25" t="s">
        <v>589</v>
      </c>
      <c r="E192" s="5" t="s">
        <v>585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1991</v>
      </c>
      <c r="AO192" s="3" t="s">
        <v>1850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row>
    <row r="193" spans="1:73" ht="15.75" customHeight="1" x14ac:dyDescent="0.2">
      <c r="A193" s="3">
        <f t="shared" si="2"/>
        <v>191</v>
      </c>
      <c r="B193" s="3" t="s">
        <v>604</v>
      </c>
      <c r="C193" s="3" t="s">
        <v>586</v>
      </c>
      <c r="D193" s="25" t="s">
        <v>588</v>
      </c>
      <c r="E193" s="5" t="s">
        <v>587</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1991</v>
      </c>
      <c r="AO193" s="3" t="s">
        <v>1850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row>
    <row r="194" spans="1:73" ht="15.75" customHeight="1" x14ac:dyDescent="0.2">
      <c r="A194" s="3">
        <f t="shared" ref="A194:A257" si="3">ROW()-2</f>
        <v>192</v>
      </c>
      <c r="B194" s="3" t="s">
        <v>52</v>
      </c>
      <c r="C194" s="3" t="s">
        <v>590</v>
      </c>
      <c r="D194" s="25" t="s">
        <v>846</v>
      </c>
      <c r="E194" s="5" t="s">
        <v>845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1991</v>
      </c>
      <c r="AO194" s="3" t="s">
        <v>1850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row>
    <row r="195" spans="1:73" ht="15.75" customHeight="1" x14ac:dyDescent="0.2">
      <c r="A195" s="3">
        <f t="shared" si="3"/>
        <v>193</v>
      </c>
      <c r="B195" s="3" t="s">
        <v>52</v>
      </c>
      <c r="C195" s="3" t="s">
        <v>965</v>
      </c>
      <c r="D195" s="25" t="s">
        <v>964</v>
      </c>
      <c r="E195" s="4" t="s">
        <v>963</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1991</v>
      </c>
      <c r="AO195" s="3" t="s">
        <v>1850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row>
    <row r="196" spans="1:73" ht="15.75" customHeight="1" x14ac:dyDescent="0.2">
      <c r="A196" s="3">
        <f t="shared" si="3"/>
        <v>194</v>
      </c>
      <c r="B196" s="3" t="s">
        <v>52</v>
      </c>
      <c r="C196" s="3" t="s">
        <v>627</v>
      </c>
      <c r="D196" s="25" t="s">
        <v>628</v>
      </c>
      <c r="E196" s="5" t="s">
        <v>629</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1991</v>
      </c>
      <c r="AO196" s="3" t="s">
        <v>1850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row>
    <row r="197" spans="1:73" ht="15.75" customHeight="1" x14ac:dyDescent="0.2">
      <c r="A197" s="3">
        <f t="shared" si="3"/>
        <v>195</v>
      </c>
      <c r="B197" s="3" t="s">
        <v>52</v>
      </c>
      <c r="C197" s="3" t="s">
        <v>980</v>
      </c>
      <c r="D197" s="25" t="s">
        <v>979</v>
      </c>
      <c r="E197" s="5" t="s">
        <v>978</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1991</v>
      </c>
      <c r="AO197" s="3" t="s">
        <v>1850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row>
    <row r="198" spans="1:73" ht="15.75" customHeight="1" x14ac:dyDescent="0.2">
      <c r="A198" s="3">
        <f t="shared" si="3"/>
        <v>196</v>
      </c>
      <c r="B198" s="3" t="s">
        <v>2757</v>
      </c>
      <c r="C198" s="3" t="s">
        <v>2757</v>
      </c>
      <c r="D198" s="25" t="s">
        <v>2756</v>
      </c>
      <c r="E198" s="4" t="s">
        <v>2774</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1991</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row>
    <row r="199" spans="1:73" ht="15.75" customHeight="1" x14ac:dyDescent="0.2">
      <c r="A199" s="3">
        <f t="shared" si="3"/>
        <v>197</v>
      </c>
      <c r="B199" s="3" t="s">
        <v>2748</v>
      </c>
      <c r="C199" s="3" t="s">
        <v>2748</v>
      </c>
      <c r="D199" s="25" t="s">
        <v>2746</v>
      </c>
      <c r="E199" s="5" t="s">
        <v>2747</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1991</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row>
    <row r="200" spans="1:73" ht="15.75" customHeight="1" x14ac:dyDescent="0.2">
      <c r="A200" s="3">
        <f t="shared" si="3"/>
        <v>198</v>
      </c>
      <c r="B200" s="3" t="s">
        <v>2749</v>
      </c>
      <c r="C200" s="3" t="s">
        <v>2749</v>
      </c>
      <c r="D200" s="25" t="s">
        <v>2925</v>
      </c>
      <c r="E200" s="5" t="s">
        <v>2750</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1991</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row>
    <row r="201" spans="1:73" s="9" customFormat="1" ht="15.75" customHeight="1" x14ac:dyDescent="0.2">
      <c r="A201" s="7">
        <f t="shared" si="3"/>
        <v>199</v>
      </c>
      <c r="B201" s="7" t="s">
        <v>1487</v>
      </c>
      <c r="C201" s="7" t="s">
        <v>1417</v>
      </c>
      <c r="D201" s="26" t="s">
        <v>1418</v>
      </c>
      <c r="E201" s="8" t="s">
        <v>1419</v>
      </c>
      <c r="F201" s="7">
        <v>0</v>
      </c>
      <c r="G201" s="7">
        <v>0</v>
      </c>
      <c r="H201" s="7">
        <v>0</v>
      </c>
      <c r="I201" s="7">
        <v>0</v>
      </c>
      <c r="J201" s="7">
        <v>0</v>
      </c>
      <c r="K201" s="7">
        <v>1</v>
      </c>
      <c r="L201" s="7">
        <v>0</v>
      </c>
      <c r="M201" s="7">
        <v>0</v>
      </c>
      <c r="N201" s="7">
        <v>0</v>
      </c>
      <c r="O201" s="7">
        <v>0</v>
      </c>
      <c r="P201" s="7">
        <v>0</v>
      </c>
      <c r="Q201" s="7">
        <v>0</v>
      </c>
      <c r="R201" s="7">
        <v>0</v>
      </c>
      <c r="S201" s="7">
        <v>0</v>
      </c>
      <c r="T201" s="7">
        <v>0</v>
      </c>
      <c r="U201" s="7">
        <v>0</v>
      </c>
      <c r="V201" s="7">
        <v>0</v>
      </c>
      <c r="W201" s="7">
        <v>0</v>
      </c>
      <c r="X201" s="7">
        <v>0</v>
      </c>
      <c r="Y201" s="7">
        <v>0</v>
      </c>
      <c r="Z201" s="7">
        <v>0</v>
      </c>
      <c r="AA201" s="7">
        <v>0</v>
      </c>
      <c r="AB201" s="7">
        <v>0</v>
      </c>
      <c r="AC201" s="7">
        <v>0</v>
      </c>
      <c r="AD201" s="7">
        <v>0</v>
      </c>
      <c r="AE201" s="7">
        <v>0</v>
      </c>
      <c r="AF201" s="7">
        <v>0</v>
      </c>
      <c r="AG201" s="7">
        <v>0</v>
      </c>
      <c r="AH201" s="7">
        <v>0</v>
      </c>
      <c r="AI201" s="7">
        <v>0</v>
      </c>
      <c r="AJ201" s="7">
        <v>0</v>
      </c>
      <c r="AK201" s="7">
        <v>0</v>
      </c>
      <c r="AL201" s="7" t="s">
        <v>51</v>
      </c>
      <c r="AM201" s="7" t="s">
        <v>270</v>
      </c>
      <c r="AN201" s="7" t="s">
        <v>1991</v>
      </c>
      <c r="AO201" s="7" t="s">
        <v>1850</v>
      </c>
      <c r="AP201" s="7">
        <v>0</v>
      </c>
      <c r="AQ201" s="7">
        <v>0</v>
      </c>
      <c r="AR201" s="9">
        <v>0</v>
      </c>
      <c r="AS201" s="9">
        <v>0</v>
      </c>
      <c r="AT201" s="10" t="s">
        <v>50</v>
      </c>
      <c r="AU201" s="10" t="s">
        <v>50</v>
      </c>
      <c r="AV201" s="10" t="s">
        <v>50</v>
      </c>
      <c r="AW201" s="10" t="s">
        <v>50</v>
      </c>
      <c r="AX201" s="10" t="s">
        <v>50</v>
      </c>
      <c r="AY201" s="10" t="s">
        <v>50</v>
      </c>
      <c r="AZ201" s="10" t="s">
        <v>50</v>
      </c>
      <c r="BA201" s="10" t="s">
        <v>50</v>
      </c>
      <c r="BB201" s="10" t="s">
        <v>50</v>
      </c>
      <c r="BC201" s="10" t="s">
        <v>50</v>
      </c>
      <c r="BD201" s="10" t="s">
        <v>50</v>
      </c>
      <c r="BE201" s="10" t="s">
        <v>50</v>
      </c>
      <c r="BF201" s="10" t="s">
        <v>50</v>
      </c>
      <c r="BG201" s="10" t="s">
        <v>50</v>
      </c>
      <c r="BH201" s="10" t="s">
        <v>50</v>
      </c>
      <c r="BI201" s="9">
        <v>0</v>
      </c>
      <c r="BJ201" s="9">
        <v>0</v>
      </c>
      <c r="BK201" s="9">
        <v>1</v>
      </c>
      <c r="BL201" s="9">
        <v>0</v>
      </c>
      <c r="BM201" s="9">
        <v>0</v>
      </c>
      <c r="BN201" s="9">
        <v>0</v>
      </c>
      <c r="BO201" s="9">
        <v>0</v>
      </c>
      <c r="BP201" s="10" t="s">
        <v>50</v>
      </c>
      <c r="BQ201" s="9">
        <v>0</v>
      </c>
      <c r="BR201" s="10" t="s">
        <v>50</v>
      </c>
      <c r="BS201" s="9">
        <v>0</v>
      </c>
      <c r="BT201" s="10" t="s">
        <v>50</v>
      </c>
      <c r="BU201" s="9">
        <v>0</v>
      </c>
    </row>
    <row r="202" spans="1:73" ht="15.75" customHeight="1" x14ac:dyDescent="0.2">
      <c r="A202" s="3">
        <f t="shared" si="3"/>
        <v>200</v>
      </c>
      <c r="B202" s="3" t="s">
        <v>52</v>
      </c>
      <c r="C202" s="3" t="s">
        <v>437</v>
      </c>
      <c r="D202" s="25" t="s">
        <v>436</v>
      </c>
      <c r="E202" s="4" t="s">
        <v>1083</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1991</v>
      </c>
      <c r="AO202" s="3" t="s">
        <v>1850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row>
    <row r="203" spans="1:73" ht="15.75" customHeight="1" x14ac:dyDescent="0.2">
      <c r="A203" s="3">
        <f t="shared" si="3"/>
        <v>201</v>
      </c>
      <c r="B203" s="3" t="s">
        <v>2897</v>
      </c>
      <c r="C203" s="3" t="s">
        <v>2897</v>
      </c>
      <c r="D203" s="25" t="s">
        <v>2898</v>
      </c>
      <c r="E203" s="4" t="s">
        <v>2961</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3043</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row>
    <row r="204" spans="1:73" ht="15.75" customHeight="1" x14ac:dyDescent="0.2">
      <c r="A204" s="3">
        <f t="shared" si="3"/>
        <v>202</v>
      </c>
      <c r="B204" s="3" t="s">
        <v>52</v>
      </c>
      <c r="C204" s="3" t="s">
        <v>1414</v>
      </c>
      <c r="D204" s="25" t="s">
        <v>1415</v>
      </c>
      <c r="E204" s="4" t="s">
        <v>1416</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1991</v>
      </c>
      <c r="AO204" s="3" t="s">
        <v>1850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row>
    <row r="205" spans="1:73" ht="15.75" customHeight="1" x14ac:dyDescent="0.2">
      <c r="A205" s="3">
        <f t="shared" si="3"/>
        <v>203</v>
      </c>
      <c r="B205" s="3" t="s">
        <v>52</v>
      </c>
      <c r="C205" s="3" t="s">
        <v>440</v>
      </c>
      <c r="D205" s="25" t="s">
        <v>1081</v>
      </c>
      <c r="E205" s="4" t="s">
        <v>1082</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1991</v>
      </c>
      <c r="AO205" s="3" t="s">
        <v>1850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row>
    <row r="206" spans="1:73" ht="15.75" customHeight="1" x14ac:dyDescent="0.2">
      <c r="A206" s="3">
        <f t="shared" si="3"/>
        <v>204</v>
      </c>
      <c r="B206" s="3" t="s">
        <v>3315</v>
      </c>
      <c r="C206" s="3" t="s">
        <v>3315</v>
      </c>
      <c r="D206" s="25" t="s">
        <v>3282</v>
      </c>
      <c r="E206" s="4" t="s">
        <v>3283</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1991</v>
      </c>
      <c r="AO206" s="3" t="s">
        <v>50</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row>
    <row r="207" spans="1:73" ht="15.75" customHeight="1" x14ac:dyDescent="0.2">
      <c r="A207" s="3">
        <f t="shared" si="3"/>
        <v>205</v>
      </c>
      <c r="B207" s="3" t="s">
        <v>3316</v>
      </c>
      <c r="C207" s="3" t="s">
        <v>3316</v>
      </c>
      <c r="D207" s="25" t="s">
        <v>3284</v>
      </c>
      <c r="E207" s="4" t="s">
        <v>3285</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1991</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row>
    <row r="208" spans="1:73" ht="15.75" customHeight="1" x14ac:dyDescent="0.2">
      <c r="A208" s="3">
        <f t="shared" si="3"/>
        <v>206</v>
      </c>
      <c r="B208" s="3" t="s">
        <v>3289</v>
      </c>
      <c r="C208" s="3" t="s">
        <v>3289</v>
      </c>
      <c r="D208" s="5" t="s">
        <v>3290</v>
      </c>
      <c r="E208" s="5" t="s">
        <v>3291</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1991</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row>
    <row r="209" spans="1:73" ht="15.75" customHeight="1" x14ac:dyDescent="0.2">
      <c r="A209" s="3">
        <f t="shared" si="3"/>
        <v>207</v>
      </c>
      <c r="B209" s="3" t="s">
        <v>3241</v>
      </c>
      <c r="C209" s="3" t="s">
        <v>3241</v>
      </c>
      <c r="D209" s="5" t="s">
        <v>3240</v>
      </c>
      <c r="E209" s="5" t="s">
        <v>3242</v>
      </c>
      <c r="F209" s="3">
        <v>0</v>
      </c>
      <c r="G209" s="3">
        <v>300</v>
      </c>
      <c r="H209" s="3">
        <v>0</v>
      </c>
      <c r="I209" s="3">
        <v>50</v>
      </c>
      <c r="J209" s="3">
        <v>5</v>
      </c>
      <c r="K209" s="3">
        <v>1</v>
      </c>
      <c r="L209" s="3">
        <v>0</v>
      </c>
      <c r="M209" s="3">
        <v>20</v>
      </c>
      <c r="N209" s="3">
        <v>0</v>
      </c>
      <c r="O209" s="3">
        <v>0</v>
      </c>
      <c r="P209" s="3">
        <v>35</v>
      </c>
      <c r="Q209" s="3">
        <v>0</v>
      </c>
      <c r="R209" s="3">
        <v>10</v>
      </c>
      <c r="S209" s="3">
        <v>0</v>
      </c>
      <c r="T209" s="3">
        <v>0</v>
      </c>
      <c r="U209" s="3">
        <v>0</v>
      </c>
      <c r="V209" s="3">
        <v>-3</v>
      </c>
      <c r="W209" s="3">
        <v>10</v>
      </c>
      <c r="X209" s="3">
        <v>0</v>
      </c>
      <c r="Y209" s="3">
        <v>0</v>
      </c>
      <c r="Z209" s="3">
        <v>0</v>
      </c>
      <c r="AA209" s="3">
        <v>0</v>
      </c>
      <c r="AB209" s="3">
        <v>0</v>
      </c>
      <c r="AC209" s="3">
        <v>3</v>
      </c>
      <c r="AD209" s="3">
        <v>0</v>
      </c>
      <c r="AE209" s="3">
        <v>0</v>
      </c>
      <c r="AF209" s="3">
        <v>0</v>
      </c>
      <c r="AG209" s="3">
        <v>10</v>
      </c>
      <c r="AH209" s="3">
        <v>0</v>
      </c>
      <c r="AI209" s="3">
        <v>0</v>
      </c>
      <c r="AJ209" s="3">
        <v>0</v>
      </c>
      <c r="AK209" s="3">
        <v>0</v>
      </c>
      <c r="AL209" s="3" t="s">
        <v>17</v>
      </c>
      <c r="AM209" s="3" t="s">
        <v>270</v>
      </c>
      <c r="AN209" s="3" t="s">
        <v>1991</v>
      </c>
      <c r="AO209" s="3" t="s">
        <v>50</v>
      </c>
      <c r="AP209" s="3">
        <v>0</v>
      </c>
      <c r="AQ209" s="3">
        <v>0</v>
      </c>
      <c r="AR209">
        <v>0</v>
      </c>
      <c r="AS209">
        <v>1</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row>
    <row r="210" spans="1:73" ht="15.75" customHeight="1" x14ac:dyDescent="0.2">
      <c r="A210" s="3">
        <f t="shared" si="3"/>
        <v>208</v>
      </c>
      <c r="B210" s="3" t="s">
        <v>3288</v>
      </c>
      <c r="C210" s="3" t="s">
        <v>3288</v>
      </c>
      <c r="D210" s="5" t="s">
        <v>3286</v>
      </c>
      <c r="E210" s="5" t="s">
        <v>3287</v>
      </c>
      <c r="F210" s="3">
        <v>0</v>
      </c>
      <c r="G210" s="3">
        <v>300</v>
      </c>
      <c r="H210" s="3">
        <v>0</v>
      </c>
      <c r="I210" s="3">
        <v>50</v>
      </c>
      <c r="J210" s="3">
        <v>5</v>
      </c>
      <c r="K210" s="3">
        <v>1</v>
      </c>
      <c r="L210" s="3">
        <v>0</v>
      </c>
      <c r="M210" s="3">
        <v>20</v>
      </c>
      <c r="N210" s="3">
        <v>0</v>
      </c>
      <c r="O210" s="3">
        <v>0</v>
      </c>
      <c r="P210" s="3">
        <v>35</v>
      </c>
      <c r="Q210" s="3">
        <v>0</v>
      </c>
      <c r="R210" s="3">
        <v>10</v>
      </c>
      <c r="S210" s="3">
        <v>0</v>
      </c>
      <c r="T210" s="3">
        <v>0</v>
      </c>
      <c r="U210" s="3">
        <v>0</v>
      </c>
      <c r="V210" s="3">
        <v>-3</v>
      </c>
      <c r="W210" s="3">
        <v>10</v>
      </c>
      <c r="X210" s="3">
        <v>0</v>
      </c>
      <c r="Y210" s="3">
        <v>0</v>
      </c>
      <c r="Z210" s="3">
        <v>0</v>
      </c>
      <c r="AA210" s="3">
        <v>0</v>
      </c>
      <c r="AB210" s="3">
        <v>0</v>
      </c>
      <c r="AC210" s="3">
        <v>3</v>
      </c>
      <c r="AD210" s="3">
        <v>0</v>
      </c>
      <c r="AE210" s="3">
        <v>0</v>
      </c>
      <c r="AF210" s="3">
        <v>0</v>
      </c>
      <c r="AG210" s="3">
        <v>10</v>
      </c>
      <c r="AH210" s="3">
        <v>0</v>
      </c>
      <c r="AI210" s="3">
        <v>0</v>
      </c>
      <c r="AJ210" s="3">
        <v>0</v>
      </c>
      <c r="AK210" s="3">
        <v>0</v>
      </c>
      <c r="AL210" s="3" t="s">
        <v>17</v>
      </c>
      <c r="AM210" s="3" t="s">
        <v>270</v>
      </c>
      <c r="AN210" s="3" t="s">
        <v>1991</v>
      </c>
      <c r="AO210" s="3" t="s">
        <v>50</v>
      </c>
      <c r="AP210" s="3">
        <v>0</v>
      </c>
      <c r="AQ210" s="3">
        <v>0</v>
      </c>
      <c r="AR210">
        <v>0</v>
      </c>
      <c r="AS210">
        <v>1</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row>
    <row r="211" spans="1:73" ht="15.75" customHeight="1" x14ac:dyDescent="0.2">
      <c r="A211" s="3">
        <f t="shared" si="3"/>
        <v>209</v>
      </c>
      <c r="B211" s="3" t="s">
        <v>3132</v>
      </c>
      <c r="C211" s="3" t="s">
        <v>3132</v>
      </c>
      <c r="D211" s="5" t="s">
        <v>3191</v>
      </c>
      <c r="E211" s="5" t="s">
        <v>3131</v>
      </c>
      <c r="F211" s="3">
        <v>0</v>
      </c>
      <c r="G211" s="3">
        <v>300</v>
      </c>
      <c r="H211" s="3">
        <v>0</v>
      </c>
      <c r="I211" s="3">
        <v>50</v>
      </c>
      <c r="J211" s="3">
        <v>5</v>
      </c>
      <c r="K211" s="3">
        <v>1</v>
      </c>
      <c r="L211" s="3">
        <v>0</v>
      </c>
      <c r="M211" s="3">
        <v>20</v>
      </c>
      <c r="N211" s="3">
        <v>0</v>
      </c>
      <c r="O211" s="3">
        <v>0</v>
      </c>
      <c r="P211" s="3">
        <v>35</v>
      </c>
      <c r="Q211" s="3">
        <v>0</v>
      </c>
      <c r="R211" s="3">
        <v>10</v>
      </c>
      <c r="S211" s="3">
        <v>0</v>
      </c>
      <c r="T211" s="3">
        <v>0</v>
      </c>
      <c r="U211" s="3">
        <v>0</v>
      </c>
      <c r="V211" s="3">
        <v>-3</v>
      </c>
      <c r="W211" s="3">
        <v>10</v>
      </c>
      <c r="X211" s="3">
        <v>0</v>
      </c>
      <c r="Y211" s="3">
        <v>0</v>
      </c>
      <c r="Z211" s="3">
        <v>0</v>
      </c>
      <c r="AA211" s="3">
        <v>0</v>
      </c>
      <c r="AB211" s="3">
        <v>0</v>
      </c>
      <c r="AC211" s="3">
        <v>3</v>
      </c>
      <c r="AD211" s="3">
        <v>0</v>
      </c>
      <c r="AE211" s="3">
        <v>0</v>
      </c>
      <c r="AF211" s="3">
        <v>0</v>
      </c>
      <c r="AG211" s="3">
        <v>10</v>
      </c>
      <c r="AH211" s="3">
        <v>0</v>
      </c>
      <c r="AI211" s="3">
        <v>0</v>
      </c>
      <c r="AJ211" s="3">
        <v>0</v>
      </c>
      <c r="AK211" s="3">
        <v>0</v>
      </c>
      <c r="AL211" s="3" t="s">
        <v>17</v>
      </c>
      <c r="AM211" s="3" t="s">
        <v>270</v>
      </c>
      <c r="AN211" s="3" t="s">
        <v>1991</v>
      </c>
      <c r="AO211" s="3" t="s">
        <v>50</v>
      </c>
      <c r="AP211" s="3">
        <v>0</v>
      </c>
      <c r="AQ211" s="3">
        <v>0</v>
      </c>
      <c r="AR211">
        <v>0</v>
      </c>
      <c r="AS211">
        <v>1</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row>
    <row r="212" spans="1:73" ht="15.75" customHeight="1" x14ac:dyDescent="0.2">
      <c r="A212" s="3">
        <f t="shared" si="3"/>
        <v>210</v>
      </c>
      <c r="B212" s="3" t="s">
        <v>604</v>
      </c>
      <c r="C212" s="3" t="s">
        <v>439</v>
      </c>
      <c r="D212" s="25" t="s">
        <v>438</v>
      </c>
      <c r="E212" s="4" t="s">
        <v>2745</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1991</v>
      </c>
      <c r="AO212" s="3" t="s">
        <v>1850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c r="BP212" s="6" t="s">
        <v>50</v>
      </c>
      <c r="BQ212">
        <v>0</v>
      </c>
      <c r="BR212" s="6" t="s">
        <v>50</v>
      </c>
      <c r="BS212">
        <v>0</v>
      </c>
      <c r="BT212" s="6" t="s">
        <v>50</v>
      </c>
      <c r="BU212">
        <v>0</v>
      </c>
    </row>
    <row r="213" spans="1:73" ht="15.75" customHeight="1" x14ac:dyDescent="0.2">
      <c r="A213" s="3">
        <f t="shared" si="3"/>
        <v>211</v>
      </c>
      <c r="B213" s="3" t="s">
        <v>3384</v>
      </c>
      <c r="C213" s="3" t="s">
        <v>3225</v>
      </c>
      <c r="D213" s="25" t="s">
        <v>3224</v>
      </c>
      <c r="E213" s="4" t="s">
        <v>3222</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1991</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row>
    <row r="214" spans="1:73" ht="15.75" customHeight="1" x14ac:dyDescent="0.2">
      <c r="A214" s="3">
        <f t="shared" si="3"/>
        <v>212</v>
      </c>
      <c r="B214" s="3" t="s">
        <v>1487</v>
      </c>
      <c r="C214" s="3" t="s">
        <v>3236</v>
      </c>
      <c r="D214" s="25" t="s">
        <v>3235</v>
      </c>
      <c r="E214" s="5" t="s">
        <v>3234</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1991</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row>
    <row r="215" spans="1:73" ht="15.75" customHeight="1" x14ac:dyDescent="0.2">
      <c r="A215" s="3">
        <f t="shared" si="3"/>
        <v>213</v>
      </c>
      <c r="B215" s="3" t="s">
        <v>3211</v>
      </c>
      <c r="C215" s="3" t="s">
        <v>3211</v>
      </c>
      <c r="D215" s="25" t="s">
        <v>3210</v>
      </c>
      <c r="E215" s="4" t="s">
        <v>3212</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1991</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row>
    <row r="216" spans="1:73" ht="15.75" customHeight="1" x14ac:dyDescent="0.2">
      <c r="A216" s="3">
        <f t="shared" si="3"/>
        <v>214</v>
      </c>
      <c r="B216" s="3" t="s">
        <v>2962</v>
      </c>
      <c r="C216" s="3" t="s">
        <v>2864</v>
      </c>
      <c r="D216" s="25" t="s">
        <v>2862</v>
      </c>
      <c r="E216" s="4" t="s">
        <v>2863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2949</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row>
    <row r="217" spans="1:73" ht="15.75" customHeight="1" x14ac:dyDescent="0.2">
      <c r="A217" s="3">
        <f t="shared" si="3"/>
        <v>215</v>
      </c>
      <c r="B217" s="3" t="s">
        <v>3245</v>
      </c>
      <c r="C217" s="3" t="s">
        <v>3245</v>
      </c>
      <c r="D217" s="25" t="s">
        <v>3243</v>
      </c>
      <c r="E217" s="4" t="s">
        <v>3244</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2949</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row>
    <row r="218" spans="1:73" ht="15.75" customHeight="1" x14ac:dyDescent="0.2">
      <c r="A218" s="3">
        <f t="shared" si="3"/>
        <v>216</v>
      </c>
      <c r="B218" s="3" t="s">
        <v>3251</v>
      </c>
      <c r="C218" s="3" t="s">
        <v>3336</v>
      </c>
      <c r="D218" s="25" t="s">
        <v>3335</v>
      </c>
      <c r="E218" s="4" t="s">
        <v>3337</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2949</v>
      </c>
      <c r="AO218" s="3" t="s">
        <v>1032</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row>
    <row r="219" spans="1:73" ht="15.75" customHeight="1" x14ac:dyDescent="0.2">
      <c r="A219" s="3">
        <f t="shared" si="3"/>
        <v>217</v>
      </c>
      <c r="B219" s="3" t="s">
        <v>2592</v>
      </c>
      <c r="C219" s="3" t="s">
        <v>2047</v>
      </c>
      <c r="D219" s="25" t="s">
        <v>2048</v>
      </c>
      <c r="E219" s="4" t="s">
        <v>2060</v>
      </c>
      <c r="F219" s="3">
        <v>0</v>
      </c>
      <c r="G219" s="3">
        <v>0</v>
      </c>
      <c r="H219" s="3">
        <v>0</v>
      </c>
      <c r="I219" s="3">
        <v>0</v>
      </c>
      <c r="J219" s="3">
        <v>0</v>
      </c>
      <c r="K219" s="3">
        <v>1</v>
      </c>
      <c r="L219" s="3">
        <v>0</v>
      </c>
      <c r="M219" s="3">
        <v>10</v>
      </c>
      <c r="N219" s="3">
        <v>0</v>
      </c>
      <c r="O219" s="3">
        <v>0</v>
      </c>
      <c r="P219" s="3">
        <v>20</v>
      </c>
      <c r="Q219" s="3">
        <v>0</v>
      </c>
      <c r="R219" s="3">
        <v>20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2052</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row>
    <row r="220" spans="1:73" s="9" customFormat="1" ht="15.75" customHeight="1" x14ac:dyDescent="0.2">
      <c r="A220" s="7">
        <f t="shared" si="3"/>
        <v>218</v>
      </c>
      <c r="B220" s="7" t="s">
        <v>2082</v>
      </c>
      <c r="C220" s="7" t="s">
        <v>2054</v>
      </c>
      <c r="D220" s="26" t="s">
        <v>2089</v>
      </c>
      <c r="E220" s="11" t="s">
        <v>2094</v>
      </c>
      <c r="F220" s="7">
        <v>0</v>
      </c>
      <c r="G220" s="7">
        <v>0</v>
      </c>
      <c r="H220" s="7">
        <v>0</v>
      </c>
      <c r="I220" s="7">
        <v>0</v>
      </c>
      <c r="J220" s="7">
        <v>0</v>
      </c>
      <c r="K220" s="7">
        <v>1</v>
      </c>
      <c r="L220" s="7">
        <v>0</v>
      </c>
      <c r="M220" s="7">
        <v>10</v>
      </c>
      <c r="N220" s="7">
        <v>0</v>
      </c>
      <c r="O220" s="7">
        <v>0</v>
      </c>
      <c r="P220" s="7">
        <v>20</v>
      </c>
      <c r="Q220" s="7">
        <v>0</v>
      </c>
      <c r="R220" s="7">
        <v>20</v>
      </c>
      <c r="S220" s="7">
        <v>0</v>
      </c>
      <c r="T220" s="7">
        <v>0</v>
      </c>
      <c r="U220" s="7">
        <v>0</v>
      </c>
      <c r="V220" s="7">
        <v>0</v>
      </c>
      <c r="W220" s="7">
        <v>0</v>
      </c>
      <c r="X220" s="7">
        <v>0</v>
      </c>
      <c r="Y220" s="7">
        <v>0</v>
      </c>
      <c r="Z220" s="7">
        <v>0</v>
      </c>
      <c r="AA220" s="7">
        <v>0</v>
      </c>
      <c r="AB220" s="7">
        <v>0</v>
      </c>
      <c r="AC220" s="7">
        <v>0</v>
      </c>
      <c r="AD220" s="7">
        <v>0</v>
      </c>
      <c r="AE220" s="7">
        <v>0</v>
      </c>
      <c r="AF220" s="7">
        <v>0</v>
      </c>
      <c r="AG220" s="7">
        <v>0</v>
      </c>
      <c r="AH220" s="7">
        <v>0</v>
      </c>
      <c r="AI220" s="7">
        <v>0</v>
      </c>
      <c r="AJ220" s="7">
        <v>0</v>
      </c>
      <c r="AK220" s="7">
        <v>0</v>
      </c>
      <c r="AL220" s="7" t="s">
        <v>51</v>
      </c>
      <c r="AM220" s="7" t="s">
        <v>270</v>
      </c>
      <c r="AN220" s="7" t="s">
        <v>2052</v>
      </c>
      <c r="AO220" s="7" t="s">
        <v>2149</v>
      </c>
      <c r="AP220" s="7">
        <v>0</v>
      </c>
      <c r="AQ220" s="7">
        <v>0</v>
      </c>
      <c r="AR220" s="9">
        <v>0</v>
      </c>
      <c r="AS220" s="9">
        <v>0</v>
      </c>
      <c r="AT220" s="10" t="s">
        <v>50</v>
      </c>
      <c r="AU220" s="10" t="s">
        <v>50</v>
      </c>
      <c r="AV220" s="10" t="s">
        <v>50</v>
      </c>
      <c r="AW220" s="10" t="s">
        <v>50</v>
      </c>
      <c r="AX220" s="10" t="s">
        <v>50</v>
      </c>
      <c r="AY220" s="10" t="s">
        <v>50</v>
      </c>
      <c r="AZ220" s="10" t="s">
        <v>50</v>
      </c>
      <c r="BA220" s="10" t="s">
        <v>50</v>
      </c>
      <c r="BB220" s="10" t="s">
        <v>50</v>
      </c>
      <c r="BC220" s="10" t="s">
        <v>50</v>
      </c>
      <c r="BD220" s="10" t="s">
        <v>50</v>
      </c>
      <c r="BE220" s="10" t="s">
        <v>50</v>
      </c>
      <c r="BF220" s="10" t="s">
        <v>50</v>
      </c>
      <c r="BG220" s="10" t="s">
        <v>50</v>
      </c>
      <c r="BH220" s="10" t="s">
        <v>50</v>
      </c>
      <c r="BI220" s="9">
        <v>0</v>
      </c>
      <c r="BJ220" s="9">
        <v>0</v>
      </c>
      <c r="BK220" s="9">
        <v>1</v>
      </c>
      <c r="BL220" s="9">
        <v>0</v>
      </c>
      <c r="BM220" s="9">
        <v>0</v>
      </c>
      <c r="BN220" s="9">
        <v>0</v>
      </c>
      <c r="BO220" s="9">
        <v>0</v>
      </c>
      <c r="BP220" s="10" t="s">
        <v>50</v>
      </c>
      <c r="BQ220" s="9">
        <v>0</v>
      </c>
      <c r="BR220" s="10" t="s">
        <v>50</v>
      </c>
      <c r="BS220" s="9">
        <v>0</v>
      </c>
      <c r="BT220" s="10" t="s">
        <v>50</v>
      </c>
      <c r="BU220" s="9">
        <v>0</v>
      </c>
    </row>
    <row r="221" spans="1:73" s="9" customFormat="1" ht="15.75" customHeight="1" x14ac:dyDescent="0.2">
      <c r="A221" s="7">
        <f t="shared" si="3"/>
        <v>219</v>
      </c>
      <c r="B221" s="7" t="s">
        <v>2082</v>
      </c>
      <c r="C221" s="7" t="s">
        <v>2087</v>
      </c>
      <c r="D221" s="26" t="s">
        <v>2088</v>
      </c>
      <c r="E221" s="11" t="s">
        <v>2093</v>
      </c>
      <c r="F221" s="7">
        <v>0</v>
      </c>
      <c r="G221" s="7">
        <v>0</v>
      </c>
      <c r="H221" s="7">
        <v>0</v>
      </c>
      <c r="I221" s="7">
        <v>0</v>
      </c>
      <c r="J221" s="7">
        <v>0</v>
      </c>
      <c r="K221" s="7">
        <v>1</v>
      </c>
      <c r="L221" s="7">
        <v>0</v>
      </c>
      <c r="M221" s="7">
        <v>10</v>
      </c>
      <c r="N221" s="7">
        <v>0</v>
      </c>
      <c r="O221" s="7">
        <v>0</v>
      </c>
      <c r="P221" s="7">
        <v>20</v>
      </c>
      <c r="Q221" s="7">
        <v>0</v>
      </c>
      <c r="R221" s="7">
        <v>20</v>
      </c>
      <c r="S221" s="7">
        <v>0</v>
      </c>
      <c r="T221" s="7">
        <v>0</v>
      </c>
      <c r="U221" s="7">
        <v>0</v>
      </c>
      <c r="V221" s="7">
        <v>0</v>
      </c>
      <c r="W221" s="7">
        <v>0</v>
      </c>
      <c r="X221" s="7">
        <v>0</v>
      </c>
      <c r="Y221" s="7">
        <v>0</v>
      </c>
      <c r="Z221" s="7">
        <v>0</v>
      </c>
      <c r="AA221" s="7">
        <v>0</v>
      </c>
      <c r="AB221" s="7">
        <v>0</v>
      </c>
      <c r="AC221" s="7">
        <v>0</v>
      </c>
      <c r="AD221" s="7">
        <v>0</v>
      </c>
      <c r="AE221" s="7">
        <v>0</v>
      </c>
      <c r="AF221" s="7">
        <v>0</v>
      </c>
      <c r="AG221" s="7">
        <v>0</v>
      </c>
      <c r="AH221" s="7">
        <v>0</v>
      </c>
      <c r="AI221" s="7">
        <v>0</v>
      </c>
      <c r="AJ221" s="7">
        <v>0</v>
      </c>
      <c r="AK221" s="7">
        <v>0</v>
      </c>
      <c r="AL221" s="7" t="s">
        <v>51</v>
      </c>
      <c r="AM221" s="7" t="s">
        <v>270</v>
      </c>
      <c r="AN221" s="7" t="s">
        <v>2052</v>
      </c>
      <c r="AO221" s="7" t="s">
        <v>2149</v>
      </c>
      <c r="AP221" s="7">
        <v>0</v>
      </c>
      <c r="AQ221" s="7">
        <v>0</v>
      </c>
      <c r="AR221" s="9">
        <v>0</v>
      </c>
      <c r="AS221" s="9">
        <v>0</v>
      </c>
      <c r="AT221" s="10" t="s">
        <v>50</v>
      </c>
      <c r="AU221" s="10" t="s">
        <v>50</v>
      </c>
      <c r="AV221" s="10" t="s">
        <v>50</v>
      </c>
      <c r="AW221" s="10" t="s">
        <v>50</v>
      </c>
      <c r="AX221" s="10" t="s">
        <v>50</v>
      </c>
      <c r="AY221" s="10" t="s">
        <v>50</v>
      </c>
      <c r="AZ221" s="10" t="s">
        <v>50</v>
      </c>
      <c r="BA221" s="10" t="s">
        <v>50</v>
      </c>
      <c r="BB221" s="10" t="s">
        <v>50</v>
      </c>
      <c r="BC221" s="10" t="s">
        <v>50</v>
      </c>
      <c r="BD221" s="10" t="s">
        <v>50</v>
      </c>
      <c r="BE221" s="10" t="s">
        <v>50</v>
      </c>
      <c r="BF221" s="10" t="s">
        <v>50</v>
      </c>
      <c r="BG221" s="10" t="s">
        <v>50</v>
      </c>
      <c r="BH221" s="10" t="s">
        <v>50</v>
      </c>
      <c r="BI221" s="9">
        <v>0</v>
      </c>
      <c r="BJ221" s="9">
        <v>0</v>
      </c>
      <c r="BK221" s="9">
        <v>1</v>
      </c>
      <c r="BL221" s="9">
        <v>0</v>
      </c>
      <c r="BM221" s="9">
        <v>0</v>
      </c>
      <c r="BN221" s="9">
        <v>0</v>
      </c>
      <c r="BO221" s="9">
        <v>0</v>
      </c>
      <c r="BP221" s="10" t="s">
        <v>50</v>
      </c>
      <c r="BQ221" s="9">
        <v>0</v>
      </c>
      <c r="BR221" s="10" t="s">
        <v>50</v>
      </c>
      <c r="BS221" s="9">
        <v>0</v>
      </c>
      <c r="BT221" s="10" t="s">
        <v>50</v>
      </c>
      <c r="BU221" s="9">
        <v>0</v>
      </c>
    </row>
    <row r="222" spans="1:73" s="37" customFormat="1" ht="15.75" customHeight="1" x14ac:dyDescent="0.2">
      <c r="A222" s="34">
        <f t="shared" si="3"/>
        <v>220</v>
      </c>
      <c r="B222" s="34" t="s">
        <v>2086</v>
      </c>
      <c r="C222" s="34" t="s">
        <v>2715</v>
      </c>
      <c r="D222" s="35" t="s">
        <v>2983</v>
      </c>
      <c r="E222" s="36" t="s">
        <v>2059</v>
      </c>
      <c r="F222" s="34">
        <v>0</v>
      </c>
      <c r="G222" s="34">
        <v>0</v>
      </c>
      <c r="H222" s="34">
        <v>0</v>
      </c>
      <c r="I222" s="34">
        <v>0</v>
      </c>
      <c r="J222" s="34">
        <v>0</v>
      </c>
      <c r="K222" s="34">
        <v>1</v>
      </c>
      <c r="L222" s="34">
        <v>0</v>
      </c>
      <c r="M222" s="34">
        <v>10</v>
      </c>
      <c r="N222" s="34">
        <v>0</v>
      </c>
      <c r="O222" s="34">
        <v>0</v>
      </c>
      <c r="P222" s="34">
        <v>20</v>
      </c>
      <c r="Q222" s="34">
        <v>0</v>
      </c>
      <c r="R222" s="34">
        <v>20</v>
      </c>
      <c r="S222" s="34">
        <v>0</v>
      </c>
      <c r="T222" s="34">
        <v>0</v>
      </c>
      <c r="U222" s="34">
        <v>0</v>
      </c>
      <c r="V222" s="34">
        <v>0</v>
      </c>
      <c r="W222" s="34">
        <v>0</v>
      </c>
      <c r="X222" s="34">
        <v>0</v>
      </c>
      <c r="Y222" s="34">
        <v>0</v>
      </c>
      <c r="Z222" s="34">
        <v>0</v>
      </c>
      <c r="AA222" s="34">
        <v>0</v>
      </c>
      <c r="AB222" s="34">
        <v>0</v>
      </c>
      <c r="AC222" s="34">
        <v>0</v>
      </c>
      <c r="AD222" s="34">
        <v>0</v>
      </c>
      <c r="AE222" s="34">
        <v>0</v>
      </c>
      <c r="AF222" s="34">
        <v>0</v>
      </c>
      <c r="AG222" s="34">
        <v>0</v>
      </c>
      <c r="AH222" s="34">
        <v>0</v>
      </c>
      <c r="AI222" s="34">
        <v>0</v>
      </c>
      <c r="AJ222" s="34">
        <v>0</v>
      </c>
      <c r="AK222" s="34">
        <v>0</v>
      </c>
      <c r="AL222" s="34" t="s">
        <v>51</v>
      </c>
      <c r="AM222" s="34" t="s">
        <v>270</v>
      </c>
      <c r="AN222" s="34" t="s">
        <v>2894</v>
      </c>
      <c r="AO222" s="34" t="s">
        <v>2149</v>
      </c>
      <c r="AP222" s="34">
        <v>0</v>
      </c>
      <c r="AQ222" s="34">
        <v>0</v>
      </c>
      <c r="AR222" s="37">
        <v>0</v>
      </c>
      <c r="AS222" s="37">
        <v>0</v>
      </c>
      <c r="AT222" s="38" t="s">
        <v>50</v>
      </c>
      <c r="AU222" s="38" t="s">
        <v>50</v>
      </c>
      <c r="AV222" s="38" t="s">
        <v>50</v>
      </c>
      <c r="AW222" s="38" t="s">
        <v>50</v>
      </c>
      <c r="AX222" s="38" t="s">
        <v>50</v>
      </c>
      <c r="AY222" s="38" t="s">
        <v>50</v>
      </c>
      <c r="AZ222" s="38" t="s">
        <v>50</v>
      </c>
      <c r="BA222" s="38" t="s">
        <v>50</v>
      </c>
      <c r="BB222" s="38" t="s">
        <v>50</v>
      </c>
      <c r="BC222" s="38" t="s">
        <v>50</v>
      </c>
      <c r="BD222" s="38" t="s">
        <v>50</v>
      </c>
      <c r="BE222" s="38" t="s">
        <v>50</v>
      </c>
      <c r="BF222" s="38" t="s">
        <v>50</v>
      </c>
      <c r="BG222" s="38" t="s">
        <v>50</v>
      </c>
      <c r="BH222" s="38" t="s">
        <v>50</v>
      </c>
      <c r="BI222" s="37">
        <v>1</v>
      </c>
      <c r="BJ222" s="37">
        <v>0</v>
      </c>
      <c r="BK222" s="37">
        <v>1</v>
      </c>
      <c r="BL222" s="37">
        <v>0</v>
      </c>
      <c r="BM222" s="37">
        <v>0</v>
      </c>
      <c r="BN222" s="37">
        <v>0</v>
      </c>
      <c r="BO222" s="37">
        <v>0</v>
      </c>
      <c r="BP222" s="38" t="s">
        <v>50</v>
      </c>
      <c r="BQ222" s="37">
        <v>0</v>
      </c>
      <c r="BR222" s="38" t="s">
        <v>50</v>
      </c>
      <c r="BS222" s="37">
        <v>0</v>
      </c>
      <c r="BT222" s="38" t="s">
        <v>50</v>
      </c>
      <c r="BU222" s="37">
        <v>0</v>
      </c>
    </row>
    <row r="223" spans="1:73" ht="15.75" customHeight="1" x14ac:dyDescent="0.2">
      <c r="A223" s="3">
        <f t="shared" si="3"/>
        <v>221</v>
      </c>
      <c r="B223" s="3" t="s">
        <v>2974</v>
      </c>
      <c r="C223" s="3" t="s">
        <v>2058</v>
      </c>
      <c r="D223" s="25" t="s">
        <v>2096</v>
      </c>
      <c r="E223" s="4" t="s">
        <v>2568</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2079</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row>
    <row r="224" spans="1:73" ht="15.75" customHeight="1" x14ac:dyDescent="0.2">
      <c r="A224" s="3">
        <f t="shared" si="3"/>
        <v>222</v>
      </c>
      <c r="B224" s="3" t="s">
        <v>2976</v>
      </c>
      <c r="C224" s="3" t="s">
        <v>2103</v>
      </c>
      <c r="D224" s="25" t="s">
        <v>2102</v>
      </c>
      <c r="E224" s="4" t="s">
        <v>2567</v>
      </c>
      <c r="F224" s="3">
        <v>0</v>
      </c>
      <c r="G224" s="3">
        <v>0</v>
      </c>
      <c r="H224" s="3">
        <v>0</v>
      </c>
      <c r="I224" s="3">
        <v>0</v>
      </c>
      <c r="J224" s="3">
        <v>0</v>
      </c>
      <c r="K224" s="3">
        <v>1</v>
      </c>
      <c r="L224" s="3">
        <v>0</v>
      </c>
      <c r="M224" s="3">
        <v>10</v>
      </c>
      <c r="N224" s="3">
        <v>0</v>
      </c>
      <c r="O224" s="3">
        <v>0</v>
      </c>
      <c r="P224" s="3">
        <v>20</v>
      </c>
      <c r="Q224" s="3">
        <v>0</v>
      </c>
      <c r="R224" s="3">
        <v>20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3044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row>
    <row r="225" spans="1:73" s="9" customFormat="1" ht="15.75" customHeight="1" x14ac:dyDescent="0.2">
      <c r="A225" s="7">
        <f t="shared" si="3"/>
        <v>223</v>
      </c>
      <c r="B225" s="7" t="s">
        <v>1487</v>
      </c>
      <c r="C225" s="7" t="s">
        <v>2105</v>
      </c>
      <c r="D225" s="26" t="s">
        <v>2104</v>
      </c>
      <c r="E225" s="11" t="s">
        <v>2569</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2052</v>
      </c>
      <c r="AO225" s="7" t="s">
        <v>50</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c r="BP225" s="10" t="s">
        <v>50</v>
      </c>
      <c r="BQ225" s="9">
        <v>0</v>
      </c>
      <c r="BR225" s="10" t="s">
        <v>50</v>
      </c>
      <c r="BS225" s="9">
        <v>0</v>
      </c>
      <c r="BT225" s="10" t="s">
        <v>50</v>
      </c>
      <c r="BU225" s="9">
        <v>0</v>
      </c>
    </row>
    <row r="226" spans="1:73" ht="15.75" customHeight="1" x14ac:dyDescent="0.2">
      <c r="A226" s="3">
        <f t="shared" si="3"/>
        <v>224</v>
      </c>
      <c r="B226" s="3" t="s">
        <v>2975</v>
      </c>
      <c r="C226" s="3" t="s">
        <v>2816</v>
      </c>
      <c r="D226" s="25" t="s">
        <v>2813</v>
      </c>
      <c r="E226" s="4" t="s">
        <v>2814</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3045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row>
    <row r="227" spans="1:73" ht="15.75" customHeight="1" x14ac:dyDescent="0.2">
      <c r="A227" s="3">
        <f t="shared" si="3"/>
        <v>225</v>
      </c>
      <c r="B227" s="3" t="s">
        <v>2978</v>
      </c>
      <c r="C227" s="3" t="s">
        <v>2108</v>
      </c>
      <c r="D227" s="25" t="s">
        <v>2106</v>
      </c>
      <c r="E227" s="4" t="s">
        <v>2107</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2052</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row>
    <row r="228" spans="1:73" s="37" customFormat="1" ht="15.75" customHeight="1" x14ac:dyDescent="0.2">
      <c r="A228" s="34">
        <f t="shared" si="3"/>
        <v>226</v>
      </c>
      <c r="B228" s="34" t="s">
        <v>2981</v>
      </c>
      <c r="C228" s="34" t="s">
        <v>2716</v>
      </c>
      <c r="D228" s="35" t="s">
        <v>2984</v>
      </c>
      <c r="E228" s="36" t="s">
        <v>2059</v>
      </c>
      <c r="F228" s="34">
        <v>0</v>
      </c>
      <c r="G228" s="34">
        <v>0</v>
      </c>
      <c r="H228" s="34">
        <v>0</v>
      </c>
      <c r="I228" s="34">
        <v>0</v>
      </c>
      <c r="J228" s="34">
        <v>0</v>
      </c>
      <c r="K228" s="34">
        <v>1</v>
      </c>
      <c r="L228" s="34">
        <v>0</v>
      </c>
      <c r="M228" s="34">
        <v>10</v>
      </c>
      <c r="N228" s="34">
        <v>0</v>
      </c>
      <c r="O228" s="34">
        <v>0</v>
      </c>
      <c r="P228" s="34">
        <v>20</v>
      </c>
      <c r="Q228" s="34">
        <v>0</v>
      </c>
      <c r="R228" s="34">
        <v>20</v>
      </c>
      <c r="S228" s="34">
        <v>0</v>
      </c>
      <c r="T228" s="34">
        <v>0</v>
      </c>
      <c r="U228" s="34">
        <v>0</v>
      </c>
      <c r="V228" s="34">
        <v>0</v>
      </c>
      <c r="W228" s="34">
        <v>0</v>
      </c>
      <c r="X228" s="34">
        <v>0</v>
      </c>
      <c r="Y228" s="34">
        <v>0</v>
      </c>
      <c r="Z228" s="34">
        <v>0</v>
      </c>
      <c r="AA228" s="34">
        <v>0</v>
      </c>
      <c r="AB228" s="34">
        <v>0</v>
      </c>
      <c r="AC228" s="34">
        <v>0</v>
      </c>
      <c r="AD228" s="34">
        <v>0</v>
      </c>
      <c r="AE228" s="34">
        <v>0</v>
      </c>
      <c r="AF228" s="34">
        <v>0</v>
      </c>
      <c r="AG228" s="34">
        <v>0</v>
      </c>
      <c r="AH228" s="34">
        <v>0</v>
      </c>
      <c r="AI228" s="34">
        <v>0</v>
      </c>
      <c r="AJ228" s="34">
        <v>0</v>
      </c>
      <c r="AK228" s="34">
        <v>0</v>
      </c>
      <c r="AL228" s="34" t="s">
        <v>51</v>
      </c>
      <c r="AM228" s="34" t="s">
        <v>270</v>
      </c>
      <c r="AN228" s="34" t="s">
        <v>2894</v>
      </c>
      <c r="AO228" s="34" t="s">
        <v>2149</v>
      </c>
      <c r="AP228" s="34">
        <v>0</v>
      </c>
      <c r="AQ228" s="34">
        <v>0</v>
      </c>
      <c r="AR228" s="37">
        <v>0</v>
      </c>
      <c r="AS228" s="37">
        <v>0</v>
      </c>
      <c r="AT228" s="38" t="s">
        <v>50</v>
      </c>
      <c r="AU228" s="38" t="s">
        <v>50</v>
      </c>
      <c r="AV228" s="38" t="s">
        <v>50</v>
      </c>
      <c r="AW228" s="38" t="s">
        <v>50</v>
      </c>
      <c r="AX228" s="38" t="s">
        <v>50</v>
      </c>
      <c r="AY228" s="38" t="s">
        <v>50</v>
      </c>
      <c r="AZ228" s="38" t="s">
        <v>50</v>
      </c>
      <c r="BA228" s="38" t="s">
        <v>50</v>
      </c>
      <c r="BB228" s="38" t="s">
        <v>50</v>
      </c>
      <c r="BC228" s="38" t="s">
        <v>50</v>
      </c>
      <c r="BD228" s="38" t="s">
        <v>50</v>
      </c>
      <c r="BE228" s="38" t="s">
        <v>50</v>
      </c>
      <c r="BF228" s="38" t="s">
        <v>50</v>
      </c>
      <c r="BG228" s="38" t="s">
        <v>50</v>
      </c>
      <c r="BH228" s="38" t="s">
        <v>50</v>
      </c>
      <c r="BI228" s="37">
        <v>1</v>
      </c>
      <c r="BJ228" s="37">
        <v>0</v>
      </c>
      <c r="BK228" s="37">
        <v>1</v>
      </c>
      <c r="BL228" s="37">
        <v>0</v>
      </c>
      <c r="BM228" s="37">
        <v>0</v>
      </c>
      <c r="BN228" s="37">
        <v>0</v>
      </c>
      <c r="BO228" s="37">
        <v>0</v>
      </c>
      <c r="BP228" s="38" t="s">
        <v>50</v>
      </c>
      <c r="BQ228" s="37">
        <v>0</v>
      </c>
      <c r="BR228" s="38" t="s">
        <v>50</v>
      </c>
      <c r="BS228" s="37">
        <v>0</v>
      </c>
      <c r="BT228" s="38" t="s">
        <v>50</v>
      </c>
      <c r="BU228" s="37">
        <v>0</v>
      </c>
    </row>
    <row r="229" spans="1:73" ht="15.75" customHeight="1" x14ac:dyDescent="0.2">
      <c r="A229" s="3">
        <f t="shared" si="3"/>
        <v>227</v>
      </c>
      <c r="B229" s="3" t="s">
        <v>2979</v>
      </c>
      <c r="C229" s="3" t="s">
        <v>2109</v>
      </c>
      <c r="D229" s="25" t="s">
        <v>2112</v>
      </c>
      <c r="E229" s="4" t="s">
        <v>2568</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2079</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row>
    <row r="230" spans="1:73" ht="15.75" customHeight="1" x14ac:dyDescent="0.2">
      <c r="A230" s="3">
        <f t="shared" si="3"/>
        <v>228</v>
      </c>
      <c r="B230" s="3" t="s">
        <v>2980</v>
      </c>
      <c r="C230" s="3" t="s">
        <v>2110</v>
      </c>
      <c r="D230" s="25" t="s">
        <v>2113</v>
      </c>
      <c r="E230" s="4" t="s">
        <v>2567</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3044</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row>
    <row r="231" spans="1:73" s="9" customFormat="1" ht="15.75" customHeight="1" x14ac:dyDescent="0.2">
      <c r="A231" s="7">
        <f t="shared" si="3"/>
        <v>229</v>
      </c>
      <c r="B231" s="7" t="s">
        <v>1487</v>
      </c>
      <c r="C231" s="7" t="s">
        <v>2111</v>
      </c>
      <c r="D231" s="26" t="s">
        <v>2114</v>
      </c>
      <c r="E231" s="11" t="s">
        <v>2569</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2052</v>
      </c>
      <c r="AO231" s="7" t="s">
        <v>50</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50</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row>
    <row r="232" spans="1:73" ht="15.75" customHeight="1" x14ac:dyDescent="0.2">
      <c r="A232" s="3">
        <f t="shared" si="3"/>
        <v>230</v>
      </c>
      <c r="B232" s="3" t="s">
        <v>2982</v>
      </c>
      <c r="C232" s="3" t="s">
        <v>2817</v>
      </c>
      <c r="D232" s="25" t="s">
        <v>2815</v>
      </c>
      <c r="E232" s="4" t="s">
        <v>2814</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3045</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c r="BP232" s="6" t="s">
        <v>50</v>
      </c>
      <c r="BQ232">
        <v>0</v>
      </c>
      <c r="BR232" s="6" t="s">
        <v>50</v>
      </c>
      <c r="BS232">
        <v>0</v>
      </c>
      <c r="BT232" s="6" t="s">
        <v>50</v>
      </c>
      <c r="BU232">
        <v>0</v>
      </c>
    </row>
    <row r="233" spans="1:73" ht="15.75" customHeight="1" x14ac:dyDescent="0.2">
      <c r="A233" s="3">
        <f t="shared" si="3"/>
        <v>231</v>
      </c>
      <c r="B233" s="3" t="s">
        <v>2986</v>
      </c>
      <c r="C233" s="3" t="s">
        <v>2133</v>
      </c>
      <c r="D233" s="25" t="s">
        <v>2132</v>
      </c>
      <c r="E233" s="4" t="s">
        <v>2730</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2052</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row>
    <row r="234" spans="1:73" s="37" customFormat="1" ht="15.75" customHeight="1" x14ac:dyDescent="0.2">
      <c r="A234" s="34">
        <f t="shared" si="3"/>
        <v>232</v>
      </c>
      <c r="B234" s="34" t="s">
        <v>2987</v>
      </c>
      <c r="C234" s="34" t="s">
        <v>2717</v>
      </c>
      <c r="D234" s="35" t="s">
        <v>2985</v>
      </c>
      <c r="E234" s="36" t="s">
        <v>2059</v>
      </c>
      <c r="F234" s="34">
        <v>0</v>
      </c>
      <c r="G234" s="34">
        <v>0</v>
      </c>
      <c r="H234" s="34">
        <v>0</v>
      </c>
      <c r="I234" s="34">
        <v>0</v>
      </c>
      <c r="J234" s="34">
        <v>0</v>
      </c>
      <c r="K234" s="34">
        <v>1</v>
      </c>
      <c r="L234" s="34">
        <v>0</v>
      </c>
      <c r="M234" s="34">
        <v>10</v>
      </c>
      <c r="N234" s="34">
        <v>0</v>
      </c>
      <c r="O234" s="34">
        <v>0</v>
      </c>
      <c r="P234" s="34">
        <v>20</v>
      </c>
      <c r="Q234" s="34">
        <v>0</v>
      </c>
      <c r="R234" s="34">
        <v>20</v>
      </c>
      <c r="S234" s="34">
        <v>0</v>
      </c>
      <c r="T234" s="34">
        <v>0</v>
      </c>
      <c r="U234" s="34">
        <v>0</v>
      </c>
      <c r="V234" s="34">
        <v>0</v>
      </c>
      <c r="W234" s="34">
        <v>0</v>
      </c>
      <c r="X234" s="34">
        <v>0</v>
      </c>
      <c r="Y234" s="34">
        <v>0</v>
      </c>
      <c r="Z234" s="34">
        <v>0</v>
      </c>
      <c r="AA234" s="34">
        <v>0</v>
      </c>
      <c r="AB234" s="34">
        <v>0</v>
      </c>
      <c r="AC234" s="34">
        <v>0</v>
      </c>
      <c r="AD234" s="34">
        <v>0</v>
      </c>
      <c r="AE234" s="34">
        <v>0</v>
      </c>
      <c r="AF234" s="34">
        <v>0</v>
      </c>
      <c r="AG234" s="34">
        <v>0</v>
      </c>
      <c r="AH234" s="34">
        <v>0</v>
      </c>
      <c r="AI234" s="34">
        <v>0</v>
      </c>
      <c r="AJ234" s="34">
        <v>0</v>
      </c>
      <c r="AK234" s="34">
        <v>0</v>
      </c>
      <c r="AL234" s="34" t="s">
        <v>51</v>
      </c>
      <c r="AM234" s="34" t="s">
        <v>270</v>
      </c>
      <c r="AN234" s="34" t="s">
        <v>2894</v>
      </c>
      <c r="AO234" s="34" t="s">
        <v>2149</v>
      </c>
      <c r="AP234" s="34">
        <v>0</v>
      </c>
      <c r="AQ234" s="34">
        <v>0</v>
      </c>
      <c r="AR234" s="37">
        <v>0</v>
      </c>
      <c r="AS234" s="37">
        <v>0</v>
      </c>
      <c r="AT234" s="38" t="s">
        <v>50</v>
      </c>
      <c r="AU234" s="38" t="s">
        <v>50</v>
      </c>
      <c r="AV234" s="38" t="s">
        <v>50</v>
      </c>
      <c r="AW234" s="38" t="s">
        <v>50</v>
      </c>
      <c r="AX234" s="38" t="s">
        <v>50</v>
      </c>
      <c r="AY234" s="38" t="s">
        <v>50</v>
      </c>
      <c r="AZ234" s="38" t="s">
        <v>50</v>
      </c>
      <c r="BA234" s="38" t="s">
        <v>50</v>
      </c>
      <c r="BB234" s="38" t="s">
        <v>50</v>
      </c>
      <c r="BC234" s="38" t="s">
        <v>50</v>
      </c>
      <c r="BD234" s="38" t="s">
        <v>50</v>
      </c>
      <c r="BE234" s="38" t="s">
        <v>50</v>
      </c>
      <c r="BF234" s="38" t="s">
        <v>50</v>
      </c>
      <c r="BG234" s="38" t="s">
        <v>50</v>
      </c>
      <c r="BH234" s="38" t="s">
        <v>50</v>
      </c>
      <c r="BI234" s="37">
        <v>1</v>
      </c>
      <c r="BJ234" s="37">
        <v>0</v>
      </c>
      <c r="BK234" s="37">
        <v>1</v>
      </c>
      <c r="BL234" s="37">
        <v>0</v>
      </c>
      <c r="BM234" s="37">
        <v>0</v>
      </c>
      <c r="BN234" s="37">
        <v>0</v>
      </c>
      <c r="BO234" s="37">
        <v>0</v>
      </c>
      <c r="BP234" s="38" t="s">
        <v>50</v>
      </c>
      <c r="BQ234" s="37">
        <v>0</v>
      </c>
      <c r="BR234" s="38" t="s">
        <v>50</v>
      </c>
      <c r="BS234" s="37">
        <v>0</v>
      </c>
      <c r="BT234" s="38" t="s">
        <v>50</v>
      </c>
      <c r="BU234" s="37">
        <v>0</v>
      </c>
    </row>
    <row r="235" spans="1:73" ht="15.75" customHeight="1" x14ac:dyDescent="0.2">
      <c r="A235" s="3">
        <f t="shared" si="3"/>
        <v>233</v>
      </c>
      <c r="B235" s="3" t="s">
        <v>2988</v>
      </c>
      <c r="C235" s="3" t="s">
        <v>2134</v>
      </c>
      <c r="D235" s="25" t="s">
        <v>2137</v>
      </c>
      <c r="E235" s="4" t="s">
        <v>2568</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2079</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row>
    <row r="236" spans="1:73" ht="15.75" customHeight="1" x14ac:dyDescent="0.2">
      <c r="A236" s="3">
        <f t="shared" si="3"/>
        <v>234</v>
      </c>
      <c r="B236" s="3" t="s">
        <v>2989</v>
      </c>
      <c r="C236" s="3" t="s">
        <v>2135</v>
      </c>
      <c r="D236" s="25" t="s">
        <v>2138</v>
      </c>
      <c r="E236" s="4" t="s">
        <v>2567</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3044</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c r="BP236" s="6" t="s">
        <v>50</v>
      </c>
      <c r="BQ236">
        <v>0</v>
      </c>
      <c r="BR236" s="6" t="s">
        <v>50</v>
      </c>
      <c r="BS236">
        <v>0</v>
      </c>
      <c r="BT236" s="6" t="s">
        <v>50</v>
      </c>
      <c r="BU236">
        <v>0</v>
      </c>
    </row>
    <row r="237" spans="1:73" s="9" customFormat="1" ht="15.75" customHeight="1" x14ac:dyDescent="0.2">
      <c r="A237" s="7">
        <f t="shared" si="3"/>
        <v>235</v>
      </c>
      <c r="B237" s="7" t="s">
        <v>1487</v>
      </c>
      <c r="C237" s="7" t="s">
        <v>2136</v>
      </c>
      <c r="D237" s="26" t="s">
        <v>2139</v>
      </c>
      <c r="E237" s="11" t="s">
        <v>2569</v>
      </c>
      <c r="F237" s="7">
        <v>0</v>
      </c>
      <c r="G237" s="7">
        <v>0</v>
      </c>
      <c r="H237" s="7">
        <v>0</v>
      </c>
      <c r="I237" s="7">
        <v>0</v>
      </c>
      <c r="J237" s="7">
        <v>0</v>
      </c>
      <c r="K237" s="7">
        <v>1</v>
      </c>
      <c r="L237" s="7">
        <v>0</v>
      </c>
      <c r="M237" s="7">
        <v>10</v>
      </c>
      <c r="N237" s="7">
        <v>0</v>
      </c>
      <c r="O237" s="7">
        <v>0</v>
      </c>
      <c r="P237" s="7">
        <v>20</v>
      </c>
      <c r="Q237" s="7">
        <v>0</v>
      </c>
      <c r="R237" s="7">
        <v>20</v>
      </c>
      <c r="S237" s="7">
        <v>0</v>
      </c>
      <c r="T237" s="7">
        <v>0</v>
      </c>
      <c r="U237" s="7">
        <v>0</v>
      </c>
      <c r="V237" s="7">
        <v>0</v>
      </c>
      <c r="W237" s="7">
        <v>0</v>
      </c>
      <c r="X237" s="7">
        <v>0</v>
      </c>
      <c r="Y237" s="7">
        <v>0</v>
      </c>
      <c r="Z237" s="7">
        <v>0</v>
      </c>
      <c r="AA237" s="7">
        <v>0</v>
      </c>
      <c r="AB237" s="7">
        <v>0</v>
      </c>
      <c r="AC237" s="7">
        <v>0</v>
      </c>
      <c r="AD237" s="7">
        <v>0</v>
      </c>
      <c r="AE237" s="7">
        <v>0</v>
      </c>
      <c r="AF237" s="7">
        <v>0</v>
      </c>
      <c r="AG237" s="7">
        <v>0</v>
      </c>
      <c r="AH237" s="7">
        <v>0</v>
      </c>
      <c r="AI237" s="7">
        <v>0</v>
      </c>
      <c r="AJ237" s="7">
        <v>0</v>
      </c>
      <c r="AK237" s="7">
        <v>0</v>
      </c>
      <c r="AL237" s="7" t="s">
        <v>51</v>
      </c>
      <c r="AM237" s="7" t="s">
        <v>270</v>
      </c>
      <c r="AN237" s="7" t="s">
        <v>2052</v>
      </c>
      <c r="AO237" s="7" t="s">
        <v>50</v>
      </c>
      <c r="AP237" s="7">
        <v>0</v>
      </c>
      <c r="AQ237" s="7">
        <v>0</v>
      </c>
      <c r="AR237" s="9">
        <v>0</v>
      </c>
      <c r="AS237" s="9">
        <v>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0</v>
      </c>
      <c r="BJ237" s="9">
        <v>0</v>
      </c>
      <c r="BK237" s="9">
        <v>1</v>
      </c>
      <c r="BL237" s="9">
        <v>0</v>
      </c>
      <c r="BM237" s="9">
        <v>0</v>
      </c>
      <c r="BN237" s="9">
        <v>0</v>
      </c>
      <c r="BO237" s="9">
        <v>0</v>
      </c>
      <c r="BP237" s="10" t="s">
        <v>50</v>
      </c>
      <c r="BQ237" s="9">
        <v>0</v>
      </c>
      <c r="BR237" s="10" t="s">
        <v>50</v>
      </c>
      <c r="BS237" s="9">
        <v>0</v>
      </c>
      <c r="BT237" s="10" t="s">
        <v>50</v>
      </c>
      <c r="BU237" s="9">
        <v>0</v>
      </c>
    </row>
    <row r="238" spans="1:73" ht="15.75" customHeight="1" x14ac:dyDescent="0.2">
      <c r="A238" s="3">
        <f t="shared" si="3"/>
        <v>236</v>
      </c>
      <c r="B238" s="3" t="s">
        <v>2990</v>
      </c>
      <c r="C238" s="3" t="s">
        <v>2818</v>
      </c>
      <c r="D238" s="25" t="s">
        <v>2819</v>
      </c>
      <c r="E238" s="4" t="s">
        <v>2814</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3045</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row>
    <row r="239" spans="1:73" ht="15.75" customHeight="1" x14ac:dyDescent="0.2">
      <c r="A239" s="3">
        <f t="shared" si="3"/>
        <v>237</v>
      </c>
      <c r="B239" s="3" t="s">
        <v>2991</v>
      </c>
      <c r="C239" s="3" t="s">
        <v>2729</v>
      </c>
      <c r="D239" s="25" t="s">
        <v>2723</v>
      </c>
      <c r="E239" s="4" t="s">
        <v>2785</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2052</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row>
    <row r="240" spans="1:73" ht="15.75" customHeight="1" x14ac:dyDescent="0.2">
      <c r="A240" s="3">
        <f t="shared" si="3"/>
        <v>238</v>
      </c>
      <c r="B240" s="3" t="s">
        <v>3481</v>
      </c>
      <c r="C240" s="3" t="s">
        <v>3414</v>
      </c>
      <c r="D240" s="25" t="s">
        <v>3438</v>
      </c>
      <c r="E240" s="4" t="s">
        <v>3466</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row>
    <row r="241" spans="1:73" ht="15.75" customHeight="1" x14ac:dyDescent="0.2">
      <c r="A241" s="3">
        <f t="shared" si="3"/>
        <v>239</v>
      </c>
      <c r="B241" s="3" t="s">
        <v>3465</v>
      </c>
      <c r="C241" s="3" t="s">
        <v>3465</v>
      </c>
      <c r="D241" s="25" t="s">
        <v>3464</v>
      </c>
      <c r="E241" s="4" t="s">
        <v>3467</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2052</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row>
    <row r="242" spans="1:73" ht="15.75" customHeight="1" x14ac:dyDescent="0.2">
      <c r="A242" s="3">
        <f t="shared" si="3"/>
        <v>240</v>
      </c>
      <c r="B242" s="3" t="s">
        <v>3482</v>
      </c>
      <c r="C242" s="3" t="s">
        <v>3371</v>
      </c>
      <c r="D242" s="25" t="s">
        <v>3370</v>
      </c>
      <c r="E242" s="4" t="s">
        <v>3372</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2052</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c r="BP242" s="6" t="s">
        <v>50</v>
      </c>
      <c r="BQ242">
        <v>0</v>
      </c>
      <c r="BR242" s="6" t="s">
        <v>50</v>
      </c>
      <c r="BS242">
        <v>0</v>
      </c>
      <c r="BT242" s="6" t="s">
        <v>50</v>
      </c>
      <c r="BU242">
        <v>0</v>
      </c>
    </row>
    <row r="243" spans="1:73" s="37" customFormat="1" ht="15.75" customHeight="1" x14ac:dyDescent="0.2">
      <c r="A243" s="34">
        <f t="shared" si="3"/>
        <v>241</v>
      </c>
      <c r="B243" s="34" t="s">
        <v>2082</v>
      </c>
      <c r="C243" s="34" t="s">
        <v>2731</v>
      </c>
      <c r="D243" s="39" t="s">
        <v>2787</v>
      </c>
      <c r="E243" s="39" t="s">
        <v>3538</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973</v>
      </c>
      <c r="AN243" s="34" t="s">
        <v>3498</v>
      </c>
      <c r="AO243" s="34" t="s">
        <v>2149</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c r="BP243" s="38" t="s">
        <v>50</v>
      </c>
      <c r="BQ243" s="37">
        <v>0</v>
      </c>
      <c r="BR243" s="38" t="s">
        <v>50</v>
      </c>
      <c r="BS243" s="37">
        <v>0</v>
      </c>
      <c r="BT243" s="38" t="s">
        <v>50</v>
      </c>
      <c r="BU243" s="37">
        <v>0</v>
      </c>
    </row>
    <row r="244" spans="1:73" s="37" customFormat="1" ht="15.75" customHeight="1" x14ac:dyDescent="0.2">
      <c r="A244" s="34">
        <f t="shared" si="3"/>
        <v>242</v>
      </c>
      <c r="B244" s="34" t="s">
        <v>2082</v>
      </c>
      <c r="C244" s="34" t="s">
        <v>2732</v>
      </c>
      <c r="D244" s="39" t="s">
        <v>2786</v>
      </c>
      <c r="E244" s="39" t="s">
        <v>2070</v>
      </c>
      <c r="F244" s="34">
        <v>0</v>
      </c>
      <c r="G244" s="34">
        <v>0</v>
      </c>
      <c r="H244" s="34">
        <v>0</v>
      </c>
      <c r="I244" s="34">
        <v>50</v>
      </c>
      <c r="J244" s="34">
        <v>3</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17</v>
      </c>
      <c r="AM244" s="34" t="s">
        <v>973</v>
      </c>
      <c r="AN244" s="34" t="s">
        <v>3498</v>
      </c>
      <c r="AO244" s="34" t="s">
        <v>2149</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c r="BP244" s="38" t="s">
        <v>50</v>
      </c>
      <c r="BQ244" s="37">
        <v>0</v>
      </c>
      <c r="BR244" s="38" t="s">
        <v>50</v>
      </c>
      <c r="BS244" s="37">
        <v>0</v>
      </c>
      <c r="BT244" s="38" t="s">
        <v>50</v>
      </c>
      <c r="BU244" s="37">
        <v>0</v>
      </c>
    </row>
    <row r="245" spans="1:73" s="37" customFormat="1" ht="15.75" customHeight="1" x14ac:dyDescent="0.2">
      <c r="A245" s="34">
        <f t="shared" si="3"/>
        <v>243</v>
      </c>
      <c r="B245" s="34" t="s">
        <v>2082</v>
      </c>
      <c r="C245" s="34" t="s">
        <v>2733</v>
      </c>
      <c r="D245" s="39" t="s">
        <v>3576</v>
      </c>
      <c r="E245" s="39" t="s">
        <v>3577</v>
      </c>
      <c r="F245" s="34">
        <v>0</v>
      </c>
      <c r="G245" s="34">
        <v>0</v>
      </c>
      <c r="H245" s="34">
        <v>0</v>
      </c>
      <c r="I245" s="34">
        <v>50</v>
      </c>
      <c r="J245" s="34">
        <v>3</v>
      </c>
      <c r="K245" s="34">
        <v>1</v>
      </c>
      <c r="L245" s="34">
        <v>0</v>
      </c>
      <c r="M245" s="34">
        <v>0</v>
      </c>
      <c r="N245" s="34">
        <v>0</v>
      </c>
      <c r="O245" s="34">
        <v>0</v>
      </c>
      <c r="P245" s="34">
        <v>0</v>
      </c>
      <c r="Q245" s="34">
        <v>0</v>
      </c>
      <c r="R245" s="34">
        <v>0</v>
      </c>
      <c r="S245" s="34">
        <v>0</v>
      </c>
      <c r="T245" s="34">
        <v>0</v>
      </c>
      <c r="U245" s="34">
        <v>0</v>
      </c>
      <c r="V245" s="34">
        <v>0</v>
      </c>
      <c r="W245" s="34">
        <v>0</v>
      </c>
      <c r="X245" s="34">
        <v>0</v>
      </c>
      <c r="Y245" s="34">
        <v>0</v>
      </c>
      <c r="Z245" s="34">
        <v>0</v>
      </c>
      <c r="AA245" s="34">
        <v>0</v>
      </c>
      <c r="AB245" s="34">
        <v>0</v>
      </c>
      <c r="AC245" s="34">
        <v>0</v>
      </c>
      <c r="AD245" s="34">
        <v>0</v>
      </c>
      <c r="AE245" s="34">
        <v>0</v>
      </c>
      <c r="AF245" s="34">
        <v>0</v>
      </c>
      <c r="AG245" s="34">
        <v>0</v>
      </c>
      <c r="AH245" s="34">
        <v>0</v>
      </c>
      <c r="AI245" s="34">
        <v>0</v>
      </c>
      <c r="AJ245" s="34">
        <v>0</v>
      </c>
      <c r="AK245" s="34">
        <v>0</v>
      </c>
      <c r="AL245" s="34" t="s">
        <v>17</v>
      </c>
      <c r="AM245" s="34" t="s">
        <v>973</v>
      </c>
      <c r="AN245" s="34" t="s">
        <v>3498</v>
      </c>
      <c r="AO245" s="34" t="s">
        <v>2149</v>
      </c>
      <c r="AP245" s="34">
        <v>0</v>
      </c>
      <c r="AQ245" s="34">
        <v>0</v>
      </c>
      <c r="AR245" s="37">
        <v>0</v>
      </c>
      <c r="AS245" s="37">
        <v>0</v>
      </c>
      <c r="AT245" s="38" t="s">
        <v>50</v>
      </c>
      <c r="AU245" s="38" t="s">
        <v>50</v>
      </c>
      <c r="AV245" s="38" t="s">
        <v>50</v>
      </c>
      <c r="AW245" s="38" t="s">
        <v>50</v>
      </c>
      <c r="AX245" s="38" t="s">
        <v>50</v>
      </c>
      <c r="AY245" s="38" t="s">
        <v>50</v>
      </c>
      <c r="AZ245" s="38" t="s">
        <v>50</v>
      </c>
      <c r="BA245" s="38" t="s">
        <v>50</v>
      </c>
      <c r="BB245" s="38" t="s">
        <v>50</v>
      </c>
      <c r="BC245" s="38" t="s">
        <v>50</v>
      </c>
      <c r="BD245" s="38" t="s">
        <v>50</v>
      </c>
      <c r="BE245" s="38" t="s">
        <v>50</v>
      </c>
      <c r="BF245" s="38" t="s">
        <v>50</v>
      </c>
      <c r="BG245" s="38" t="s">
        <v>50</v>
      </c>
      <c r="BH245" s="38" t="s">
        <v>50</v>
      </c>
      <c r="BI245" s="37">
        <v>1</v>
      </c>
      <c r="BJ245" s="37">
        <v>0</v>
      </c>
      <c r="BK245" s="37">
        <v>1</v>
      </c>
      <c r="BL245" s="37">
        <v>0</v>
      </c>
      <c r="BM245" s="37">
        <v>0</v>
      </c>
      <c r="BN245" s="37">
        <v>0</v>
      </c>
      <c r="BO245" s="37">
        <v>0</v>
      </c>
      <c r="BP245" s="38" t="s">
        <v>50</v>
      </c>
      <c r="BQ245" s="37">
        <v>0</v>
      </c>
      <c r="BR245" s="38" t="s">
        <v>50</v>
      </c>
      <c r="BS245" s="37">
        <v>0</v>
      </c>
      <c r="BT245" s="38" t="s">
        <v>50</v>
      </c>
      <c r="BU245" s="37">
        <v>0</v>
      </c>
    </row>
    <row r="246" spans="1:73" ht="15.75" customHeight="1" x14ac:dyDescent="0.2">
      <c r="A246" s="3">
        <f t="shared" si="3"/>
        <v>244</v>
      </c>
      <c r="B246" s="3" t="s">
        <v>382</v>
      </c>
      <c r="C246" s="3" t="s">
        <v>246</v>
      </c>
      <c r="D246" s="25" t="s">
        <v>254</v>
      </c>
      <c r="E246" s="4" t="s">
        <v>240</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973</v>
      </c>
      <c r="AN246" s="3" t="s">
        <v>1991</v>
      </c>
      <c r="AO246" s="3" t="s">
        <v>1850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row>
    <row r="247" spans="1:73" ht="15.75" customHeight="1" x14ac:dyDescent="0.2">
      <c r="A247" s="3">
        <f t="shared" si="3"/>
        <v>245</v>
      </c>
      <c r="B247" s="3" t="s">
        <v>382</v>
      </c>
      <c r="C247" s="3" t="s">
        <v>507</v>
      </c>
      <c r="D247" s="25" t="s">
        <v>508</v>
      </c>
      <c r="E247" s="4" t="s">
        <v>509</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973</v>
      </c>
      <c r="AN247" s="3" t="s">
        <v>1991</v>
      </c>
      <c r="AO247" s="3" t="s">
        <v>1850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row>
    <row r="248" spans="1:73" ht="15.75" customHeight="1" x14ac:dyDescent="0.2">
      <c r="A248" s="3">
        <f t="shared" si="3"/>
        <v>246</v>
      </c>
      <c r="B248" s="3" t="s">
        <v>3125</v>
      </c>
      <c r="C248" s="3" t="s">
        <v>1880</v>
      </c>
      <c r="D248" s="25" t="s">
        <v>1878</v>
      </c>
      <c r="E248" s="4" t="s">
        <v>1879</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973</v>
      </c>
      <c r="AN248" s="3" t="s">
        <v>1991</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c r="BP248" s="6" t="s">
        <v>50</v>
      </c>
      <c r="BQ248">
        <v>0</v>
      </c>
      <c r="BR248" s="6" t="s">
        <v>50</v>
      </c>
      <c r="BS248">
        <v>0</v>
      </c>
      <c r="BT248" s="6" t="s">
        <v>50</v>
      </c>
      <c r="BU248">
        <v>0</v>
      </c>
    </row>
    <row r="249" spans="1:73" ht="15.75" customHeight="1" x14ac:dyDescent="0.2">
      <c r="A249" s="3">
        <f t="shared" si="3"/>
        <v>247</v>
      </c>
      <c r="B249" s="3" t="s">
        <v>382</v>
      </c>
      <c r="C249" s="3" t="s">
        <v>2755</v>
      </c>
      <c r="D249" s="25" t="s">
        <v>2775</v>
      </c>
      <c r="E249" s="4" t="s">
        <v>2902</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973</v>
      </c>
      <c r="AN249" s="3" t="s">
        <v>1991</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row>
    <row r="250" spans="1:73" ht="15.75" customHeight="1" x14ac:dyDescent="0.2">
      <c r="A250" s="3">
        <f t="shared" si="3"/>
        <v>248</v>
      </c>
      <c r="B250" s="3" t="s">
        <v>2973</v>
      </c>
      <c r="C250" s="3" t="s">
        <v>2762</v>
      </c>
      <c r="D250" s="25" t="s">
        <v>2761</v>
      </c>
      <c r="E250" s="4" t="s">
        <v>2760</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973</v>
      </c>
      <c r="AN250" s="3" t="s">
        <v>1991</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row>
    <row r="251" spans="1:73" ht="15.75" customHeight="1" x14ac:dyDescent="0.2">
      <c r="A251" s="3">
        <f t="shared" si="3"/>
        <v>249</v>
      </c>
      <c r="B251" s="3" t="s">
        <v>2784</v>
      </c>
      <c r="C251" s="3" t="s">
        <v>2784</v>
      </c>
      <c r="D251" s="25" t="s">
        <v>2780</v>
      </c>
      <c r="E251" s="4" t="s">
        <v>2779</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973</v>
      </c>
      <c r="AN251" s="3" t="s">
        <v>1991</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row>
    <row r="252" spans="1:73" ht="15.75" customHeight="1" x14ac:dyDescent="0.2">
      <c r="A252" s="3">
        <f t="shared" si="3"/>
        <v>250</v>
      </c>
      <c r="B252" s="3" t="s">
        <v>2778</v>
      </c>
      <c r="C252" s="3" t="s">
        <v>2778</v>
      </c>
      <c r="D252" s="25" t="s">
        <v>2776</v>
      </c>
      <c r="E252" s="4" t="s">
        <v>2777</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973</v>
      </c>
      <c r="AN252" s="3" t="s">
        <v>1991</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row>
    <row r="253" spans="1:73" ht="15.75" customHeight="1" x14ac:dyDescent="0.2">
      <c r="A253" s="3">
        <f t="shared" si="3"/>
        <v>251</v>
      </c>
      <c r="B253" s="3" t="s">
        <v>59</v>
      </c>
      <c r="C253" s="3" t="s">
        <v>59</v>
      </c>
      <c r="D253" s="25" t="s">
        <v>2763</v>
      </c>
      <c r="E253" s="4" t="s">
        <v>2903</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973</v>
      </c>
      <c r="AN253" s="3" t="s">
        <v>1991</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row>
    <row r="254" spans="1:73" ht="15.75" customHeight="1" x14ac:dyDescent="0.2">
      <c r="A254" s="3">
        <f t="shared" si="3"/>
        <v>252</v>
      </c>
      <c r="B254" s="3" t="s">
        <v>2781</v>
      </c>
      <c r="C254" s="3" t="s">
        <v>2781</v>
      </c>
      <c r="D254" s="25" t="s">
        <v>216</v>
      </c>
      <c r="E254" s="4" t="s">
        <v>2927</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973</v>
      </c>
      <c r="AN254" s="3" t="s">
        <v>1991</v>
      </c>
      <c r="AO254" s="3" t="s">
        <v>50</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c r="BP254" s="6" t="s">
        <v>50</v>
      </c>
      <c r="BQ254">
        <v>0</v>
      </c>
      <c r="BR254" s="6" t="s">
        <v>50</v>
      </c>
      <c r="BS254">
        <v>0</v>
      </c>
      <c r="BT254" s="6" t="s">
        <v>50</v>
      </c>
      <c r="BU254">
        <v>0</v>
      </c>
    </row>
    <row r="255" spans="1:73" ht="15.75" customHeight="1" x14ac:dyDescent="0.2">
      <c r="A255" s="3">
        <f t="shared" si="3"/>
        <v>253</v>
      </c>
      <c r="B255" s="3" t="s">
        <v>1487</v>
      </c>
      <c r="C255" s="3" t="s">
        <v>1422</v>
      </c>
      <c r="D255" s="25" t="s">
        <v>1421</v>
      </c>
      <c r="E255" s="4" t="s">
        <v>1423</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973</v>
      </c>
      <c r="AN255" s="3" t="s">
        <v>1991</v>
      </c>
      <c r="AO255" s="3" t="s">
        <v>1850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row>
    <row r="256" spans="1:73" ht="15.75" customHeight="1" x14ac:dyDescent="0.2">
      <c r="A256" s="3">
        <f t="shared" si="3"/>
        <v>254</v>
      </c>
      <c r="B256" s="3" t="s">
        <v>1139</v>
      </c>
      <c r="C256" s="3" t="s">
        <v>1139</v>
      </c>
      <c r="D256" s="25" t="s">
        <v>1141</v>
      </c>
      <c r="E256" s="4" t="s">
        <v>1140</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973</v>
      </c>
      <c r="AN256" s="3" t="s">
        <v>1991</v>
      </c>
      <c r="AO256" s="3" t="s">
        <v>1850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row>
    <row r="257" spans="1:73" ht="15.75" customHeight="1" x14ac:dyDescent="0.2">
      <c r="A257" s="3">
        <f t="shared" si="3"/>
        <v>255</v>
      </c>
      <c r="B257" s="3" t="s">
        <v>3352</v>
      </c>
      <c r="C257" s="3" t="s">
        <v>3229</v>
      </c>
      <c r="D257" s="25" t="s">
        <v>3223</v>
      </c>
      <c r="E257" s="4" t="s">
        <v>3227</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1991</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row>
    <row r="258" spans="1:73" ht="15.75" customHeight="1" x14ac:dyDescent="0.2">
      <c r="A258" s="3">
        <f t="shared" ref="A258:A305" si="4">ROW()-2</f>
        <v>256</v>
      </c>
      <c r="B258" s="3" t="s">
        <v>3360</v>
      </c>
      <c r="C258" s="3" t="s">
        <v>3226</v>
      </c>
      <c r="D258" s="25" t="s">
        <v>3228</v>
      </c>
      <c r="E258" s="4" t="s">
        <v>3230</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1991</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row>
    <row r="259" spans="1:73" ht="15.75" customHeight="1" x14ac:dyDescent="0.2">
      <c r="A259" s="3">
        <f t="shared" si="4"/>
        <v>257</v>
      </c>
      <c r="B259" s="3" t="s">
        <v>2766</v>
      </c>
      <c r="C259" s="3" t="s">
        <v>2766</v>
      </c>
      <c r="D259" s="25" t="s">
        <v>2764</v>
      </c>
      <c r="E259" s="4" t="s">
        <v>2765</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973</v>
      </c>
      <c r="AN259" s="3" t="s">
        <v>2878</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row>
    <row r="260" spans="1:73" ht="15.75" customHeight="1" x14ac:dyDescent="0.2">
      <c r="A260" s="3">
        <f t="shared" si="4"/>
        <v>258</v>
      </c>
      <c r="B260" s="3" t="s">
        <v>2900</v>
      </c>
      <c r="C260" s="3" t="s">
        <v>2900</v>
      </c>
      <c r="D260" s="25" t="s">
        <v>2899</v>
      </c>
      <c r="E260" s="4" t="s">
        <v>2901</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973</v>
      </c>
      <c r="AN260" s="3" t="s">
        <v>2878</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1</v>
      </c>
      <c r="BP260" s="6" t="s">
        <v>50</v>
      </c>
      <c r="BQ260">
        <v>0</v>
      </c>
      <c r="BR260" s="6" t="s">
        <v>50</v>
      </c>
      <c r="BS260">
        <v>0</v>
      </c>
      <c r="BT260" s="6" t="s">
        <v>50</v>
      </c>
      <c r="BU260">
        <v>0</v>
      </c>
    </row>
    <row r="261" spans="1:73" ht="15.75" customHeight="1" x14ac:dyDescent="0.2">
      <c r="A261" s="3">
        <f t="shared" si="4"/>
        <v>259</v>
      </c>
      <c r="B261" s="3" t="s">
        <v>2867</v>
      </c>
      <c r="C261" s="3" t="s">
        <v>2867</v>
      </c>
      <c r="D261" s="25" t="s">
        <v>2866</v>
      </c>
      <c r="E261" s="4" t="s">
        <v>2868</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973</v>
      </c>
      <c r="AN261" s="3" t="s">
        <v>3043</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row>
    <row r="262" spans="1:73" ht="15.75" customHeight="1" x14ac:dyDescent="0.2">
      <c r="A262" s="3">
        <f t="shared" si="4"/>
        <v>260</v>
      </c>
      <c r="B262" s="3" t="s">
        <v>2869</v>
      </c>
      <c r="C262" s="3" t="s">
        <v>2869</v>
      </c>
      <c r="D262" s="25" t="s">
        <v>2870</v>
      </c>
      <c r="E262" s="4" t="s">
        <v>2871</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973</v>
      </c>
      <c r="AN262" s="3" t="s">
        <v>3043</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row>
    <row r="263" spans="1:73" ht="15.75" customHeight="1" x14ac:dyDescent="0.2">
      <c r="A263" s="3">
        <f t="shared" si="4"/>
        <v>261</v>
      </c>
      <c r="B263" s="3" t="s">
        <v>2888</v>
      </c>
      <c r="C263" s="3" t="s">
        <v>2888</v>
      </c>
      <c r="D263" s="25" t="s">
        <v>2889</v>
      </c>
      <c r="E263" s="4" t="s">
        <v>2892</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973</v>
      </c>
      <c r="AN263" s="3" t="s">
        <v>973</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row>
    <row r="264" spans="1:73" ht="15.75" customHeight="1" x14ac:dyDescent="0.2">
      <c r="A264" s="3">
        <f t="shared" si="4"/>
        <v>262</v>
      </c>
      <c r="B264" s="3" t="s">
        <v>2890</v>
      </c>
      <c r="C264" s="3" t="s">
        <v>2890</v>
      </c>
      <c r="D264" s="25" t="s">
        <v>2891</v>
      </c>
      <c r="E264" s="4" t="s">
        <v>2893</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973</v>
      </c>
      <c r="AN264" s="3" t="s">
        <v>973</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row>
    <row r="265" spans="1:73" ht="15.75" customHeight="1" x14ac:dyDescent="0.2">
      <c r="A265" s="3">
        <f t="shared" si="4"/>
        <v>263</v>
      </c>
      <c r="B265" s="3" t="s">
        <v>2854</v>
      </c>
      <c r="C265" s="3" t="s">
        <v>2854</v>
      </c>
      <c r="D265" s="5" t="s">
        <v>2853</v>
      </c>
      <c r="E265" s="5" t="s">
        <v>2886</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973</v>
      </c>
      <c r="AN265" s="3" t="s">
        <v>2880</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row>
    <row r="266" spans="1:73" ht="15.75" customHeight="1" x14ac:dyDescent="0.2">
      <c r="A266" s="3">
        <f t="shared" si="4"/>
        <v>264</v>
      </c>
      <c r="B266" s="3" t="s">
        <v>2859</v>
      </c>
      <c r="C266" s="3" t="s">
        <v>2859</v>
      </c>
      <c r="D266" s="5" t="s">
        <v>2858</v>
      </c>
      <c r="E266" s="5" t="s">
        <v>2885</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973</v>
      </c>
      <c r="AN266" s="3" t="s">
        <v>2880</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row>
    <row r="267" spans="1:73" ht="15.75" customHeight="1" x14ac:dyDescent="0.2">
      <c r="A267" s="3">
        <f t="shared" si="4"/>
        <v>265</v>
      </c>
      <c r="B267" s="3" t="s">
        <v>3206</v>
      </c>
      <c r="C267" s="3" t="s">
        <v>3206</v>
      </c>
      <c r="D267" s="5" t="s">
        <v>3207</v>
      </c>
      <c r="E267" s="5" t="s">
        <v>3208</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973</v>
      </c>
      <c r="AN267" s="3" t="s">
        <v>3209</v>
      </c>
      <c r="AO267" s="3" t="s">
        <v>50</v>
      </c>
      <c r="AP267" s="3">
        <v>0</v>
      </c>
      <c r="AQ267" s="3">
        <v>0</v>
      </c>
      <c r="AR267">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row>
    <row r="268" spans="1:73" ht="15.75" customHeight="1" x14ac:dyDescent="0.2">
      <c r="A268" s="3">
        <f t="shared" si="4"/>
        <v>266</v>
      </c>
      <c r="B268" s="3" t="s">
        <v>2860</v>
      </c>
      <c r="C268" s="3" t="s">
        <v>2860</v>
      </c>
      <c r="D268" s="27" t="s">
        <v>2992</v>
      </c>
      <c r="E268" s="5" t="s">
        <v>2861</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973</v>
      </c>
      <c r="AN268" s="3" t="s">
        <v>3043</v>
      </c>
      <c r="AO268" s="3" t="s">
        <v>50</v>
      </c>
      <c r="AP268" s="3">
        <v>0</v>
      </c>
      <c r="AQ268" s="3">
        <v>0</v>
      </c>
      <c r="AR268" s="3">
        <v>0</v>
      </c>
      <c r="AS268">
        <v>2</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row>
    <row r="269" spans="1:73" s="9" customFormat="1" ht="15.75" customHeight="1" x14ac:dyDescent="0.2">
      <c r="A269" s="7">
        <f t="shared" si="4"/>
        <v>267</v>
      </c>
      <c r="B269" s="7" t="s">
        <v>2854</v>
      </c>
      <c r="C269" s="7" t="s">
        <v>2877</v>
      </c>
      <c r="D269" s="8" t="s">
        <v>2876</v>
      </c>
      <c r="E269" s="8" t="s">
        <v>2884</v>
      </c>
      <c r="F269" s="7">
        <v>0</v>
      </c>
      <c r="G269" s="7">
        <v>0</v>
      </c>
      <c r="H269" s="7">
        <v>0</v>
      </c>
      <c r="I269" s="7">
        <v>0</v>
      </c>
      <c r="J269" s="7">
        <v>0</v>
      </c>
      <c r="K269" s="7">
        <v>1</v>
      </c>
      <c r="L269" s="7">
        <v>0</v>
      </c>
      <c r="M269" s="7">
        <v>0</v>
      </c>
      <c r="N269" s="7">
        <v>0</v>
      </c>
      <c r="O269" s="7">
        <v>0</v>
      </c>
      <c r="P269" s="7">
        <v>0</v>
      </c>
      <c r="Q269" s="7">
        <v>0</v>
      </c>
      <c r="R269" s="7">
        <v>0</v>
      </c>
      <c r="S269" s="7">
        <v>0</v>
      </c>
      <c r="T269" s="7">
        <v>0</v>
      </c>
      <c r="U269" s="7">
        <v>0</v>
      </c>
      <c r="V269" s="7">
        <v>0</v>
      </c>
      <c r="W269" s="7">
        <v>0</v>
      </c>
      <c r="X269" s="7">
        <v>0</v>
      </c>
      <c r="Y269" s="7">
        <v>0</v>
      </c>
      <c r="Z269" s="7">
        <v>0</v>
      </c>
      <c r="AA269" s="7">
        <v>0</v>
      </c>
      <c r="AB269" s="7">
        <v>0</v>
      </c>
      <c r="AC269" s="7">
        <v>0</v>
      </c>
      <c r="AD269" s="7">
        <v>0</v>
      </c>
      <c r="AE269" s="7">
        <v>0</v>
      </c>
      <c r="AF269" s="7">
        <v>0</v>
      </c>
      <c r="AG269" s="7">
        <v>0</v>
      </c>
      <c r="AH269" s="7">
        <v>0</v>
      </c>
      <c r="AI269" s="7">
        <v>0</v>
      </c>
      <c r="AJ269" s="7">
        <v>0</v>
      </c>
      <c r="AK269" s="7">
        <v>0</v>
      </c>
      <c r="AL269" s="7" t="s">
        <v>17</v>
      </c>
      <c r="AM269" s="7" t="s">
        <v>973</v>
      </c>
      <c r="AN269" s="7" t="s">
        <v>2880</v>
      </c>
      <c r="AO269" s="7" t="s">
        <v>50</v>
      </c>
      <c r="AP269" s="7">
        <v>0</v>
      </c>
      <c r="AQ269" s="7">
        <v>0</v>
      </c>
      <c r="AR269" s="9">
        <v>0</v>
      </c>
      <c r="AS269" s="9">
        <v>2</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0</v>
      </c>
      <c r="BM269" s="9">
        <v>0</v>
      </c>
      <c r="BN269" s="9">
        <v>0</v>
      </c>
      <c r="BO269" s="9">
        <v>0</v>
      </c>
      <c r="BP269" s="10" t="s">
        <v>50</v>
      </c>
      <c r="BQ269" s="9">
        <v>0</v>
      </c>
      <c r="BR269" s="10" t="s">
        <v>50</v>
      </c>
      <c r="BS269" s="9">
        <v>0</v>
      </c>
      <c r="BT269" s="10" t="s">
        <v>50</v>
      </c>
      <c r="BU269" s="9">
        <v>0</v>
      </c>
    </row>
    <row r="270" spans="1:73" ht="15.75" customHeight="1" x14ac:dyDescent="0.2">
      <c r="A270" s="3">
        <f t="shared" si="4"/>
        <v>268</v>
      </c>
      <c r="B270" s="3" t="s">
        <v>2915</v>
      </c>
      <c r="C270" s="3" t="s">
        <v>2915</v>
      </c>
      <c r="D270" s="5" t="s">
        <v>2914</v>
      </c>
      <c r="E270" s="5" t="s">
        <v>2916</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17</v>
      </c>
      <c r="AM270" s="3" t="s">
        <v>973</v>
      </c>
      <c r="AN270" s="3" t="s">
        <v>973</v>
      </c>
      <c r="AO270" s="3" t="s">
        <v>50</v>
      </c>
      <c r="AP270" s="3">
        <v>0</v>
      </c>
      <c r="AQ270" s="3">
        <v>0</v>
      </c>
      <c r="AR270">
        <v>0</v>
      </c>
      <c r="AS270">
        <v>2</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row>
    <row r="271" spans="1:73" ht="15.75" customHeight="1" x14ac:dyDescent="0.2">
      <c r="A271" s="3">
        <f t="shared" si="4"/>
        <v>269</v>
      </c>
      <c r="B271" s="3" t="s">
        <v>3506</v>
      </c>
      <c r="C271" s="3" t="s">
        <v>2922</v>
      </c>
      <c r="D271" s="5" t="s">
        <v>2921</v>
      </c>
      <c r="E271" s="5" t="s">
        <v>2923</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17</v>
      </c>
      <c r="AM271" s="3" t="s">
        <v>973</v>
      </c>
      <c r="AN271" s="3" t="s">
        <v>973</v>
      </c>
      <c r="AO271" s="3" t="s">
        <v>50</v>
      </c>
      <c r="AP271" s="3">
        <v>0</v>
      </c>
      <c r="AQ271" s="3">
        <v>0</v>
      </c>
      <c r="AR271">
        <v>0</v>
      </c>
      <c r="AS271">
        <v>2</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row>
    <row r="272" spans="1:73" ht="15.75" customHeight="1" x14ac:dyDescent="0.2">
      <c r="A272" s="3">
        <f t="shared" si="4"/>
        <v>270</v>
      </c>
      <c r="B272" s="3" t="s">
        <v>334</v>
      </c>
      <c r="C272" s="3" t="s">
        <v>334</v>
      </c>
      <c r="D272" s="25" t="s">
        <v>1068</v>
      </c>
      <c r="E272" s="4" t="s">
        <v>1118</v>
      </c>
      <c r="F272" s="3">
        <v>1</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-50</v>
      </c>
      <c r="Y272" s="3">
        <v>0</v>
      </c>
      <c r="Z272" s="3">
        <v>0</v>
      </c>
      <c r="AA272" s="3">
        <v>0</v>
      </c>
      <c r="AB272" s="3">
        <v>0</v>
      </c>
      <c r="AC272" s="3">
        <v>0</v>
      </c>
      <c r="AD272" s="3">
        <v>0</v>
      </c>
      <c r="AE272" s="3">
        <v>0</v>
      </c>
      <c r="AF272" s="3">
        <v>0</v>
      </c>
      <c r="AG272" s="3">
        <v>0</v>
      </c>
      <c r="AH272" s="3">
        <v>0</v>
      </c>
      <c r="AI272" s="3">
        <v>0</v>
      </c>
      <c r="AJ272" s="3">
        <v>0</v>
      </c>
      <c r="AK272" s="3">
        <v>0</v>
      </c>
      <c r="AL272" s="3" t="s">
        <v>51</v>
      </c>
      <c r="AM272" s="3" t="s">
        <v>973</v>
      </c>
      <c r="AN272" s="3" t="s">
        <v>973</v>
      </c>
      <c r="AO272" s="3" t="s">
        <v>1850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row>
    <row r="273" spans="1:73" ht="15.75" customHeight="1" x14ac:dyDescent="0.2">
      <c r="A273" s="3">
        <f t="shared" si="4"/>
        <v>271</v>
      </c>
      <c r="B273" s="3" t="s">
        <v>1119</v>
      </c>
      <c r="C273" s="3" t="s">
        <v>1119</v>
      </c>
      <c r="D273" s="25" t="s">
        <v>1120</v>
      </c>
      <c r="E273" s="4" t="s">
        <v>1121</v>
      </c>
      <c r="F273" s="3">
        <v>1</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-50</v>
      </c>
      <c r="Y273" s="3">
        <v>0</v>
      </c>
      <c r="Z273" s="3">
        <v>0</v>
      </c>
      <c r="AA273" s="3">
        <v>0</v>
      </c>
      <c r="AB273" s="3">
        <v>0</v>
      </c>
      <c r="AC273" s="3">
        <v>0</v>
      </c>
      <c r="AD273" s="3">
        <v>0</v>
      </c>
      <c r="AE273" s="3">
        <v>0</v>
      </c>
      <c r="AF273" s="3">
        <v>0</v>
      </c>
      <c r="AG273" s="3">
        <v>0</v>
      </c>
      <c r="AH273" s="3">
        <v>0</v>
      </c>
      <c r="AI273" s="3">
        <v>0</v>
      </c>
      <c r="AJ273" s="3">
        <v>0</v>
      </c>
      <c r="AK273" s="3">
        <v>0</v>
      </c>
      <c r="AL273" s="3" t="s">
        <v>51</v>
      </c>
      <c r="AM273" s="3" t="s">
        <v>973</v>
      </c>
      <c r="AN273" s="3" t="s">
        <v>973</v>
      </c>
      <c r="AO273" s="3" t="s">
        <v>1850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row>
    <row r="274" spans="1:73" ht="15.75" customHeight="1" x14ac:dyDescent="0.2">
      <c r="A274" s="3">
        <f t="shared" si="4"/>
        <v>272</v>
      </c>
      <c r="B274" s="3" t="s">
        <v>3423</v>
      </c>
      <c r="C274" s="3" t="s">
        <v>3423</v>
      </c>
      <c r="D274" s="25" t="s">
        <v>3422</v>
      </c>
      <c r="E274" s="4" t="s">
        <v>3424</v>
      </c>
      <c r="F274" s="3">
        <v>1</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-50</v>
      </c>
      <c r="Y274" s="3">
        <v>0</v>
      </c>
      <c r="Z274" s="3">
        <v>0</v>
      </c>
      <c r="AA274" s="3">
        <v>0</v>
      </c>
      <c r="AB274" s="3">
        <v>0</v>
      </c>
      <c r="AC274" s="3">
        <v>0</v>
      </c>
      <c r="AD274" s="3">
        <v>0</v>
      </c>
      <c r="AE274" s="3">
        <v>0</v>
      </c>
      <c r="AF274" s="3">
        <v>0</v>
      </c>
      <c r="AG274" s="3">
        <v>0</v>
      </c>
      <c r="AH274" s="3">
        <v>0</v>
      </c>
      <c r="AI274" s="3">
        <v>0</v>
      </c>
      <c r="AJ274" s="3">
        <v>0</v>
      </c>
      <c r="AK274" s="3">
        <v>0</v>
      </c>
      <c r="AL274" s="3" t="s">
        <v>51</v>
      </c>
      <c r="AM274" s="3" t="s">
        <v>973</v>
      </c>
      <c r="AN274" s="3" t="s">
        <v>973</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row>
    <row r="275" spans="1:73" ht="15.75" customHeight="1" x14ac:dyDescent="0.2">
      <c r="A275" s="3">
        <f t="shared" si="4"/>
        <v>273</v>
      </c>
      <c r="B275" s="3" t="s">
        <v>1078</v>
      </c>
      <c r="C275" s="3" t="s">
        <v>1078</v>
      </c>
      <c r="D275" s="25" t="s">
        <v>1077</v>
      </c>
      <c r="E275" s="4" t="s">
        <v>2800</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973</v>
      </c>
      <c r="AN275" s="3" t="s">
        <v>2063</v>
      </c>
      <c r="AO275" s="3" t="s">
        <v>1850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row>
    <row r="276" spans="1:73" ht="15.75" customHeight="1" x14ac:dyDescent="0.2">
      <c r="A276" s="3">
        <f t="shared" si="4"/>
        <v>274</v>
      </c>
      <c r="B276" s="3" t="s">
        <v>1097</v>
      </c>
      <c r="C276" s="3" t="s">
        <v>1097</v>
      </c>
      <c r="D276" s="25" t="s">
        <v>1098</v>
      </c>
      <c r="E276" s="4" t="s">
        <v>1099</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973</v>
      </c>
      <c r="AN276" s="3" t="s">
        <v>2063</v>
      </c>
      <c r="AO276" s="3" t="s">
        <v>1850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row>
    <row r="277" spans="1:73" ht="15.75" customHeight="1" x14ac:dyDescent="0.2">
      <c r="A277" s="3">
        <f t="shared" si="4"/>
        <v>275</v>
      </c>
      <c r="B277" s="3" t="s">
        <v>2801</v>
      </c>
      <c r="C277" s="3" t="s">
        <v>2801</v>
      </c>
      <c r="D277" s="25" t="s">
        <v>2802</v>
      </c>
      <c r="E277" s="4" t="s">
        <v>2803</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973</v>
      </c>
      <c r="AN277" s="3" t="s">
        <v>2063</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row>
    <row r="278" spans="1:73" ht="15.75" customHeight="1" x14ac:dyDescent="0.2">
      <c r="A278" s="3">
        <f t="shared" si="4"/>
        <v>276</v>
      </c>
      <c r="B278" s="3" t="s">
        <v>2944</v>
      </c>
      <c r="C278" s="3" t="s">
        <v>2944</v>
      </c>
      <c r="D278" s="25" t="s">
        <v>2945</v>
      </c>
      <c r="E278" s="4" t="s">
        <v>2950</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973</v>
      </c>
      <c r="AN278" s="3" t="s">
        <v>2063</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row>
    <row r="279" spans="1:73" ht="15.75" customHeight="1" x14ac:dyDescent="0.2">
      <c r="A279" s="3">
        <f t="shared" si="4"/>
        <v>277</v>
      </c>
      <c r="B279" s="3" t="s">
        <v>3195</v>
      </c>
      <c r="C279" s="3" t="s">
        <v>3195</v>
      </c>
      <c r="D279" s="25" t="s">
        <v>3196</v>
      </c>
      <c r="E279" s="4" t="s">
        <v>3197</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973</v>
      </c>
      <c r="AN279" s="3" t="s">
        <v>2063</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row>
    <row r="280" spans="1:73" ht="15.75" customHeight="1" x14ac:dyDescent="0.2">
      <c r="A280" s="3">
        <f t="shared" si="4"/>
        <v>278</v>
      </c>
      <c r="B280" s="3" t="s">
        <v>2804</v>
      </c>
      <c r="C280" s="3" t="s">
        <v>2804</v>
      </c>
      <c r="D280" s="25" t="s">
        <v>2806</v>
      </c>
      <c r="E280" s="4" t="s">
        <v>2808</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973</v>
      </c>
      <c r="AN280" s="3" t="s">
        <v>2063</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row>
    <row r="281" spans="1:73" ht="15.75" customHeight="1" x14ac:dyDescent="0.2">
      <c r="A281" s="3">
        <f t="shared" si="4"/>
        <v>279</v>
      </c>
      <c r="B281" s="3" t="s">
        <v>2805</v>
      </c>
      <c r="C281" s="3" t="s">
        <v>2805</v>
      </c>
      <c r="D281" s="25" t="s">
        <v>2807</v>
      </c>
      <c r="E281" s="4" t="s">
        <v>2809</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973</v>
      </c>
      <c r="AN281" s="3" t="s">
        <v>2063</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row>
    <row r="282" spans="1:73" ht="15.75" customHeight="1" x14ac:dyDescent="0.2">
      <c r="A282" s="3">
        <f t="shared" si="4"/>
        <v>280</v>
      </c>
      <c r="B282" s="3" t="s">
        <v>2938</v>
      </c>
      <c r="C282" s="3" t="s">
        <v>2938</v>
      </c>
      <c r="D282" s="25" t="s">
        <v>2937</v>
      </c>
      <c r="E282" s="4" t="s">
        <v>2939</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973</v>
      </c>
      <c r="AN282" s="3" t="s">
        <v>2063</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row>
    <row r="283" spans="1:73" ht="15.75" customHeight="1" x14ac:dyDescent="0.2">
      <c r="A283" s="3">
        <f t="shared" si="4"/>
        <v>281</v>
      </c>
      <c r="B283" s="3" t="s">
        <v>2432</v>
      </c>
      <c r="C283" s="3" t="s">
        <v>2432</v>
      </c>
      <c r="D283" s="5" t="s">
        <v>2431</v>
      </c>
      <c r="E283" s="5" t="s">
        <v>2436</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1032</v>
      </c>
      <c r="AN283" s="3" t="s">
        <v>2447</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2499</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row>
    <row r="284" spans="1:73" ht="15.75" customHeight="1" x14ac:dyDescent="0.2">
      <c r="A284" s="3">
        <f t="shared" si="4"/>
        <v>282</v>
      </c>
      <c r="B284" s="3" t="s">
        <v>2444</v>
      </c>
      <c r="C284" s="3" t="s">
        <v>2444</v>
      </c>
      <c r="D284" s="5" t="s">
        <v>2445</v>
      </c>
      <c r="E284" s="5" t="s">
        <v>3484</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1032</v>
      </c>
      <c r="AN284" s="3" t="s">
        <v>2447</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2500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row>
    <row r="285" spans="1:73" ht="15.75" customHeight="1" x14ac:dyDescent="0.2">
      <c r="A285" s="3">
        <f t="shared" si="4"/>
        <v>283</v>
      </c>
      <c r="B285" s="3" t="s">
        <v>3507</v>
      </c>
      <c r="C285" s="3" t="s">
        <v>3387</v>
      </c>
      <c r="D285" s="5" t="s">
        <v>3386</v>
      </c>
      <c r="E285" s="5" t="s">
        <v>3407</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1032</v>
      </c>
      <c r="AN285" s="3" t="s">
        <v>2447</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2500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row>
    <row r="286" spans="1:73" ht="15.75" customHeight="1" x14ac:dyDescent="0.2">
      <c r="A286" s="3">
        <f t="shared" si="4"/>
        <v>284</v>
      </c>
      <c r="B286" s="3" t="s">
        <v>2546</v>
      </c>
      <c r="C286" s="3" t="s">
        <v>2434</v>
      </c>
      <c r="D286" s="5" t="s">
        <v>2433</v>
      </c>
      <c r="E286" s="5" t="s">
        <v>2435</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1032</v>
      </c>
      <c r="AN286" s="3" t="s">
        <v>2447</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2501</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row>
    <row r="287" spans="1:73" ht="15.75" customHeight="1" x14ac:dyDescent="0.2">
      <c r="A287" s="3">
        <f t="shared" si="4"/>
        <v>285</v>
      </c>
      <c r="B287" s="3" t="s">
        <v>2438</v>
      </c>
      <c r="C287" s="3" t="s">
        <v>2438</v>
      </c>
      <c r="D287" s="5" t="s">
        <v>2437</v>
      </c>
      <c r="E287" s="5" t="s">
        <v>3410</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1032</v>
      </c>
      <c r="AN287" s="3" t="s">
        <v>2447</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2502</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row>
    <row r="288" spans="1:73" ht="15.75" customHeight="1" x14ac:dyDescent="0.2">
      <c r="A288" s="3">
        <f t="shared" si="4"/>
        <v>286</v>
      </c>
      <c r="B288" s="3" t="s">
        <v>2440</v>
      </c>
      <c r="C288" s="3" t="s">
        <v>2440</v>
      </c>
      <c r="D288" s="5" t="s">
        <v>2439</v>
      </c>
      <c r="E288" s="5" t="s">
        <v>3411</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1032</v>
      </c>
      <c r="AN288" s="3" t="s">
        <v>2447</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2503</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row>
    <row r="289" spans="1:73" ht="15.75" customHeight="1" x14ac:dyDescent="0.2">
      <c r="A289" s="3">
        <f t="shared" si="4"/>
        <v>287</v>
      </c>
      <c r="B289" s="3" t="s">
        <v>2442</v>
      </c>
      <c r="C289" s="3" t="s">
        <v>2442</v>
      </c>
      <c r="D289" s="5" t="s">
        <v>2441</v>
      </c>
      <c r="E289" s="5" t="s">
        <v>3412</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1032</v>
      </c>
      <c r="AN289" s="3" t="s">
        <v>2447</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2504</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row>
    <row r="290" spans="1:73" ht="15.75" customHeight="1" x14ac:dyDescent="0.2">
      <c r="A290" s="3">
        <f t="shared" si="4"/>
        <v>288</v>
      </c>
      <c r="B290" s="3" t="s">
        <v>2443</v>
      </c>
      <c r="C290" s="3" t="s">
        <v>2443</v>
      </c>
      <c r="D290" s="5" t="s">
        <v>1872</v>
      </c>
      <c r="E290" s="5" t="s">
        <v>2448</v>
      </c>
      <c r="F290" s="3">
        <v>0</v>
      </c>
      <c r="G290" s="3">
        <v>0</v>
      </c>
      <c r="H290" s="3">
        <v>0</v>
      </c>
      <c r="I290" s="3">
        <v>50</v>
      </c>
      <c r="J290" s="3">
        <v>5</v>
      </c>
      <c r="K290" s="3">
        <v>1</v>
      </c>
      <c r="L290" s="3">
        <v>0</v>
      </c>
      <c r="M290" s="3">
        <v>0</v>
      </c>
      <c r="N290" s="3">
        <v>3</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1032</v>
      </c>
      <c r="AN290" s="3" t="s">
        <v>2447</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2505</v>
      </c>
      <c r="BE290" s="6" t="s">
        <v>50</v>
      </c>
      <c r="BF290" s="6" t="s">
        <v>50</v>
      </c>
      <c r="BG290" s="6" t="s">
        <v>50</v>
      </c>
      <c r="BH290" s="6" t="s">
        <v>50</v>
      </c>
      <c r="BI290">
        <v>1</v>
      </c>
      <c r="BJ290">
        <v>0</v>
      </c>
      <c r="BK290">
        <v>3</v>
      </c>
      <c r="BL290">
        <v>0</v>
      </c>
      <c r="BM290">
        <v>0</v>
      </c>
      <c r="BN290">
        <v>0</v>
      </c>
      <c r="BO290">
        <v>0</v>
      </c>
      <c r="BP290" s="6" t="s">
        <v>50</v>
      </c>
      <c r="BQ290">
        <v>0</v>
      </c>
      <c r="BR290" s="6" t="s">
        <v>50</v>
      </c>
      <c r="BS290">
        <v>0</v>
      </c>
      <c r="BT290" s="6" t="s">
        <v>50</v>
      </c>
      <c r="BU290">
        <v>0</v>
      </c>
    </row>
    <row r="291" spans="1:73" ht="15.75" customHeight="1" x14ac:dyDescent="0.2">
      <c r="A291" s="3">
        <f t="shared" si="4"/>
        <v>289</v>
      </c>
      <c r="B291" s="3" t="s">
        <v>3525</v>
      </c>
      <c r="C291" s="3" t="s">
        <v>3515</v>
      </c>
      <c r="D291" s="5" t="s">
        <v>3514</v>
      </c>
      <c r="E291" s="5" t="s">
        <v>3516</v>
      </c>
      <c r="F291" s="3">
        <v>0</v>
      </c>
      <c r="G291" s="3">
        <v>0</v>
      </c>
      <c r="H291" s="3">
        <v>0</v>
      </c>
      <c r="I291" s="3">
        <v>50</v>
      </c>
      <c r="J291" s="3">
        <v>5</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2447</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3523</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row>
    <row r="292" spans="1:73" ht="15.75" customHeight="1" x14ac:dyDescent="0.2">
      <c r="A292" s="3">
        <f t="shared" si="4"/>
        <v>290</v>
      </c>
      <c r="B292" s="3" t="s">
        <v>3528</v>
      </c>
      <c r="C292" s="3" t="s">
        <v>3518</v>
      </c>
      <c r="D292" s="5" t="s">
        <v>3517</v>
      </c>
      <c r="E292" s="5" t="s">
        <v>3550</v>
      </c>
      <c r="F292" s="3">
        <v>0</v>
      </c>
      <c r="G292" s="3">
        <v>0</v>
      </c>
      <c r="H292" s="3">
        <v>0</v>
      </c>
      <c r="I292" s="3">
        <v>50</v>
      </c>
      <c r="J292" s="3">
        <v>5</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2447</v>
      </c>
      <c r="AO292" s="3" t="s">
        <v>50</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3524</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row>
    <row r="293" spans="1:73" s="9" customFormat="1" ht="15.75" customHeight="1" x14ac:dyDescent="0.2">
      <c r="A293" s="7">
        <f t="shared" si="4"/>
        <v>291</v>
      </c>
      <c r="B293" s="7" t="s">
        <v>52</v>
      </c>
      <c r="C293" s="7" t="s">
        <v>266</v>
      </c>
      <c r="D293" s="26" t="s">
        <v>381</v>
      </c>
      <c r="E293" s="11" t="s">
        <v>269</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0</v>
      </c>
      <c r="Y293" s="7">
        <v>0</v>
      </c>
      <c r="Z293" s="7">
        <v>0</v>
      </c>
      <c r="AA293" s="7">
        <v>0</v>
      </c>
      <c r="AB293" s="7">
        <v>0</v>
      </c>
      <c r="AC293" s="7">
        <v>0</v>
      </c>
      <c r="AD293" s="7">
        <v>0</v>
      </c>
      <c r="AE293" s="7">
        <v>0</v>
      </c>
      <c r="AF293" s="7">
        <v>0</v>
      </c>
      <c r="AG293" s="7">
        <v>0</v>
      </c>
      <c r="AH293" s="7">
        <v>0</v>
      </c>
      <c r="AI293" s="7">
        <v>0</v>
      </c>
      <c r="AJ293" s="7">
        <v>0</v>
      </c>
      <c r="AK293" s="7">
        <v>0</v>
      </c>
      <c r="AL293" s="7" t="s">
        <v>51</v>
      </c>
      <c r="AM293" s="7" t="s">
        <v>270</v>
      </c>
      <c r="AN293" s="7" t="s">
        <v>1991</v>
      </c>
      <c r="AO293" s="7" t="s">
        <v>1850</v>
      </c>
      <c r="AP293" s="7">
        <v>0</v>
      </c>
      <c r="AQ293" s="7">
        <v>0</v>
      </c>
      <c r="AR293" s="9">
        <v>0</v>
      </c>
      <c r="AS293" s="9">
        <v>0</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c r="BP293" s="10" t="s">
        <v>50</v>
      </c>
      <c r="BQ293" s="9">
        <v>0</v>
      </c>
      <c r="BR293" s="10" t="s">
        <v>50</v>
      </c>
      <c r="BS293" s="9">
        <v>0</v>
      </c>
      <c r="BT293" s="10" t="s">
        <v>50</v>
      </c>
      <c r="BU293" s="9">
        <v>0</v>
      </c>
    </row>
    <row r="294" spans="1:73" s="9" customFormat="1" ht="15.75" customHeight="1" x14ac:dyDescent="0.2">
      <c r="A294" s="7">
        <f t="shared" si="4"/>
        <v>292</v>
      </c>
      <c r="B294" s="7" t="s">
        <v>52</v>
      </c>
      <c r="C294" s="7" t="s">
        <v>58</v>
      </c>
      <c r="D294" s="26" t="s">
        <v>285</v>
      </c>
      <c r="E294" s="11" t="s">
        <v>283</v>
      </c>
      <c r="F294" s="7">
        <v>0</v>
      </c>
      <c r="G294" s="7">
        <v>0</v>
      </c>
      <c r="H294" s="7">
        <v>0</v>
      </c>
      <c r="I294" s="7">
        <v>0</v>
      </c>
      <c r="J294" s="7">
        <v>0</v>
      </c>
      <c r="K294" s="7">
        <v>1</v>
      </c>
      <c r="L294" s="7">
        <v>0</v>
      </c>
      <c r="M294" s="7">
        <v>0</v>
      </c>
      <c r="N294" s="7">
        <v>0</v>
      </c>
      <c r="O294" s="7">
        <v>0</v>
      </c>
      <c r="P294" s="7">
        <v>0</v>
      </c>
      <c r="Q294" s="7">
        <v>0</v>
      </c>
      <c r="R294" s="7">
        <v>0</v>
      </c>
      <c r="S294" s="7">
        <v>0</v>
      </c>
      <c r="T294" s="7">
        <v>0</v>
      </c>
      <c r="U294" s="7">
        <v>0</v>
      </c>
      <c r="V294" s="7">
        <v>0</v>
      </c>
      <c r="W294" s="7">
        <v>0</v>
      </c>
      <c r="X294" s="7">
        <v>6</v>
      </c>
      <c r="Y294" s="7">
        <v>0</v>
      </c>
      <c r="Z294" s="7">
        <v>0</v>
      </c>
      <c r="AA294" s="7">
        <v>0</v>
      </c>
      <c r="AB294" s="7">
        <v>0</v>
      </c>
      <c r="AC294" s="7">
        <v>0</v>
      </c>
      <c r="AD294" s="7">
        <v>0</v>
      </c>
      <c r="AE294" s="7">
        <v>0</v>
      </c>
      <c r="AF294" s="7">
        <v>0</v>
      </c>
      <c r="AG294" s="7">
        <v>0</v>
      </c>
      <c r="AH294" s="7">
        <v>0</v>
      </c>
      <c r="AI294" s="7">
        <v>0</v>
      </c>
      <c r="AJ294" s="7">
        <v>0</v>
      </c>
      <c r="AK294" s="7">
        <v>0</v>
      </c>
      <c r="AL294" s="7" t="s">
        <v>51</v>
      </c>
      <c r="AM294" s="7" t="s">
        <v>280</v>
      </c>
      <c r="AN294" s="7" t="s">
        <v>1992</v>
      </c>
      <c r="AO294" s="7" t="s">
        <v>1850</v>
      </c>
      <c r="AP294" s="7">
        <v>0</v>
      </c>
      <c r="AQ294" s="7">
        <v>0</v>
      </c>
      <c r="AR294" s="9">
        <v>0</v>
      </c>
      <c r="AS294" s="9">
        <v>0</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0</v>
      </c>
      <c r="BK294" s="9">
        <v>1</v>
      </c>
      <c r="BL294" s="9">
        <v>0</v>
      </c>
      <c r="BM294" s="9">
        <v>0</v>
      </c>
      <c r="BN294" s="9">
        <v>0</v>
      </c>
      <c r="BO294" s="9">
        <v>0</v>
      </c>
      <c r="BP294" s="10" t="s">
        <v>50</v>
      </c>
      <c r="BQ294" s="9">
        <v>0</v>
      </c>
      <c r="BR294" s="10" t="s">
        <v>50</v>
      </c>
      <c r="BS294" s="9">
        <v>0</v>
      </c>
      <c r="BT294" s="10" t="s">
        <v>50</v>
      </c>
      <c r="BU294" s="9">
        <v>0</v>
      </c>
    </row>
    <row r="295" spans="1:73" s="9" customFormat="1" ht="15.75" customHeight="1" x14ac:dyDescent="0.2">
      <c r="A295" s="7">
        <f t="shared" si="4"/>
        <v>293</v>
      </c>
      <c r="B295" s="7" t="s">
        <v>52</v>
      </c>
      <c r="C295" s="7" t="s">
        <v>279</v>
      </c>
      <c r="D295" s="26" t="s">
        <v>286</v>
      </c>
      <c r="E295" s="11" t="s">
        <v>282</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6</v>
      </c>
      <c r="Y295" s="7">
        <v>0</v>
      </c>
      <c r="Z295" s="7">
        <v>0</v>
      </c>
      <c r="AA295" s="7">
        <v>0</v>
      </c>
      <c r="AB295" s="7">
        <v>0</v>
      </c>
      <c r="AC295" s="7">
        <v>0</v>
      </c>
      <c r="AD295" s="7">
        <v>0</v>
      </c>
      <c r="AE295" s="7">
        <v>0</v>
      </c>
      <c r="AF295" s="7">
        <v>0</v>
      </c>
      <c r="AG295" s="7">
        <v>0</v>
      </c>
      <c r="AH295" s="7">
        <v>0</v>
      </c>
      <c r="AI295" s="7">
        <v>0</v>
      </c>
      <c r="AJ295" s="7">
        <v>0</v>
      </c>
      <c r="AK295" s="7">
        <v>0</v>
      </c>
      <c r="AL295" s="7" t="s">
        <v>51</v>
      </c>
      <c r="AM295" s="7" t="s">
        <v>280</v>
      </c>
      <c r="AN295" s="7" t="s">
        <v>1992</v>
      </c>
      <c r="AO295" s="7" t="s">
        <v>1850</v>
      </c>
      <c r="AP295" s="7">
        <v>0</v>
      </c>
      <c r="AQ295" s="7">
        <v>0</v>
      </c>
      <c r="AR295" s="9">
        <v>0</v>
      </c>
      <c r="AS295" s="9">
        <v>0</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row>
    <row r="296" spans="1:73" s="9" customFormat="1" ht="15.75" customHeight="1" x14ac:dyDescent="0.2">
      <c r="A296" s="7">
        <f t="shared" si="4"/>
        <v>294</v>
      </c>
      <c r="B296" s="7" t="s">
        <v>52</v>
      </c>
      <c r="C296" s="7" t="s">
        <v>194</v>
      </c>
      <c r="D296" s="26" t="s">
        <v>253</v>
      </c>
      <c r="E296" s="11" t="s">
        <v>251</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14</v>
      </c>
      <c r="Y296" s="7">
        <v>0</v>
      </c>
      <c r="Z296" s="7">
        <v>0</v>
      </c>
      <c r="AA296" s="7">
        <v>0</v>
      </c>
      <c r="AB296" s="7">
        <v>0</v>
      </c>
      <c r="AC296" s="7">
        <v>0</v>
      </c>
      <c r="AD296" s="7">
        <v>0</v>
      </c>
      <c r="AE296" s="7">
        <v>0</v>
      </c>
      <c r="AF296" s="7">
        <v>0</v>
      </c>
      <c r="AG296" s="7">
        <v>0</v>
      </c>
      <c r="AH296" s="7">
        <v>0</v>
      </c>
      <c r="AI296" s="7">
        <v>0</v>
      </c>
      <c r="AJ296" s="7">
        <v>0</v>
      </c>
      <c r="AK296" s="7">
        <v>0</v>
      </c>
      <c r="AL296" s="7" t="s">
        <v>51</v>
      </c>
      <c r="AM296" s="7" t="s">
        <v>280</v>
      </c>
      <c r="AN296" s="7" t="s">
        <v>1992</v>
      </c>
      <c r="AO296" s="7" t="s">
        <v>1850</v>
      </c>
      <c r="AP296" s="7">
        <v>0</v>
      </c>
      <c r="AQ296" s="7">
        <v>0</v>
      </c>
      <c r="AR296" s="9">
        <v>0</v>
      </c>
      <c r="AS296" s="9">
        <v>0</v>
      </c>
      <c r="AT296" s="10" t="s">
        <v>150</v>
      </c>
      <c r="AU296" s="10" t="s">
        <v>150</v>
      </c>
      <c r="AV296" s="10" t="s">
        <v>150</v>
      </c>
      <c r="AW296" s="10" t="s">
        <v>150</v>
      </c>
      <c r="AX296" s="10" t="s">
        <v>150</v>
      </c>
      <c r="AY296" s="10" t="s">
        <v>150</v>
      </c>
      <c r="AZ296" s="10" t="s">
        <v>150</v>
      </c>
      <c r="BA296" s="10" t="s">
        <v>150</v>
      </c>
      <c r="BB296" s="10" t="s">
        <v>150</v>
      </c>
      <c r="BC296" s="10" t="s">
        <v>150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row>
    <row r="297" spans="1:73" s="9" customFormat="1" ht="15.75" customHeight="1" x14ac:dyDescent="0.2">
      <c r="A297" s="7">
        <f t="shared" si="4"/>
        <v>295</v>
      </c>
      <c r="B297" s="7" t="s">
        <v>52</v>
      </c>
      <c r="C297" s="7" t="s">
        <v>195</v>
      </c>
      <c r="D297" s="26" t="s">
        <v>196</v>
      </c>
      <c r="E297" s="11" t="s">
        <v>197</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14</v>
      </c>
      <c r="Y297" s="7">
        <v>0</v>
      </c>
      <c r="Z297" s="7">
        <v>0</v>
      </c>
      <c r="AA297" s="7">
        <v>0</v>
      </c>
      <c r="AB297" s="7">
        <v>0</v>
      </c>
      <c r="AC297" s="7">
        <v>0</v>
      </c>
      <c r="AD297" s="7">
        <v>0</v>
      </c>
      <c r="AE297" s="7">
        <v>0</v>
      </c>
      <c r="AF297" s="7">
        <v>0</v>
      </c>
      <c r="AG297" s="7">
        <v>0</v>
      </c>
      <c r="AH297" s="7">
        <v>0</v>
      </c>
      <c r="AI297" s="7">
        <v>0</v>
      </c>
      <c r="AJ297" s="7">
        <v>0</v>
      </c>
      <c r="AK297" s="7">
        <v>0</v>
      </c>
      <c r="AL297" s="7" t="s">
        <v>51</v>
      </c>
      <c r="AM297" s="7" t="s">
        <v>280</v>
      </c>
      <c r="AN297" s="7" t="s">
        <v>1992</v>
      </c>
      <c r="AO297" s="7" t="s">
        <v>1850</v>
      </c>
      <c r="AP297" s="7">
        <v>0</v>
      </c>
      <c r="AQ297" s="7">
        <v>0</v>
      </c>
      <c r="AR297" s="9">
        <v>0</v>
      </c>
      <c r="AS297" s="9">
        <v>0</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0</v>
      </c>
      <c r="BK297" s="9">
        <v>1</v>
      </c>
      <c r="BL297" s="9">
        <v>0</v>
      </c>
      <c r="BM297" s="9">
        <v>0</v>
      </c>
      <c r="BN297" s="9">
        <v>0</v>
      </c>
      <c r="BO297" s="9">
        <v>0</v>
      </c>
      <c r="BP297" s="10" t="s">
        <v>50</v>
      </c>
      <c r="BQ297" s="9">
        <v>0</v>
      </c>
      <c r="BR297" s="10" t="s">
        <v>50</v>
      </c>
      <c r="BS297" s="9">
        <v>0</v>
      </c>
      <c r="BT297" s="10" t="s">
        <v>50</v>
      </c>
      <c r="BU297" s="9">
        <v>0</v>
      </c>
    </row>
    <row r="298" spans="1:73" s="9" customFormat="1" ht="15.75" customHeight="1" x14ac:dyDescent="0.2">
      <c r="A298" s="7">
        <f t="shared" si="4"/>
        <v>296</v>
      </c>
      <c r="B298" s="7" t="s">
        <v>52</v>
      </c>
      <c r="C298" s="7" t="s">
        <v>201</v>
      </c>
      <c r="D298" s="26" t="s">
        <v>202</v>
      </c>
      <c r="E298" s="11" t="s">
        <v>203</v>
      </c>
      <c r="F298" s="7">
        <v>0</v>
      </c>
      <c r="G298" s="7">
        <v>0</v>
      </c>
      <c r="H298" s="7">
        <v>0</v>
      </c>
      <c r="I298" s="7">
        <v>0</v>
      </c>
      <c r="J298" s="7">
        <v>0</v>
      </c>
      <c r="K298" s="7">
        <v>1</v>
      </c>
      <c r="L298" s="7">
        <v>0</v>
      </c>
      <c r="M298" s="7">
        <v>0</v>
      </c>
      <c r="N298" s="7">
        <v>0</v>
      </c>
      <c r="O298" s="7">
        <v>0</v>
      </c>
      <c r="P298" s="7">
        <v>0</v>
      </c>
      <c r="Q298" s="7">
        <v>0</v>
      </c>
      <c r="R298" s="7">
        <v>0</v>
      </c>
      <c r="S298" s="7">
        <v>0</v>
      </c>
      <c r="T298" s="7">
        <v>0</v>
      </c>
      <c r="U298" s="7">
        <v>0</v>
      </c>
      <c r="V298" s="7">
        <v>0</v>
      </c>
      <c r="W298" s="7">
        <v>0</v>
      </c>
      <c r="X298" s="7">
        <v>28</v>
      </c>
      <c r="Y298" s="7">
        <v>0</v>
      </c>
      <c r="Z298" s="7">
        <v>0</v>
      </c>
      <c r="AA298" s="7">
        <v>0</v>
      </c>
      <c r="AB298" s="7">
        <v>0</v>
      </c>
      <c r="AC298" s="7">
        <v>0</v>
      </c>
      <c r="AD298" s="7">
        <v>0</v>
      </c>
      <c r="AE298" s="7">
        <v>0</v>
      </c>
      <c r="AF298" s="7">
        <v>0</v>
      </c>
      <c r="AG298" s="7">
        <v>0</v>
      </c>
      <c r="AH298" s="7">
        <v>0</v>
      </c>
      <c r="AI298" s="7">
        <v>0</v>
      </c>
      <c r="AJ298" s="7">
        <v>0</v>
      </c>
      <c r="AK298" s="7">
        <v>0</v>
      </c>
      <c r="AL298" s="7" t="s">
        <v>51</v>
      </c>
      <c r="AM298" s="7" t="s">
        <v>280</v>
      </c>
      <c r="AN298" s="7" t="s">
        <v>1992</v>
      </c>
      <c r="AO298" s="7" t="s">
        <v>1850</v>
      </c>
      <c r="AP298" s="7">
        <v>0</v>
      </c>
      <c r="AQ298" s="7">
        <v>0</v>
      </c>
      <c r="AR298" s="9">
        <v>0</v>
      </c>
      <c r="AS298" s="9">
        <v>0</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0</v>
      </c>
      <c r="BK298" s="9">
        <v>1</v>
      </c>
      <c r="BL298" s="9">
        <v>0</v>
      </c>
      <c r="BM298" s="9">
        <v>0</v>
      </c>
      <c r="BN298" s="9">
        <v>0</v>
      </c>
      <c r="BO298" s="9">
        <v>0</v>
      </c>
      <c r="BP298" s="10" t="s">
        <v>50</v>
      </c>
      <c r="BQ298" s="9">
        <v>0</v>
      </c>
      <c r="BR298" s="10" t="s">
        <v>50</v>
      </c>
      <c r="BS298" s="9">
        <v>0</v>
      </c>
      <c r="BT298" s="10" t="s">
        <v>50</v>
      </c>
      <c r="BU298" s="9">
        <v>0</v>
      </c>
    </row>
    <row r="299" spans="1:73" s="9" customFormat="1" ht="15.75" customHeight="1" x14ac:dyDescent="0.2">
      <c r="A299" s="7">
        <f t="shared" si="4"/>
        <v>297</v>
      </c>
      <c r="B299" s="7" t="s">
        <v>52</v>
      </c>
      <c r="C299" s="7" t="s">
        <v>204</v>
      </c>
      <c r="D299" s="26" t="s">
        <v>206</v>
      </c>
      <c r="E299" s="11" t="s">
        <v>205</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28</v>
      </c>
      <c r="Y299" s="7">
        <v>0</v>
      </c>
      <c r="Z299" s="7">
        <v>0</v>
      </c>
      <c r="AA299" s="7">
        <v>0</v>
      </c>
      <c r="AB299" s="7">
        <v>0</v>
      </c>
      <c r="AC299" s="7">
        <v>0</v>
      </c>
      <c r="AD299" s="7">
        <v>0</v>
      </c>
      <c r="AE299" s="7">
        <v>0</v>
      </c>
      <c r="AF299" s="7">
        <v>0</v>
      </c>
      <c r="AG299" s="7">
        <v>0</v>
      </c>
      <c r="AH299" s="7">
        <v>0</v>
      </c>
      <c r="AI299" s="7">
        <v>0</v>
      </c>
      <c r="AJ299" s="7">
        <v>0</v>
      </c>
      <c r="AK299" s="7">
        <v>0</v>
      </c>
      <c r="AL299" s="7" t="s">
        <v>51</v>
      </c>
      <c r="AM299" s="7" t="s">
        <v>280</v>
      </c>
      <c r="AN299" s="7" t="s">
        <v>1992</v>
      </c>
      <c r="AO299" s="7" t="s">
        <v>1850</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c r="BP299" s="10" t="s">
        <v>50</v>
      </c>
      <c r="BQ299" s="9">
        <v>0</v>
      </c>
      <c r="BR299" s="10" t="s">
        <v>50</v>
      </c>
      <c r="BS299" s="9">
        <v>0</v>
      </c>
      <c r="BT299" s="10" t="s">
        <v>50</v>
      </c>
      <c r="BU299" s="9">
        <v>0</v>
      </c>
    </row>
    <row r="300" spans="1:73" s="9" customFormat="1" ht="15.75" customHeight="1" x14ac:dyDescent="0.2">
      <c r="A300" s="7">
        <f t="shared" si="4"/>
        <v>298</v>
      </c>
      <c r="B300" s="7" t="s">
        <v>52</v>
      </c>
      <c r="C300" s="7" t="s">
        <v>208</v>
      </c>
      <c r="D300" s="26" t="s">
        <v>207</v>
      </c>
      <c r="E300" s="11" t="s">
        <v>209</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28</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1992</v>
      </c>
      <c r="AO300" s="7" t="s">
        <v>1850</v>
      </c>
      <c r="AP300" s="7">
        <v>0</v>
      </c>
      <c r="AQ300" s="7">
        <v>0</v>
      </c>
      <c r="AR300" s="9">
        <v>0</v>
      </c>
      <c r="AS300" s="9">
        <v>0</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0</v>
      </c>
      <c r="BK300" s="9">
        <v>1</v>
      </c>
      <c r="BL300" s="9">
        <v>0</v>
      </c>
      <c r="BM300" s="9">
        <v>0</v>
      </c>
      <c r="BN300" s="9">
        <v>0</v>
      </c>
      <c r="BO300" s="9">
        <v>0</v>
      </c>
      <c r="BP300" s="10" t="s">
        <v>50</v>
      </c>
      <c r="BQ300" s="9">
        <v>0</v>
      </c>
      <c r="BR300" s="10" t="s">
        <v>50</v>
      </c>
      <c r="BS300" s="9">
        <v>0</v>
      </c>
      <c r="BT300" s="10" t="s">
        <v>50</v>
      </c>
      <c r="BU300" s="9">
        <v>0</v>
      </c>
    </row>
    <row r="301" spans="1:73" s="9" customFormat="1" ht="15.75" customHeight="1" x14ac:dyDescent="0.2">
      <c r="A301" s="7">
        <f t="shared" si="4"/>
        <v>299</v>
      </c>
      <c r="B301" s="7" t="s">
        <v>52</v>
      </c>
      <c r="C301" s="7" t="s">
        <v>210</v>
      </c>
      <c r="D301" s="26" t="s">
        <v>211</v>
      </c>
      <c r="E301" s="11" t="s">
        <v>212</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28</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1992</v>
      </c>
      <c r="AO301" s="7" t="s">
        <v>1850</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c r="BP301" s="10" t="s">
        <v>50</v>
      </c>
      <c r="BQ301" s="9">
        <v>0</v>
      </c>
      <c r="BR301" s="10" t="s">
        <v>50</v>
      </c>
      <c r="BS301" s="9">
        <v>0</v>
      </c>
      <c r="BT301" s="10" t="s">
        <v>50</v>
      </c>
      <c r="BU301" s="9">
        <v>0</v>
      </c>
    </row>
    <row r="302" spans="1:73" s="9" customFormat="1" ht="15.75" customHeight="1" x14ac:dyDescent="0.2">
      <c r="A302" s="7">
        <f t="shared" si="4"/>
        <v>300</v>
      </c>
      <c r="B302" s="7" t="s">
        <v>52</v>
      </c>
      <c r="C302" s="7" t="s">
        <v>220</v>
      </c>
      <c r="D302" s="26" t="s">
        <v>221</v>
      </c>
      <c r="E302" s="11" t="s">
        <v>222</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28</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1992</v>
      </c>
      <c r="AO302" s="7" t="s">
        <v>1850</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c r="BP302" s="10" t="s">
        <v>50</v>
      </c>
      <c r="BQ302" s="9">
        <v>0</v>
      </c>
      <c r="BR302" s="10" t="s">
        <v>50</v>
      </c>
      <c r="BS302" s="9">
        <v>0</v>
      </c>
      <c r="BT302" s="10" t="s">
        <v>50</v>
      </c>
      <c r="BU302" s="9">
        <v>0</v>
      </c>
    </row>
    <row r="303" spans="1:73" s="9" customFormat="1" ht="15.75" customHeight="1" x14ac:dyDescent="0.2">
      <c r="A303" s="7">
        <f t="shared" si="4"/>
        <v>301</v>
      </c>
      <c r="B303" s="7" t="s">
        <v>59</v>
      </c>
      <c r="C303" s="7" t="s">
        <v>2906</v>
      </c>
      <c r="D303" s="26" t="s">
        <v>2904</v>
      </c>
      <c r="E303" s="11" t="s">
        <v>2905</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0</v>
      </c>
      <c r="Y303" s="7">
        <v>0</v>
      </c>
      <c r="Z303" s="7">
        <v>0</v>
      </c>
      <c r="AA303" s="7">
        <v>0</v>
      </c>
      <c r="AB303" s="7">
        <v>0</v>
      </c>
      <c r="AC303" s="7">
        <v>0</v>
      </c>
      <c r="AD303" s="7">
        <v>0</v>
      </c>
      <c r="AE303" s="7">
        <v>0</v>
      </c>
      <c r="AF303" s="7">
        <v>0</v>
      </c>
      <c r="AG303" s="7">
        <v>0</v>
      </c>
      <c r="AH303" s="7">
        <v>0</v>
      </c>
      <c r="AI303" s="7">
        <v>0</v>
      </c>
      <c r="AJ303" s="7">
        <v>0</v>
      </c>
      <c r="AK303" s="7">
        <v>0</v>
      </c>
      <c r="AL303" s="7" t="s">
        <v>51</v>
      </c>
      <c r="AM303" s="7" t="s">
        <v>973</v>
      </c>
      <c r="AN303" s="7" t="s">
        <v>1991</v>
      </c>
      <c r="AO303" s="7" t="s">
        <v>50</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c r="BP303" s="10" t="s">
        <v>50</v>
      </c>
      <c r="BQ303" s="9">
        <v>0</v>
      </c>
      <c r="BR303" s="10" t="s">
        <v>50</v>
      </c>
      <c r="BS303" s="9">
        <v>0</v>
      </c>
      <c r="BT303" s="10" t="s">
        <v>50</v>
      </c>
      <c r="BU303" s="9">
        <v>0</v>
      </c>
    </row>
    <row r="304" spans="1:73" s="9" customFormat="1" ht="15.75" customHeight="1" x14ac:dyDescent="0.2">
      <c r="A304" s="7">
        <f t="shared" si="4"/>
        <v>302</v>
      </c>
      <c r="B304" s="7" t="s">
        <v>52</v>
      </c>
      <c r="C304" s="7" t="s">
        <v>60</v>
      </c>
      <c r="D304" s="26" t="s">
        <v>252</v>
      </c>
      <c r="E304" s="11" t="s">
        <v>53</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0</v>
      </c>
      <c r="Y304" s="7">
        <v>0</v>
      </c>
      <c r="Z304" s="7">
        <v>0</v>
      </c>
      <c r="AA304" s="7">
        <v>0</v>
      </c>
      <c r="AB304" s="7">
        <v>0</v>
      </c>
      <c r="AC304" s="7">
        <v>0</v>
      </c>
      <c r="AD304" s="7">
        <v>0</v>
      </c>
      <c r="AE304" s="7">
        <v>0</v>
      </c>
      <c r="AF304" s="7">
        <v>0</v>
      </c>
      <c r="AG304" s="7">
        <v>0</v>
      </c>
      <c r="AH304" s="7">
        <v>0</v>
      </c>
      <c r="AI304" s="7">
        <v>0</v>
      </c>
      <c r="AJ304" s="7">
        <v>0</v>
      </c>
      <c r="AK304" s="7">
        <v>0</v>
      </c>
      <c r="AL304" s="7" t="s">
        <v>51</v>
      </c>
      <c r="AM304" s="7" t="s">
        <v>166</v>
      </c>
      <c r="AN304" s="7" t="s">
        <v>1993</v>
      </c>
      <c r="AO304" s="7" t="s">
        <v>1850</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c r="BP304" s="10" t="s">
        <v>50</v>
      </c>
      <c r="BQ304" s="9">
        <v>0</v>
      </c>
      <c r="BR304" s="10" t="s">
        <v>50</v>
      </c>
      <c r="BS304" s="9">
        <v>0</v>
      </c>
      <c r="BT304" s="10" t="s">
        <v>50</v>
      </c>
      <c r="BU304" s="9">
        <v>0</v>
      </c>
    </row>
    <row r="305" spans="1:73" s="9" customFormat="1" ht="15.75" customHeight="1" x14ac:dyDescent="0.2">
      <c r="A305" s="7">
        <f t="shared" si="4"/>
        <v>303</v>
      </c>
      <c r="B305" s="7" t="s">
        <v>52</v>
      </c>
      <c r="C305" s="7" t="s">
        <v>241</v>
      </c>
      <c r="D305" s="26" t="s">
        <v>247</v>
      </c>
      <c r="E305" s="11" t="s">
        <v>287</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51</v>
      </c>
      <c r="AM305" s="7" t="s">
        <v>166</v>
      </c>
      <c r="AN305" s="7" t="s">
        <v>1993</v>
      </c>
      <c r="AO305" s="7" t="s">
        <v>1850</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U391"/>
  <sheetViews>
    <sheetView topLeftCell="M124" zoomScaleNormal="100" workbookViewId="0">
      <selection activeCell="AN134" sqref="AN134"/>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1145</v>
      </c>
      <c r="Z1" s="2" t="s">
        <v>2210</v>
      </c>
      <c r="AA1" s="2" t="s">
        <v>2169</v>
      </c>
      <c r="AB1" s="2" t="s">
        <v>2201</v>
      </c>
      <c r="AC1" s="2" t="s">
        <v>2202</v>
      </c>
      <c r="AD1" s="2" t="s">
        <v>2203</v>
      </c>
      <c r="AE1" s="2" t="s">
        <v>2204</v>
      </c>
      <c r="AF1" s="2" t="s">
        <v>2205</v>
      </c>
      <c r="AG1" s="2" t="s">
        <v>2206</v>
      </c>
      <c r="AH1" s="2" t="s">
        <v>2207</v>
      </c>
      <c r="AI1" s="2" t="s">
        <v>2208</v>
      </c>
      <c r="AJ1" s="2" t="s">
        <v>2209</v>
      </c>
      <c r="AK1" s="2" t="s">
        <v>2623</v>
      </c>
      <c r="AL1" s="1" t="s">
        <v>13</v>
      </c>
      <c r="AM1" s="1" t="s">
        <v>14</v>
      </c>
      <c r="AN1" s="1" t="s">
        <v>1928</v>
      </c>
      <c r="AO1" s="1" t="s">
        <v>1849</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2492</v>
      </c>
      <c r="BN1" s="1" t="s">
        <v>3553</v>
      </c>
      <c r="BO1" s="1" t="s">
        <v>1614</v>
      </c>
      <c r="BP1" s="1" t="s">
        <v>3617</v>
      </c>
      <c r="BQ1" s="1" t="s">
        <v>3618</v>
      </c>
      <c r="BR1" s="1" t="s">
        <v>3619</v>
      </c>
      <c r="BS1" s="1" t="s">
        <v>3620</v>
      </c>
      <c r="BT1" s="1" t="s">
        <v>3621</v>
      </c>
      <c r="BU1" s="1" t="s">
        <v>3622</v>
      </c>
    </row>
    <row r="2" spans="1:73" ht="15.75" customHeight="1" x14ac:dyDescent="0.2">
      <c r="A2" s="3">
        <f t="shared" ref="A2:A66" si="0">ROW()+1998</f>
        <v>2000</v>
      </c>
      <c r="B2" s="3" t="s">
        <v>84</v>
      </c>
      <c r="C2" s="3" t="s">
        <v>84</v>
      </c>
      <c r="D2" s="27"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1994</v>
      </c>
      <c r="AO2" s="3" t="s">
        <v>1850</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row>
    <row r="3" spans="1:73" ht="15.75" customHeight="1" x14ac:dyDescent="0.2">
      <c r="A3" s="3">
        <f t="shared" si="0"/>
        <v>2001</v>
      </c>
      <c r="B3" s="3" t="s">
        <v>575</v>
      </c>
      <c r="C3" s="3" t="s">
        <v>571</v>
      </c>
      <c r="D3" s="27" t="s">
        <v>1107</v>
      </c>
      <c r="E3" s="5" t="s">
        <v>1524</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1994</v>
      </c>
      <c r="AO3" s="3" t="s">
        <v>1850</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3624</v>
      </c>
      <c r="BQ3">
        <v>5</v>
      </c>
      <c r="BR3" s="6" t="s">
        <v>50</v>
      </c>
      <c r="BS3">
        <v>0</v>
      </c>
      <c r="BT3" s="6" t="s">
        <v>50</v>
      </c>
      <c r="BU3">
        <v>0</v>
      </c>
    </row>
    <row r="4" spans="1:73" ht="15.75" customHeight="1" x14ac:dyDescent="0.2">
      <c r="A4" s="3">
        <f t="shared" si="0"/>
        <v>2002</v>
      </c>
      <c r="B4" s="3" t="s">
        <v>576</v>
      </c>
      <c r="C4" s="3" t="s">
        <v>572</v>
      </c>
      <c r="D4" s="27" t="s">
        <v>1108</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1994</v>
      </c>
      <c r="AO4" s="3" t="s">
        <v>1850</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3624</v>
      </c>
      <c r="BQ4">
        <v>5</v>
      </c>
      <c r="BR4" s="6" t="s">
        <v>50</v>
      </c>
      <c r="BS4">
        <v>0</v>
      </c>
      <c r="BT4" s="6" t="s">
        <v>50</v>
      </c>
      <c r="BU4">
        <v>0</v>
      </c>
    </row>
    <row r="5" spans="1:73" ht="15.75" customHeight="1" x14ac:dyDescent="0.2">
      <c r="A5" s="3">
        <f t="shared" si="0"/>
        <v>2003</v>
      </c>
      <c r="B5" s="3" t="s">
        <v>578</v>
      </c>
      <c r="C5" s="3" t="s">
        <v>573</v>
      </c>
      <c r="D5" s="27" t="s">
        <v>1109</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1994</v>
      </c>
      <c r="AO5" s="3" t="s">
        <v>1850</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3624</v>
      </c>
      <c r="BQ5">
        <v>5</v>
      </c>
      <c r="BR5" s="6" t="s">
        <v>50</v>
      </c>
      <c r="BS5">
        <v>0</v>
      </c>
      <c r="BT5" s="6" t="s">
        <v>50</v>
      </c>
      <c r="BU5">
        <v>0</v>
      </c>
    </row>
    <row r="6" spans="1:73" ht="15.75" customHeight="1" x14ac:dyDescent="0.2">
      <c r="A6" s="3">
        <f t="shared" si="0"/>
        <v>2004</v>
      </c>
      <c r="B6" s="3" t="s">
        <v>580</v>
      </c>
      <c r="C6" s="3" t="s">
        <v>581</v>
      </c>
      <c r="D6" s="27" t="s">
        <v>1110</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1521</v>
      </c>
      <c r="AN6" s="3" t="s">
        <v>1994</v>
      </c>
      <c r="AO6" s="3" t="s">
        <v>1850</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3624</v>
      </c>
      <c r="BQ6">
        <v>5</v>
      </c>
      <c r="BR6" s="6" t="s">
        <v>50</v>
      </c>
      <c r="BS6">
        <v>0</v>
      </c>
      <c r="BT6" s="6" t="s">
        <v>50</v>
      </c>
      <c r="BU6">
        <v>0</v>
      </c>
    </row>
    <row r="7" spans="1:73" ht="15.75" customHeight="1" x14ac:dyDescent="0.2">
      <c r="A7" s="3">
        <f t="shared" si="0"/>
        <v>2005</v>
      </c>
      <c r="B7" s="3" t="s">
        <v>1127</v>
      </c>
      <c r="C7" s="3" t="s">
        <v>1126</v>
      </c>
      <c r="D7" s="27" t="s">
        <v>1124</v>
      </c>
      <c r="E7" s="5" t="s">
        <v>1125</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1994</v>
      </c>
      <c r="AO7" s="3" t="s">
        <v>1850</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3624</v>
      </c>
      <c r="BQ7">
        <v>5</v>
      </c>
      <c r="BR7" s="6" t="s">
        <v>50</v>
      </c>
      <c r="BS7">
        <v>0</v>
      </c>
      <c r="BT7" s="6" t="s">
        <v>50</v>
      </c>
      <c r="BU7">
        <v>0</v>
      </c>
    </row>
    <row r="8" spans="1:73" ht="15.75" customHeight="1" x14ac:dyDescent="0.2">
      <c r="A8" s="3">
        <f t="shared" si="0"/>
        <v>2006</v>
      </c>
      <c r="B8" s="3" t="s">
        <v>85</v>
      </c>
      <c r="C8" s="3" t="s">
        <v>85</v>
      </c>
      <c r="D8" s="27" t="s">
        <v>1111</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1994</v>
      </c>
      <c r="AO8" s="3" t="s">
        <v>1850</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row>
    <row r="9" spans="1:73" s="9" customFormat="1" ht="15.75" customHeight="1" x14ac:dyDescent="0.2">
      <c r="A9" s="3">
        <f t="shared" si="0"/>
        <v>2007</v>
      </c>
      <c r="B9" s="7" t="s">
        <v>388</v>
      </c>
      <c r="C9" s="7" t="s">
        <v>304</v>
      </c>
      <c r="D9" s="28" t="s">
        <v>1112</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1994</v>
      </c>
      <c r="AO9" s="7" t="s">
        <v>1850</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row>
    <row r="10" spans="1:73"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1994</v>
      </c>
      <c r="AO10" s="7" t="s">
        <v>1850</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row>
    <row r="11" spans="1:73" ht="15.75" customHeight="1" x14ac:dyDescent="0.2">
      <c r="A11" s="3">
        <f t="shared" si="0"/>
        <v>2009</v>
      </c>
      <c r="B11" s="3" t="s">
        <v>928</v>
      </c>
      <c r="C11" s="3" t="s">
        <v>484</v>
      </c>
      <c r="D11" s="27"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1994</v>
      </c>
      <c r="AO11" s="3" t="s">
        <v>1850</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row>
    <row r="12" spans="1:73" ht="15.75" customHeight="1" x14ac:dyDescent="0.2">
      <c r="A12" s="3">
        <f t="shared" si="0"/>
        <v>2010</v>
      </c>
      <c r="B12" s="3" t="s">
        <v>931</v>
      </c>
      <c r="C12" s="3" t="s">
        <v>555</v>
      </c>
      <c r="D12" s="27" t="s">
        <v>1106</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1994</v>
      </c>
      <c r="AO12" s="3" t="s">
        <v>1850</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row>
    <row r="13" spans="1:73" ht="15.75" customHeight="1" x14ac:dyDescent="0.2">
      <c r="A13" s="3">
        <f t="shared" si="0"/>
        <v>2011</v>
      </c>
      <c r="B13" s="3" t="s">
        <v>1105</v>
      </c>
      <c r="C13" s="3" t="s">
        <v>399</v>
      </c>
      <c r="D13" s="27"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1425</v>
      </c>
      <c r="AN13" s="3" t="s">
        <v>1995</v>
      </c>
      <c r="AO13" s="3" t="s">
        <v>1850</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row>
    <row r="14" spans="1:73" s="9" customFormat="1" ht="15.75" customHeight="1" x14ac:dyDescent="0.2">
      <c r="A14" s="3">
        <f t="shared" si="0"/>
        <v>2012</v>
      </c>
      <c r="B14" s="7" t="s">
        <v>84</v>
      </c>
      <c r="C14" s="7" t="s">
        <v>625</v>
      </c>
      <c r="D14" s="28"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1994</v>
      </c>
      <c r="AO14" s="7" t="s">
        <v>1850</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row>
    <row r="15" spans="1:73"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1994</v>
      </c>
      <c r="AO15" s="3" t="s">
        <v>1850</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row>
    <row r="16" spans="1:73" ht="15.75" customHeight="1" x14ac:dyDescent="0.2">
      <c r="A16" s="3">
        <f t="shared" si="0"/>
        <v>2014</v>
      </c>
      <c r="B16" s="3" t="s">
        <v>1317</v>
      </c>
      <c r="C16" s="3" t="s">
        <v>1314</v>
      </c>
      <c r="D16" s="27" t="s">
        <v>1315</v>
      </c>
      <c r="E16" s="5" t="s">
        <v>1316</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1994</v>
      </c>
      <c r="AO16" s="3" t="s">
        <v>1850</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row>
    <row r="17" spans="1:73" ht="15.75" customHeight="1" x14ac:dyDescent="0.2">
      <c r="A17" s="3">
        <f t="shared" si="0"/>
        <v>2015</v>
      </c>
      <c r="B17" s="3" t="s">
        <v>379</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1994</v>
      </c>
      <c r="AO17" s="3" t="s">
        <v>1850</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row>
    <row r="18" spans="1:73" ht="15.75" customHeight="1" x14ac:dyDescent="0.2">
      <c r="A18" s="3">
        <f t="shared" si="0"/>
        <v>2016</v>
      </c>
      <c r="B18" s="3" t="s">
        <v>631</v>
      </c>
      <c r="C18" s="3" t="s">
        <v>529</v>
      </c>
      <c r="D18" s="27"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1994</v>
      </c>
      <c r="AO18" s="3" t="s">
        <v>1850</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3624</v>
      </c>
      <c r="BQ18">
        <v>5</v>
      </c>
      <c r="BR18" s="6" t="s">
        <v>50</v>
      </c>
      <c r="BS18">
        <v>0</v>
      </c>
      <c r="BT18" s="6" t="s">
        <v>50</v>
      </c>
      <c r="BU18">
        <v>0</v>
      </c>
    </row>
    <row r="19" spans="1:73" ht="15.75" customHeight="1" x14ac:dyDescent="0.2">
      <c r="A19" s="3">
        <f t="shared" si="0"/>
        <v>2017</v>
      </c>
      <c r="B19" s="3" t="s">
        <v>632</v>
      </c>
      <c r="C19" s="3" t="s">
        <v>531</v>
      </c>
      <c r="D19" s="27"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1994</v>
      </c>
      <c r="AO19" s="3" t="s">
        <v>1850</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row>
    <row r="20" spans="1:73" ht="15.75" customHeight="1" x14ac:dyDescent="0.2">
      <c r="A20" s="3">
        <f t="shared" si="0"/>
        <v>2018</v>
      </c>
      <c r="B20" s="3" t="s">
        <v>633</v>
      </c>
      <c r="C20" s="3" t="s">
        <v>534</v>
      </c>
      <c r="D20" s="27"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1994</v>
      </c>
      <c r="AO20" s="3" t="s">
        <v>1850</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row>
    <row r="21" spans="1:73" ht="15.75" customHeight="1" x14ac:dyDescent="0.2">
      <c r="A21" s="3">
        <f t="shared" si="0"/>
        <v>2019</v>
      </c>
      <c r="B21" s="3" t="s">
        <v>634</v>
      </c>
      <c r="C21" s="3" t="s">
        <v>536</v>
      </c>
      <c r="D21" s="27"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1994</v>
      </c>
      <c r="AO21" s="3" t="s">
        <v>1850</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row>
    <row r="22" spans="1:73" ht="15.75" customHeight="1" x14ac:dyDescent="0.2">
      <c r="A22" s="3">
        <f t="shared" si="0"/>
        <v>2020</v>
      </c>
      <c r="B22" s="3" t="s">
        <v>635</v>
      </c>
      <c r="C22" s="3" t="s">
        <v>538</v>
      </c>
      <c r="D22" s="27"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1994</v>
      </c>
      <c r="AO22" s="3" t="s">
        <v>1850</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3624</v>
      </c>
      <c r="BQ22">
        <v>5</v>
      </c>
      <c r="BR22" s="6" t="s">
        <v>50</v>
      </c>
      <c r="BS22">
        <v>0</v>
      </c>
      <c r="BT22" s="6" t="s">
        <v>50</v>
      </c>
      <c r="BU22">
        <v>0</v>
      </c>
    </row>
    <row r="23" spans="1:73" ht="15.75" customHeight="1" x14ac:dyDescent="0.2">
      <c r="A23" s="3">
        <f t="shared" si="0"/>
        <v>2021</v>
      </c>
      <c r="B23" s="3" t="s">
        <v>638</v>
      </c>
      <c r="C23" s="3" t="s">
        <v>637</v>
      </c>
      <c r="D23" s="27"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1994</v>
      </c>
      <c r="AO23" s="3" t="s">
        <v>1850</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3624</v>
      </c>
      <c r="BQ23">
        <v>5</v>
      </c>
      <c r="BR23" s="6" t="s">
        <v>50</v>
      </c>
      <c r="BS23">
        <v>0</v>
      </c>
      <c r="BT23" s="6" t="s">
        <v>50</v>
      </c>
      <c r="BU23">
        <v>0</v>
      </c>
    </row>
    <row r="24" spans="1:73" ht="15.75" customHeight="1" x14ac:dyDescent="0.2">
      <c r="A24" s="3">
        <f t="shared" si="0"/>
        <v>2022</v>
      </c>
      <c r="B24" s="3" t="s">
        <v>579</v>
      </c>
      <c r="C24" s="3" t="s">
        <v>540</v>
      </c>
      <c r="D24" s="27"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1994</v>
      </c>
      <c r="AO24" s="3" t="s">
        <v>1850</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3624</v>
      </c>
      <c r="BQ24">
        <v>5</v>
      </c>
      <c r="BR24" s="6" t="s">
        <v>50</v>
      </c>
      <c r="BS24">
        <v>0</v>
      </c>
      <c r="BT24" s="6" t="s">
        <v>50</v>
      </c>
      <c r="BU24">
        <v>0</v>
      </c>
    </row>
    <row r="25" spans="1:73" ht="15.75" customHeight="1" x14ac:dyDescent="0.2">
      <c r="A25" s="3">
        <f t="shared" si="0"/>
        <v>2023</v>
      </c>
      <c r="B25" s="3" t="s">
        <v>3433</v>
      </c>
      <c r="C25" s="3" t="s">
        <v>3419</v>
      </c>
      <c r="D25" s="27" t="s">
        <v>3418</v>
      </c>
      <c r="E25" s="5" t="s">
        <v>3420</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1994</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c r="BP25" s="6" t="s">
        <v>3624</v>
      </c>
      <c r="BQ25">
        <v>5</v>
      </c>
      <c r="BR25" s="6" t="s">
        <v>50</v>
      </c>
      <c r="BS25">
        <v>0</v>
      </c>
      <c r="BT25" s="6" t="s">
        <v>50</v>
      </c>
      <c r="BU25">
        <v>0</v>
      </c>
    </row>
    <row r="26" spans="1:73" ht="15.75" customHeight="1" x14ac:dyDescent="0.2">
      <c r="A26" s="3">
        <f t="shared" si="0"/>
        <v>2024</v>
      </c>
      <c r="B26" s="3" t="s">
        <v>389</v>
      </c>
      <c r="C26" s="3" t="s">
        <v>229</v>
      </c>
      <c r="D26" s="27"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1994</v>
      </c>
      <c r="AO26" s="3" t="s">
        <v>1850</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row>
    <row r="27" spans="1:73" ht="15.75" customHeight="1" x14ac:dyDescent="0.2">
      <c r="A27" s="3">
        <f t="shared" si="0"/>
        <v>2025</v>
      </c>
      <c r="B27" s="3" t="s">
        <v>932</v>
      </c>
      <c r="C27" s="3" t="s">
        <v>654</v>
      </c>
      <c r="D27" s="27"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1994</v>
      </c>
      <c r="AO27" s="3" t="s">
        <v>1850</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row>
    <row r="28" spans="1:73" ht="15.75" customHeight="1" x14ac:dyDescent="0.2">
      <c r="A28" s="3">
        <f t="shared" si="0"/>
        <v>2026</v>
      </c>
      <c r="B28" s="3" t="s">
        <v>1472</v>
      </c>
      <c r="C28" s="3" t="s">
        <v>1455</v>
      </c>
      <c r="D28" s="27" t="s">
        <v>1454</v>
      </c>
      <c r="E28" s="5" t="s">
        <v>1456</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1994</v>
      </c>
      <c r="AO28" s="3" t="s">
        <v>1850</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row>
    <row r="29" spans="1:73" ht="15.75" customHeight="1" x14ac:dyDescent="0.2">
      <c r="A29" s="3">
        <f t="shared" si="0"/>
        <v>2027</v>
      </c>
      <c r="B29" s="3" t="s">
        <v>1473</v>
      </c>
      <c r="C29" s="3" t="s">
        <v>1458</v>
      </c>
      <c r="D29" s="27" t="s">
        <v>1457</v>
      </c>
      <c r="E29" s="5" t="s">
        <v>1459</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1994</v>
      </c>
      <c r="AO29" s="3" t="s">
        <v>1850</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row>
    <row r="30" spans="1:73" ht="15.75" customHeight="1" x14ac:dyDescent="0.2">
      <c r="A30" s="3">
        <f t="shared" si="0"/>
        <v>2028</v>
      </c>
      <c r="B30" s="3" t="s">
        <v>390</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1994</v>
      </c>
      <c r="AO30" s="3" t="s">
        <v>1851</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3624</v>
      </c>
      <c r="BQ30">
        <v>5</v>
      </c>
      <c r="BR30" s="6" t="s">
        <v>50</v>
      </c>
      <c r="BS30">
        <v>0</v>
      </c>
      <c r="BT30" s="6" t="s">
        <v>50</v>
      </c>
      <c r="BU30">
        <v>0</v>
      </c>
    </row>
    <row r="31" spans="1:73" ht="15.75" customHeight="1" x14ac:dyDescent="0.2">
      <c r="A31" s="3">
        <f t="shared" si="0"/>
        <v>2029</v>
      </c>
      <c r="B31" s="3" t="s">
        <v>1824</v>
      </c>
      <c r="C31" s="3" t="s">
        <v>1824</v>
      </c>
      <c r="D31" s="27" t="s">
        <v>1846</v>
      </c>
      <c r="E31" s="5" t="s">
        <v>1825</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1994</v>
      </c>
      <c r="AO31" s="3" t="s">
        <v>1850</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3624</v>
      </c>
      <c r="BQ31">
        <v>5</v>
      </c>
      <c r="BR31" s="6" t="s">
        <v>50</v>
      </c>
      <c r="BS31">
        <v>0</v>
      </c>
      <c r="BT31" s="6" t="s">
        <v>50</v>
      </c>
      <c r="BU31">
        <v>0</v>
      </c>
    </row>
    <row r="32" spans="1:73" ht="15.75" customHeight="1" x14ac:dyDescent="0.2">
      <c r="A32" s="3">
        <f t="shared" si="0"/>
        <v>2030</v>
      </c>
      <c r="B32" s="3" t="s">
        <v>1847</v>
      </c>
      <c r="C32" s="3" t="s">
        <v>1831</v>
      </c>
      <c r="D32" s="27" t="s">
        <v>1830</v>
      </c>
      <c r="E32" s="5" t="s">
        <v>1832</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1994</v>
      </c>
      <c r="AO32" s="3" t="s">
        <v>1850</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3624</v>
      </c>
      <c r="BQ32">
        <v>3</v>
      </c>
      <c r="BR32" s="6" t="s">
        <v>50</v>
      </c>
      <c r="BS32">
        <v>0</v>
      </c>
      <c r="BT32" s="6" t="s">
        <v>50</v>
      </c>
      <c r="BU32">
        <v>0</v>
      </c>
    </row>
    <row r="33" spans="1:73" s="9" customFormat="1" ht="15.75" customHeight="1" x14ac:dyDescent="0.2">
      <c r="A33" s="7">
        <f t="shared" si="0"/>
        <v>2031</v>
      </c>
      <c r="B33" s="7" t="s">
        <v>390</v>
      </c>
      <c r="C33" s="7" t="s">
        <v>1839</v>
      </c>
      <c r="D33" s="28" t="s">
        <v>1838</v>
      </c>
      <c r="E33" s="8" t="s">
        <v>1840</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1994</v>
      </c>
      <c r="AO33" s="7" t="s">
        <v>1850</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c r="BP33" s="10" t="s">
        <v>50</v>
      </c>
      <c r="BQ33" s="9">
        <v>0</v>
      </c>
      <c r="BR33" s="10" t="s">
        <v>50</v>
      </c>
      <c r="BS33" s="9">
        <v>0</v>
      </c>
      <c r="BT33" s="10" t="s">
        <v>50</v>
      </c>
      <c r="BU33" s="9">
        <v>0</v>
      </c>
    </row>
    <row r="34" spans="1:73"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10</v>
      </c>
      <c r="AG34" s="3">
        <v>0</v>
      </c>
      <c r="AH34" s="3">
        <v>0</v>
      </c>
      <c r="AI34" s="3">
        <v>0</v>
      </c>
      <c r="AJ34" s="3">
        <v>0</v>
      </c>
      <c r="AK34" s="3">
        <v>30</v>
      </c>
      <c r="AL34" s="3" t="s">
        <v>31</v>
      </c>
      <c r="AM34" s="3" t="s">
        <v>90</v>
      </c>
      <c r="AN34" s="3" t="s">
        <v>1994</v>
      </c>
      <c r="AO34" s="3" t="s">
        <v>1850</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3624</v>
      </c>
      <c r="BQ34">
        <v>5</v>
      </c>
      <c r="BR34" s="6" t="s">
        <v>50</v>
      </c>
      <c r="BS34">
        <v>0</v>
      </c>
      <c r="BT34" s="6" t="s">
        <v>50</v>
      </c>
      <c r="BU34">
        <v>0</v>
      </c>
    </row>
    <row r="35" spans="1:73" ht="15.75" customHeight="1" x14ac:dyDescent="0.2">
      <c r="A35" s="3">
        <f t="shared" si="0"/>
        <v>2033</v>
      </c>
      <c r="B35" s="3" t="s">
        <v>359</v>
      </c>
      <c r="C35" s="3" t="s">
        <v>299</v>
      </c>
      <c r="D35" s="27"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1994</v>
      </c>
      <c r="AO35" s="3" t="s">
        <v>1850</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3624</v>
      </c>
      <c r="BQ35">
        <v>5</v>
      </c>
      <c r="BR35" s="6" t="s">
        <v>50</v>
      </c>
      <c r="BS35">
        <v>0</v>
      </c>
      <c r="BT35" s="6" t="s">
        <v>50</v>
      </c>
      <c r="BU35">
        <v>0</v>
      </c>
    </row>
    <row r="36" spans="1:73" ht="15.75" customHeight="1" x14ac:dyDescent="0.2">
      <c r="A36" s="3">
        <f t="shared" si="0"/>
        <v>2034</v>
      </c>
      <c r="B36" s="3" t="s">
        <v>413</v>
      </c>
      <c r="C36" s="3" t="s">
        <v>413</v>
      </c>
      <c r="D36" s="27" t="s">
        <v>414</v>
      </c>
      <c r="E36" s="5" t="s">
        <v>913</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1994</v>
      </c>
      <c r="AO36" s="3" t="s">
        <v>1850</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row>
    <row r="37" spans="1:73" ht="15.75" customHeight="1" x14ac:dyDescent="0.2">
      <c r="A37" s="3">
        <f t="shared" si="0"/>
        <v>2035</v>
      </c>
      <c r="B37" s="3" t="s">
        <v>3078</v>
      </c>
      <c r="C37" s="3" t="s">
        <v>2371</v>
      </c>
      <c r="D37" s="27" t="s">
        <v>2370</v>
      </c>
      <c r="E37" s="5" t="s">
        <v>2372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1994</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row>
    <row r="38" spans="1:73" ht="15.75" customHeight="1" x14ac:dyDescent="0.2">
      <c r="A38" s="3">
        <f t="shared" si="0"/>
        <v>2036</v>
      </c>
      <c r="B38" s="3" t="s">
        <v>1540</v>
      </c>
      <c r="C38" s="3" t="s">
        <v>1525</v>
      </c>
      <c r="D38" s="27" t="s">
        <v>1526</v>
      </c>
      <c r="E38" s="5" t="s">
        <v>1530</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1994</v>
      </c>
      <c r="AO38" s="3" t="s">
        <v>1850</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50</v>
      </c>
      <c r="BS38">
        <v>0</v>
      </c>
      <c r="BT38" s="6" t="s">
        <v>50</v>
      </c>
      <c r="BU38">
        <v>0</v>
      </c>
    </row>
    <row r="39" spans="1:73" ht="15.75" customHeight="1" x14ac:dyDescent="0.2">
      <c r="A39" s="3">
        <f t="shared" si="0"/>
        <v>2037</v>
      </c>
      <c r="B39" s="3" t="s">
        <v>1539</v>
      </c>
      <c r="C39" s="3" t="s">
        <v>1527</v>
      </c>
      <c r="D39" s="27" t="s">
        <v>1528</v>
      </c>
      <c r="E39" s="5" t="s">
        <v>1529</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1994</v>
      </c>
      <c r="AO39" s="3" t="s">
        <v>1850</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50</v>
      </c>
      <c r="BS39">
        <v>0</v>
      </c>
      <c r="BT39" s="6" t="s">
        <v>50</v>
      </c>
      <c r="BU39">
        <v>0</v>
      </c>
    </row>
    <row r="40" spans="1:73" ht="15.75" customHeight="1" x14ac:dyDescent="0.2">
      <c r="A40" s="3">
        <f t="shared" si="0"/>
        <v>2038</v>
      </c>
      <c r="B40" s="3" t="s">
        <v>84</v>
      </c>
      <c r="C40" s="3" t="s">
        <v>2225</v>
      </c>
      <c r="D40" s="27" t="s">
        <v>2226</v>
      </c>
      <c r="E40" s="5" t="s">
        <v>2254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0</v>
      </c>
      <c r="AH40" s="3">
        <v>0</v>
      </c>
      <c r="AI40" s="3">
        <v>0</v>
      </c>
      <c r="AJ40" s="3">
        <v>0</v>
      </c>
      <c r="AK40" s="3">
        <v>30</v>
      </c>
      <c r="AL40" s="3" t="s">
        <v>157</v>
      </c>
      <c r="AM40" s="3" t="s">
        <v>32</v>
      </c>
      <c r="AN40" s="3" t="s">
        <v>2272</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50</v>
      </c>
      <c r="BS40">
        <v>0</v>
      </c>
      <c r="BT40" s="6" t="s">
        <v>50</v>
      </c>
      <c r="BU40">
        <v>0</v>
      </c>
    </row>
    <row r="41" spans="1:73" ht="15.75" customHeight="1" x14ac:dyDescent="0.2">
      <c r="A41" s="3">
        <f t="shared" si="0"/>
        <v>2039</v>
      </c>
      <c r="B41" s="3" t="s">
        <v>2219</v>
      </c>
      <c r="C41" s="3" t="s">
        <v>2219</v>
      </c>
      <c r="D41" s="27" t="s">
        <v>2220</v>
      </c>
      <c r="E41" s="5" t="s">
        <v>2253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0</v>
      </c>
      <c r="AH41" s="3">
        <v>0</v>
      </c>
      <c r="AI41" s="3">
        <v>0</v>
      </c>
      <c r="AJ41" s="3">
        <v>0</v>
      </c>
      <c r="AK41" s="3">
        <v>30</v>
      </c>
      <c r="AL41" s="3" t="s">
        <v>31</v>
      </c>
      <c r="AM41" s="3" t="s">
        <v>32</v>
      </c>
      <c r="AN41" s="3" t="s">
        <v>2272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3624</v>
      </c>
      <c r="BQ41">
        <v>10</v>
      </c>
      <c r="BR41" s="6" t="s">
        <v>50</v>
      </c>
      <c r="BS41">
        <v>0</v>
      </c>
      <c r="BT41" s="6" t="s">
        <v>50</v>
      </c>
      <c r="BU41">
        <v>0</v>
      </c>
    </row>
    <row r="42" spans="1:73" ht="15.75" customHeight="1" x14ac:dyDescent="0.2">
      <c r="A42" s="3">
        <f t="shared" si="0"/>
        <v>2040</v>
      </c>
      <c r="B42" s="3" t="s">
        <v>2222</v>
      </c>
      <c r="C42" s="3" t="s">
        <v>2222</v>
      </c>
      <c r="D42" s="27" t="s">
        <v>3079</v>
      </c>
      <c r="E42" s="5" t="s">
        <v>2251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0</v>
      </c>
      <c r="AH42" s="3">
        <v>0</v>
      </c>
      <c r="AI42" s="3">
        <v>0</v>
      </c>
      <c r="AJ42" s="3">
        <v>0</v>
      </c>
      <c r="AK42" s="3">
        <v>30</v>
      </c>
      <c r="AL42" s="3" t="s">
        <v>31</v>
      </c>
      <c r="AM42" s="3" t="s">
        <v>32</v>
      </c>
      <c r="AN42" s="3" t="s">
        <v>2272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3624</v>
      </c>
      <c r="BQ42">
        <v>10</v>
      </c>
      <c r="BR42" s="6" t="s">
        <v>50</v>
      </c>
      <c r="BS42">
        <v>0</v>
      </c>
      <c r="BT42" s="6" t="s">
        <v>50</v>
      </c>
      <c r="BU42">
        <v>0</v>
      </c>
    </row>
    <row r="43" spans="1:73" ht="15.75" customHeight="1" x14ac:dyDescent="0.2">
      <c r="A43" s="3">
        <f t="shared" si="0"/>
        <v>2041</v>
      </c>
      <c r="B43" s="3" t="s">
        <v>2224</v>
      </c>
      <c r="C43" s="3" t="s">
        <v>2224</v>
      </c>
      <c r="D43" s="27" t="s">
        <v>2223</v>
      </c>
      <c r="E43" s="5" t="s">
        <v>2252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0</v>
      </c>
      <c r="AH43" s="3">
        <v>0</v>
      </c>
      <c r="AI43" s="3">
        <v>0</v>
      </c>
      <c r="AJ43" s="3">
        <v>0</v>
      </c>
      <c r="AK43" s="3">
        <v>30</v>
      </c>
      <c r="AL43" s="3" t="s">
        <v>31</v>
      </c>
      <c r="AM43" s="3" t="s">
        <v>32</v>
      </c>
      <c r="AN43" s="3" t="s">
        <v>2272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3624</v>
      </c>
      <c r="BQ43">
        <v>10</v>
      </c>
      <c r="BR43" s="6" t="s">
        <v>50</v>
      </c>
      <c r="BS43">
        <v>0</v>
      </c>
      <c r="BT43" s="6" t="s">
        <v>50</v>
      </c>
      <c r="BU43">
        <v>0</v>
      </c>
    </row>
    <row r="44" spans="1:73" ht="15.75" customHeight="1" x14ac:dyDescent="0.2">
      <c r="A44" s="3">
        <f t="shared" si="0"/>
        <v>2042</v>
      </c>
      <c r="B44" s="3" t="s">
        <v>1540</v>
      </c>
      <c r="C44" s="3" t="s">
        <v>2227</v>
      </c>
      <c r="D44" s="27" t="s">
        <v>2228</v>
      </c>
      <c r="E44" s="5" t="s">
        <v>2229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0</v>
      </c>
      <c r="AF44" s="3">
        <v>10</v>
      </c>
      <c r="AG44" s="3">
        <v>0</v>
      </c>
      <c r="AH44" s="3">
        <v>0</v>
      </c>
      <c r="AI44" s="3">
        <v>0</v>
      </c>
      <c r="AJ44" s="3">
        <v>0</v>
      </c>
      <c r="AK44" s="3">
        <v>30</v>
      </c>
      <c r="AL44" s="3" t="s">
        <v>31</v>
      </c>
      <c r="AM44" s="3" t="s">
        <v>32</v>
      </c>
      <c r="AN44" s="3" t="s">
        <v>2272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3624</v>
      </c>
      <c r="BQ44">
        <v>10</v>
      </c>
      <c r="BR44" s="6" t="s">
        <v>50</v>
      </c>
      <c r="BS44">
        <v>0</v>
      </c>
      <c r="BT44" s="6" t="s">
        <v>50</v>
      </c>
      <c r="BU44">
        <v>0</v>
      </c>
    </row>
    <row r="45" spans="1:73" ht="15.75" customHeight="1" x14ac:dyDescent="0.2">
      <c r="A45" s="3">
        <f t="shared" si="0"/>
        <v>2043</v>
      </c>
      <c r="B45" s="3" t="s">
        <v>1539</v>
      </c>
      <c r="C45" s="3" t="s">
        <v>2249</v>
      </c>
      <c r="D45" s="27" t="s">
        <v>2230</v>
      </c>
      <c r="E45" s="5" t="s">
        <v>2255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0</v>
      </c>
      <c r="AF45" s="3">
        <v>10</v>
      </c>
      <c r="AG45" s="3">
        <v>0</v>
      </c>
      <c r="AH45" s="3">
        <v>0</v>
      </c>
      <c r="AI45" s="3">
        <v>0</v>
      </c>
      <c r="AJ45" s="3">
        <v>0</v>
      </c>
      <c r="AK45" s="3">
        <v>30</v>
      </c>
      <c r="AL45" s="3" t="s">
        <v>31</v>
      </c>
      <c r="AM45" s="3" t="s">
        <v>1425</v>
      </c>
      <c r="AN45" s="3" t="s">
        <v>2273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3624</v>
      </c>
      <c r="BQ45">
        <v>10</v>
      </c>
      <c r="BR45" s="6" t="s">
        <v>50</v>
      </c>
      <c r="BS45">
        <v>0</v>
      </c>
      <c r="BT45" s="6" t="s">
        <v>50</v>
      </c>
      <c r="BU45">
        <v>0</v>
      </c>
    </row>
    <row r="46" spans="1:73" ht="15.75" customHeight="1" x14ac:dyDescent="0.2">
      <c r="A46" s="3">
        <f t="shared" si="0"/>
        <v>2044</v>
      </c>
      <c r="B46" s="3" t="s">
        <v>3046</v>
      </c>
      <c r="C46" s="3" t="s">
        <v>3046</v>
      </c>
      <c r="D46" s="27" t="s">
        <v>3080</v>
      </c>
      <c r="E46" s="5" t="s">
        <v>3047</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0</v>
      </c>
      <c r="AH46" s="3">
        <v>0</v>
      </c>
      <c r="AI46" s="3">
        <v>0</v>
      </c>
      <c r="AJ46" s="3">
        <v>0</v>
      </c>
      <c r="AK46" s="3">
        <v>30</v>
      </c>
      <c r="AL46" s="3" t="s">
        <v>31</v>
      </c>
      <c r="AM46" s="3" t="s">
        <v>32</v>
      </c>
      <c r="AN46" s="3" t="s">
        <v>2272</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3624</v>
      </c>
      <c r="BQ46">
        <v>10</v>
      </c>
      <c r="BR46" s="6" t="s">
        <v>50</v>
      </c>
      <c r="BS46">
        <v>0</v>
      </c>
      <c r="BT46" s="6" t="s">
        <v>50</v>
      </c>
      <c r="BU46">
        <v>0</v>
      </c>
    </row>
    <row r="47" spans="1:73" ht="15.75" customHeight="1" x14ac:dyDescent="0.2">
      <c r="A47" s="3">
        <f t="shared" si="0"/>
        <v>2045</v>
      </c>
      <c r="B47" s="3" t="s">
        <v>3081</v>
      </c>
      <c r="C47" s="3" t="s">
        <v>3049</v>
      </c>
      <c r="D47" s="27" t="s">
        <v>3048</v>
      </c>
      <c r="E47" s="5" t="s">
        <v>3050</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0</v>
      </c>
      <c r="AH47" s="3">
        <v>0</v>
      </c>
      <c r="AI47" s="3">
        <v>0</v>
      </c>
      <c r="AJ47" s="3">
        <v>0</v>
      </c>
      <c r="AK47" s="3">
        <v>30</v>
      </c>
      <c r="AL47" s="3" t="s">
        <v>31</v>
      </c>
      <c r="AM47" s="3" t="s">
        <v>32</v>
      </c>
      <c r="AN47" s="3" t="s">
        <v>2272</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3624</v>
      </c>
      <c r="BQ47">
        <v>10</v>
      </c>
      <c r="BR47" s="6" t="s">
        <v>50</v>
      </c>
      <c r="BS47">
        <v>0</v>
      </c>
      <c r="BT47" s="6" t="s">
        <v>50</v>
      </c>
      <c r="BU47">
        <v>0</v>
      </c>
    </row>
    <row r="48" spans="1:73" ht="15.75" customHeight="1" x14ac:dyDescent="0.2">
      <c r="A48" s="3">
        <f t="shared" si="0"/>
        <v>2046</v>
      </c>
      <c r="B48" s="3" t="s">
        <v>3095</v>
      </c>
      <c r="C48" s="3" t="s">
        <v>3052</v>
      </c>
      <c r="D48" s="27" t="s">
        <v>3051</v>
      </c>
      <c r="E48" s="5" t="s">
        <v>3053</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0</v>
      </c>
      <c r="AH48" s="3">
        <v>0</v>
      </c>
      <c r="AI48" s="3">
        <v>0</v>
      </c>
      <c r="AJ48" s="3">
        <v>0</v>
      </c>
      <c r="AK48" s="3">
        <v>30</v>
      </c>
      <c r="AL48" s="3" t="s">
        <v>31</v>
      </c>
      <c r="AM48" s="3" t="s">
        <v>32</v>
      </c>
      <c r="AN48" s="3" t="s">
        <v>2272</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3624</v>
      </c>
      <c r="BQ48">
        <v>10</v>
      </c>
      <c r="BR48" s="6" t="s">
        <v>50</v>
      </c>
      <c r="BS48">
        <v>0</v>
      </c>
      <c r="BT48" s="6" t="s">
        <v>50</v>
      </c>
      <c r="BU48">
        <v>0</v>
      </c>
    </row>
    <row r="49" spans="1:73" ht="15.75" customHeight="1" x14ac:dyDescent="0.2">
      <c r="A49" s="3">
        <f t="shared" si="0"/>
        <v>2047</v>
      </c>
      <c r="B49" s="3" t="s">
        <v>3096</v>
      </c>
      <c r="C49" s="3" t="s">
        <v>3055</v>
      </c>
      <c r="D49" s="27" t="s">
        <v>3054</v>
      </c>
      <c r="E49" s="5" t="s">
        <v>3056</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0</v>
      </c>
      <c r="AH49" s="3">
        <v>0</v>
      </c>
      <c r="AI49" s="3">
        <v>0</v>
      </c>
      <c r="AJ49" s="3">
        <v>0</v>
      </c>
      <c r="AK49" s="3">
        <v>30</v>
      </c>
      <c r="AL49" s="3" t="s">
        <v>31</v>
      </c>
      <c r="AM49" s="3" t="s">
        <v>32</v>
      </c>
      <c r="AN49" s="3" t="s">
        <v>2272</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3624</v>
      </c>
      <c r="BQ49">
        <v>10</v>
      </c>
      <c r="BR49" s="6" t="s">
        <v>50</v>
      </c>
      <c r="BS49">
        <v>0</v>
      </c>
      <c r="BT49" s="6" t="s">
        <v>50</v>
      </c>
      <c r="BU49">
        <v>0</v>
      </c>
    </row>
    <row r="50" spans="1:73" ht="15.75" customHeight="1" x14ac:dyDescent="0.2">
      <c r="A50" s="3">
        <f t="shared" si="0"/>
        <v>2048</v>
      </c>
      <c r="B50" s="3" t="s">
        <v>3097</v>
      </c>
      <c r="C50" s="3" t="s">
        <v>3058</v>
      </c>
      <c r="D50" s="27" t="s">
        <v>3057</v>
      </c>
      <c r="E50" s="5" t="s">
        <v>3059</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0</v>
      </c>
      <c r="AH50" s="3">
        <v>0</v>
      </c>
      <c r="AI50" s="3">
        <v>0</v>
      </c>
      <c r="AJ50" s="3">
        <v>0</v>
      </c>
      <c r="AK50" s="3">
        <v>30</v>
      </c>
      <c r="AL50" s="3" t="s">
        <v>31</v>
      </c>
      <c r="AM50" s="3" t="s">
        <v>32</v>
      </c>
      <c r="AN50" s="3" t="s">
        <v>2272</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3624</v>
      </c>
      <c r="BQ50">
        <v>10</v>
      </c>
      <c r="BR50" s="6" t="s">
        <v>50</v>
      </c>
      <c r="BS50">
        <v>0</v>
      </c>
      <c r="BT50" s="6" t="s">
        <v>50</v>
      </c>
      <c r="BU50">
        <v>0</v>
      </c>
    </row>
    <row r="51" spans="1:73" s="9" customFormat="1" ht="15.75" customHeight="1" x14ac:dyDescent="0.2">
      <c r="A51" s="7">
        <f t="shared" si="0"/>
        <v>2049</v>
      </c>
      <c r="B51" s="7" t="s">
        <v>88</v>
      </c>
      <c r="C51" s="7" t="s">
        <v>88</v>
      </c>
      <c r="D51" s="11" t="s">
        <v>89</v>
      </c>
      <c r="E51" s="11" t="s">
        <v>1004</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1994</v>
      </c>
      <c r="AO51" s="7" t="s">
        <v>1850</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row>
    <row r="52" spans="1:73" ht="15.75" customHeight="1" x14ac:dyDescent="0.2">
      <c r="A52" s="3">
        <f t="shared" si="0"/>
        <v>2050</v>
      </c>
      <c r="B52" s="3" t="s">
        <v>2771</v>
      </c>
      <c r="C52" s="3" t="s">
        <v>2771</v>
      </c>
      <c r="D52" s="27" t="s">
        <v>2770</v>
      </c>
      <c r="E52" s="5" t="s">
        <v>2772</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0</v>
      </c>
      <c r="AI52" s="3">
        <v>0</v>
      </c>
      <c r="AJ52" s="3">
        <v>0</v>
      </c>
      <c r="AK52" s="3">
        <v>30</v>
      </c>
      <c r="AL52" s="3" t="s">
        <v>157</v>
      </c>
      <c r="AM52" s="3" t="s">
        <v>2773</v>
      </c>
      <c r="AN52" s="3" t="s">
        <v>1994</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row>
    <row r="53" spans="1:73" ht="15.75" customHeight="1" x14ac:dyDescent="0.2">
      <c r="A53" s="3">
        <f t="shared" si="0"/>
        <v>2051</v>
      </c>
      <c r="B53" s="3" t="s">
        <v>2793</v>
      </c>
      <c r="C53" s="3" t="s">
        <v>2793</v>
      </c>
      <c r="D53" s="4" t="s">
        <v>2743</v>
      </c>
      <c r="E53" s="4" t="s">
        <v>2744</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1994</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row>
    <row r="54" spans="1:73" ht="15.75" customHeight="1" x14ac:dyDescent="0.2">
      <c r="A54" s="3">
        <f t="shared" si="0"/>
        <v>2052</v>
      </c>
      <c r="B54" s="3" t="s">
        <v>2794</v>
      </c>
      <c r="C54" s="3" t="s">
        <v>2794</v>
      </c>
      <c r="D54" s="4" t="s">
        <v>2792</v>
      </c>
      <c r="E54" s="4" t="s">
        <v>2795</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2773</v>
      </c>
      <c r="AN54" s="3" t="s">
        <v>1994</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row>
    <row r="55" spans="1:73" ht="15.75" customHeight="1" x14ac:dyDescent="0.2">
      <c r="A55" s="3">
        <f t="shared" si="0"/>
        <v>2053</v>
      </c>
      <c r="B55" s="3" t="s">
        <v>2910</v>
      </c>
      <c r="C55" s="3" t="s">
        <v>2910</v>
      </c>
      <c r="D55" s="4" t="s">
        <v>2907</v>
      </c>
      <c r="E55" s="4" t="s">
        <v>2908</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2773</v>
      </c>
      <c r="AN55" s="3" t="s">
        <v>2919</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row>
    <row r="56" spans="1:73" ht="15.75" customHeight="1" x14ac:dyDescent="0.2">
      <c r="A56" s="3">
        <f t="shared" si="0"/>
        <v>2054</v>
      </c>
      <c r="B56" s="3" t="s">
        <v>2909</v>
      </c>
      <c r="C56" s="3" t="s">
        <v>2909</v>
      </c>
      <c r="D56" s="4" t="s">
        <v>2920</v>
      </c>
      <c r="E56" s="4" t="s">
        <v>2911</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2773</v>
      </c>
      <c r="AN56" s="3" t="s">
        <v>2919</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row>
    <row r="57" spans="1:73" ht="15.75" customHeight="1" x14ac:dyDescent="0.2">
      <c r="A57" s="3">
        <f t="shared" si="0"/>
        <v>2055</v>
      </c>
      <c r="B57" s="3" t="s">
        <v>2913</v>
      </c>
      <c r="C57" s="3" t="s">
        <v>2913</v>
      </c>
      <c r="D57" s="4" t="s">
        <v>2912</v>
      </c>
      <c r="E57" s="4" t="s">
        <v>3359</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2773</v>
      </c>
      <c r="AN57" s="3" t="s">
        <v>2919</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row>
    <row r="58" spans="1:73" ht="15.75" customHeight="1" x14ac:dyDescent="0.2">
      <c r="A58" s="3">
        <f t="shared" si="0"/>
        <v>2056</v>
      </c>
      <c r="B58" s="3" t="s">
        <v>250</v>
      </c>
      <c r="C58" s="3" t="s">
        <v>250</v>
      </c>
      <c r="D58" s="4" t="s">
        <v>193</v>
      </c>
      <c r="E58" s="4" t="s">
        <v>2754</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2924</v>
      </c>
      <c r="AO58" s="3" t="s">
        <v>1850</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3624</v>
      </c>
      <c r="BQ58">
        <v>50</v>
      </c>
      <c r="BR58" s="6" t="s">
        <v>50</v>
      </c>
      <c r="BS58">
        <v>0</v>
      </c>
      <c r="BT58" s="6" t="s">
        <v>50</v>
      </c>
      <c r="BU58">
        <v>0</v>
      </c>
    </row>
    <row r="59" spans="1:73" s="37" customFormat="1" ht="15.75" customHeight="1" x14ac:dyDescent="0.2">
      <c r="A59" s="34">
        <f t="shared" si="0"/>
        <v>2057</v>
      </c>
      <c r="B59" s="34" t="s">
        <v>3086</v>
      </c>
      <c r="C59" s="34" t="s">
        <v>3086</v>
      </c>
      <c r="D59" s="36" t="s">
        <v>3087</v>
      </c>
      <c r="E59" s="36" t="s">
        <v>3085</v>
      </c>
      <c r="F59" s="34">
        <v>0</v>
      </c>
      <c r="G59" s="34">
        <v>300</v>
      </c>
      <c r="H59" s="34">
        <v>0</v>
      </c>
      <c r="I59" s="34">
        <v>50</v>
      </c>
      <c r="J59" s="34">
        <v>0</v>
      </c>
      <c r="K59" s="34">
        <v>1</v>
      </c>
      <c r="L59" s="34">
        <v>0</v>
      </c>
      <c r="M59" s="34">
        <v>0</v>
      </c>
      <c r="N59" s="34">
        <v>0</v>
      </c>
      <c r="O59" s="34">
        <v>0</v>
      </c>
      <c r="P59" s="34">
        <v>0</v>
      </c>
      <c r="Q59" s="34">
        <v>0</v>
      </c>
      <c r="R59" s="34">
        <v>0</v>
      </c>
      <c r="S59" s="34">
        <v>0</v>
      </c>
      <c r="T59" s="34">
        <v>0</v>
      </c>
      <c r="U59" s="34">
        <v>0</v>
      </c>
      <c r="V59" s="34">
        <v>0</v>
      </c>
      <c r="W59" s="34">
        <v>0</v>
      </c>
      <c r="X59" s="34">
        <v>0</v>
      </c>
      <c r="Y59" s="34">
        <v>80</v>
      </c>
      <c r="Z59" s="34">
        <v>0</v>
      </c>
      <c r="AA59" s="34">
        <v>0</v>
      </c>
      <c r="AB59" s="34">
        <v>0</v>
      </c>
      <c r="AC59" s="34">
        <v>0</v>
      </c>
      <c r="AD59" s="34">
        <v>0</v>
      </c>
      <c r="AE59" s="34">
        <v>-50</v>
      </c>
      <c r="AF59" s="34">
        <v>30</v>
      </c>
      <c r="AG59" s="34">
        <v>70</v>
      </c>
      <c r="AH59" s="34">
        <v>40</v>
      </c>
      <c r="AI59" s="34">
        <v>0</v>
      </c>
      <c r="AJ59" s="34">
        <v>0</v>
      </c>
      <c r="AK59" s="34">
        <v>0</v>
      </c>
      <c r="AL59" s="34" t="s">
        <v>31</v>
      </c>
      <c r="AM59" s="34" t="s">
        <v>90</v>
      </c>
      <c r="AN59" s="34" t="s">
        <v>2924</v>
      </c>
      <c r="AO59" s="34" t="s">
        <v>50</v>
      </c>
      <c r="AP59" s="34">
        <v>60</v>
      </c>
      <c r="AQ59" s="34">
        <v>2.5</v>
      </c>
      <c r="AR59" s="37">
        <v>5000</v>
      </c>
      <c r="AS59" s="37">
        <v>10</v>
      </c>
      <c r="AT59" s="38" t="s">
        <v>50</v>
      </c>
      <c r="AU59" s="38" t="s">
        <v>50</v>
      </c>
      <c r="AV59" s="38" t="s">
        <v>50</v>
      </c>
      <c r="AW59" s="38" t="s">
        <v>50</v>
      </c>
      <c r="AX59" s="38" t="s">
        <v>50</v>
      </c>
      <c r="AY59" s="38" t="s">
        <v>50</v>
      </c>
      <c r="AZ59" s="38" t="s">
        <v>50</v>
      </c>
      <c r="BA59" s="38" t="s">
        <v>50</v>
      </c>
      <c r="BB59" s="38" t="s">
        <v>50</v>
      </c>
      <c r="BC59" s="38" t="s">
        <v>50</v>
      </c>
      <c r="BD59" s="38" t="s">
        <v>50</v>
      </c>
      <c r="BE59" s="38" t="s">
        <v>50</v>
      </c>
      <c r="BF59" s="38" t="s">
        <v>50</v>
      </c>
      <c r="BG59" s="38" t="s">
        <v>50</v>
      </c>
      <c r="BH59" s="38" t="s">
        <v>50</v>
      </c>
      <c r="BI59" s="37">
        <v>1</v>
      </c>
      <c r="BJ59" s="37">
        <v>755</v>
      </c>
      <c r="BK59" s="37">
        <v>4</v>
      </c>
      <c r="BL59" s="37">
        <v>30</v>
      </c>
      <c r="BM59" s="37">
        <v>1</v>
      </c>
      <c r="BN59" s="37">
        <v>0</v>
      </c>
      <c r="BO59" s="37">
        <v>1</v>
      </c>
      <c r="BP59" s="38" t="s">
        <v>3624</v>
      </c>
      <c r="BQ59" s="37">
        <v>70</v>
      </c>
      <c r="BR59" s="38" t="s">
        <v>50</v>
      </c>
      <c r="BS59" s="37">
        <v>0</v>
      </c>
      <c r="BT59" s="38" t="s">
        <v>50</v>
      </c>
      <c r="BU59" s="37">
        <v>0</v>
      </c>
    </row>
    <row r="60" spans="1:73" s="9" customFormat="1" ht="15.75" customHeight="1" x14ac:dyDescent="0.2">
      <c r="A60" s="7">
        <f t="shared" si="0"/>
        <v>2058</v>
      </c>
      <c r="B60" s="7" t="s">
        <v>250</v>
      </c>
      <c r="C60" s="7" t="s">
        <v>3088</v>
      </c>
      <c r="D60" s="11" t="s">
        <v>3037</v>
      </c>
      <c r="E60" s="11" t="s">
        <v>3089</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2924</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row>
    <row r="61" spans="1:73" s="9" customFormat="1" ht="15.75" customHeight="1" x14ac:dyDescent="0.2">
      <c r="A61" s="7">
        <f t="shared" si="0"/>
        <v>2059</v>
      </c>
      <c r="B61" s="7" t="s">
        <v>250</v>
      </c>
      <c r="C61" s="7" t="s">
        <v>3036</v>
      </c>
      <c r="D61" s="11" t="s">
        <v>3533</v>
      </c>
      <c r="E61" s="11" t="s">
        <v>3534</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2924</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row>
    <row r="62" spans="1:73" ht="15.75" customHeight="1" x14ac:dyDescent="0.2">
      <c r="A62" s="3">
        <f t="shared" si="0"/>
        <v>2060</v>
      </c>
      <c r="B62" s="3" t="s">
        <v>3098</v>
      </c>
      <c r="C62" s="3" t="s">
        <v>1910</v>
      </c>
      <c r="D62" s="27" t="s">
        <v>1911</v>
      </c>
      <c r="E62" s="5" t="s">
        <v>1912</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40</v>
      </c>
      <c r="Z62" s="3">
        <v>0</v>
      </c>
      <c r="AA62" s="3">
        <v>0</v>
      </c>
      <c r="AB62" s="3">
        <v>0</v>
      </c>
      <c r="AC62" s="3">
        <v>0</v>
      </c>
      <c r="AD62" s="3">
        <v>0</v>
      </c>
      <c r="AE62" s="3">
        <v>-30</v>
      </c>
      <c r="AF62" s="3">
        <v>20</v>
      </c>
      <c r="AG62" s="3">
        <v>0</v>
      </c>
      <c r="AH62" s="3">
        <v>20</v>
      </c>
      <c r="AI62" s="3">
        <v>0</v>
      </c>
      <c r="AJ62" s="3">
        <v>0</v>
      </c>
      <c r="AK62" s="3">
        <v>0</v>
      </c>
      <c r="AL62" s="3" t="s">
        <v>157</v>
      </c>
      <c r="AM62" s="3" t="s">
        <v>90</v>
      </c>
      <c r="AN62" s="3" t="s">
        <v>1994</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row>
    <row r="63" spans="1:73" s="23" customFormat="1" ht="15.75" customHeight="1" x14ac:dyDescent="0.2">
      <c r="A63" s="21">
        <f t="shared" si="0"/>
        <v>2061</v>
      </c>
      <c r="B63" s="21" t="s">
        <v>305</v>
      </c>
      <c r="C63" s="21" t="s">
        <v>2335</v>
      </c>
      <c r="D63" s="22" t="s">
        <v>2336</v>
      </c>
      <c r="E63" s="22" t="s">
        <v>2282</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1852</v>
      </c>
      <c r="AN63" s="21" t="s">
        <v>2012</v>
      </c>
      <c r="AO63" s="21" t="s">
        <v>50</v>
      </c>
      <c r="AP63" s="21">
        <v>30</v>
      </c>
      <c r="AQ63" s="21">
        <v>20</v>
      </c>
      <c r="AR63" s="23">
        <v>1500</v>
      </c>
      <c r="AS63" s="23">
        <v>10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c r="BP63" s="24" t="s">
        <v>50</v>
      </c>
      <c r="BQ63" s="23">
        <v>0</v>
      </c>
      <c r="BR63" s="24" t="s">
        <v>50</v>
      </c>
      <c r="BS63" s="23">
        <v>0</v>
      </c>
      <c r="BT63" s="24" t="s">
        <v>50</v>
      </c>
      <c r="BU63" s="23">
        <v>0</v>
      </c>
    </row>
    <row r="64" spans="1:73" ht="15.75" customHeight="1" x14ac:dyDescent="0.2">
      <c r="A64" s="3">
        <f t="shared" si="0"/>
        <v>2062</v>
      </c>
      <c r="B64" s="3" t="s">
        <v>371</v>
      </c>
      <c r="C64" s="3" t="s">
        <v>371</v>
      </c>
      <c r="D64" s="27"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568</v>
      </c>
      <c r="AN64" s="3" t="s">
        <v>1996</v>
      </c>
      <c r="AO64" s="3" t="s">
        <v>1850</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row>
    <row r="65" spans="1:73" ht="15.75" customHeight="1" x14ac:dyDescent="0.2">
      <c r="A65" s="3">
        <f t="shared" si="0"/>
        <v>2063</v>
      </c>
      <c r="B65" s="3" t="s">
        <v>569</v>
      </c>
      <c r="C65" s="3" t="s">
        <v>569</v>
      </c>
      <c r="D65" s="27"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568</v>
      </c>
      <c r="AN65" s="3" t="s">
        <v>1996</v>
      </c>
      <c r="AO65" s="3" t="s">
        <v>1850</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row>
    <row r="66" spans="1:73" ht="15.75" customHeight="1" x14ac:dyDescent="0.2">
      <c r="A66" s="3">
        <f t="shared" si="0"/>
        <v>2064</v>
      </c>
      <c r="B66" s="3" t="s">
        <v>1128</v>
      </c>
      <c r="C66" s="3" t="s">
        <v>1065</v>
      </c>
      <c r="D66" s="27" t="s">
        <v>1066</v>
      </c>
      <c r="E66" s="5" t="s">
        <v>1067</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568</v>
      </c>
      <c r="AN66" s="3" t="s">
        <v>1996</v>
      </c>
      <c r="AO66" s="3" t="s">
        <v>1850</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c r="BP66" s="6" t="s">
        <v>50</v>
      </c>
      <c r="BQ66">
        <v>0</v>
      </c>
      <c r="BR66" s="6" t="s">
        <v>50</v>
      </c>
      <c r="BS66">
        <v>0</v>
      </c>
      <c r="BT66" s="6" t="s">
        <v>50</v>
      </c>
      <c r="BU66">
        <v>0</v>
      </c>
    </row>
    <row r="67" spans="1:73" ht="15.75" customHeight="1" x14ac:dyDescent="0.2">
      <c r="A67" s="3">
        <f t="shared" ref="A67:A130" si="1">ROW()+1998</f>
        <v>2065</v>
      </c>
      <c r="B67" s="3" t="s">
        <v>1130</v>
      </c>
      <c r="C67" s="3" t="s">
        <v>481</v>
      </c>
      <c r="D67" s="27" t="s">
        <v>482</v>
      </c>
      <c r="E67" s="5" t="s">
        <v>866</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568</v>
      </c>
      <c r="AN67" s="3" t="s">
        <v>1996</v>
      </c>
      <c r="AO67" s="3" t="s">
        <v>1850</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row>
    <row r="68" spans="1:73" ht="15.75" customHeight="1" x14ac:dyDescent="0.2">
      <c r="A68" s="3">
        <f t="shared" si="1"/>
        <v>2066</v>
      </c>
      <c r="B68" s="3" t="s">
        <v>1312</v>
      </c>
      <c r="C68" s="3" t="s">
        <v>1308</v>
      </c>
      <c r="D68" s="27" t="s">
        <v>1311</v>
      </c>
      <c r="E68" s="5" t="s">
        <v>1309</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568</v>
      </c>
      <c r="AN68" s="3" t="s">
        <v>1996</v>
      </c>
      <c r="AO68" s="3" t="s">
        <v>1850</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row>
    <row r="69" spans="1:73" ht="15.75" customHeight="1" x14ac:dyDescent="0.2">
      <c r="A69" s="3">
        <f t="shared" si="1"/>
        <v>2067</v>
      </c>
      <c r="B69" s="3" t="s">
        <v>1129</v>
      </c>
      <c r="C69" s="3" t="s">
        <v>867</v>
      </c>
      <c r="D69" s="27" t="s">
        <v>868</v>
      </c>
      <c r="E69" s="5" t="s">
        <v>869</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568</v>
      </c>
      <c r="AN69" s="3" t="s">
        <v>1996</v>
      </c>
      <c r="AO69" s="3" t="s">
        <v>1850</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row>
    <row r="70" spans="1:73" ht="15.75" customHeight="1" x14ac:dyDescent="0.2">
      <c r="A70" s="3">
        <f t="shared" si="1"/>
        <v>2068</v>
      </c>
      <c r="B70" s="3" t="s">
        <v>1131</v>
      </c>
      <c r="C70" s="3" t="s">
        <v>1222</v>
      </c>
      <c r="D70" s="27" t="s">
        <v>1223</v>
      </c>
      <c r="E70" s="5" t="s">
        <v>1224</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568</v>
      </c>
      <c r="AN70" s="3" t="s">
        <v>1996</v>
      </c>
      <c r="AO70" s="3" t="s">
        <v>1850</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row>
    <row r="71" spans="1:73" ht="15.75" customHeight="1" x14ac:dyDescent="0.2">
      <c r="A71" s="3">
        <f t="shared" si="1"/>
        <v>2069</v>
      </c>
      <c r="B71" s="3" t="s">
        <v>1295</v>
      </c>
      <c r="C71" s="3" t="s">
        <v>1216</v>
      </c>
      <c r="D71" s="27" t="s">
        <v>1214</v>
      </c>
      <c r="E71" s="5" t="s">
        <v>1215</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568</v>
      </c>
      <c r="AN71" s="3" t="s">
        <v>1996</v>
      </c>
      <c r="AO71" s="3" t="s">
        <v>1850</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3624</v>
      </c>
      <c r="BQ71">
        <v>20</v>
      </c>
      <c r="BR71" s="6" t="s">
        <v>50</v>
      </c>
      <c r="BS71">
        <v>0</v>
      </c>
      <c r="BT71" s="6" t="s">
        <v>50</v>
      </c>
      <c r="BU71">
        <v>0</v>
      </c>
    </row>
    <row r="72" spans="1:73" ht="15.75" customHeight="1" x14ac:dyDescent="0.2">
      <c r="A72" s="3">
        <f t="shared" si="1"/>
        <v>2070</v>
      </c>
      <c r="B72" s="3" t="s">
        <v>1175</v>
      </c>
      <c r="C72" s="3" t="s">
        <v>1154</v>
      </c>
      <c r="D72" s="27" t="s">
        <v>1152</v>
      </c>
      <c r="E72" s="5" t="s">
        <v>1153</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568</v>
      </c>
      <c r="AN72" s="3" t="s">
        <v>1996</v>
      </c>
      <c r="AO72" s="3" t="s">
        <v>1850</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3624</v>
      </c>
      <c r="BQ72">
        <v>20</v>
      </c>
      <c r="BR72" s="6" t="s">
        <v>50</v>
      </c>
      <c r="BS72">
        <v>0</v>
      </c>
      <c r="BT72" s="6" t="s">
        <v>50</v>
      </c>
      <c r="BU72">
        <v>0</v>
      </c>
    </row>
    <row r="73" spans="1:73" ht="15.75" customHeight="1" x14ac:dyDescent="0.2">
      <c r="A73" s="3">
        <f t="shared" si="1"/>
        <v>2071</v>
      </c>
      <c r="B73" s="3" t="s">
        <v>3069</v>
      </c>
      <c r="C73" s="3" t="s">
        <v>3069</v>
      </c>
      <c r="D73" s="27" t="s">
        <v>3070</v>
      </c>
      <c r="E73" s="5" t="s">
        <v>3106</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568</v>
      </c>
      <c r="AN73" s="3" t="s">
        <v>3099</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3624</v>
      </c>
      <c r="BQ73">
        <v>30</v>
      </c>
      <c r="BR73" s="6" t="s">
        <v>50</v>
      </c>
      <c r="BS73">
        <v>0</v>
      </c>
      <c r="BT73" s="6" t="s">
        <v>50</v>
      </c>
      <c r="BU73">
        <v>0</v>
      </c>
    </row>
    <row r="74" spans="1:73" ht="15.75" customHeight="1" x14ac:dyDescent="0.2">
      <c r="A74" s="3">
        <f t="shared" si="1"/>
        <v>2072</v>
      </c>
      <c r="B74" s="3" t="s">
        <v>3071</v>
      </c>
      <c r="C74" s="3" t="s">
        <v>3071</v>
      </c>
      <c r="D74" s="27" t="s">
        <v>3072</v>
      </c>
      <c r="E74" s="5" t="s">
        <v>3073</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568</v>
      </c>
      <c r="AN74" s="3" t="s">
        <v>3099</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3624</v>
      </c>
      <c r="BQ74">
        <v>30</v>
      </c>
      <c r="BR74" s="6" t="s">
        <v>50</v>
      </c>
      <c r="BS74">
        <v>0</v>
      </c>
      <c r="BT74" s="6" t="s">
        <v>50</v>
      </c>
      <c r="BU74">
        <v>0</v>
      </c>
    </row>
    <row r="75" spans="1:73" ht="15.75" customHeight="1" x14ac:dyDescent="0.2">
      <c r="A75" s="3">
        <f t="shared" si="1"/>
        <v>2073</v>
      </c>
      <c r="B75" s="3" t="s">
        <v>3074</v>
      </c>
      <c r="C75" s="3" t="s">
        <v>3074</v>
      </c>
      <c r="D75" s="27" t="s">
        <v>3075</v>
      </c>
      <c r="E75" s="5" t="s">
        <v>3076</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568</v>
      </c>
      <c r="AN75" s="3" t="s">
        <v>3099</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3624</v>
      </c>
      <c r="BQ75">
        <v>30</v>
      </c>
      <c r="BR75" s="6" t="s">
        <v>50</v>
      </c>
      <c r="BS75">
        <v>0</v>
      </c>
      <c r="BT75" s="6" t="s">
        <v>50</v>
      </c>
      <c r="BU75">
        <v>0</v>
      </c>
    </row>
    <row r="76" spans="1:73" s="23" customFormat="1" ht="15.75" customHeight="1" x14ac:dyDescent="0.2">
      <c r="A76" s="21">
        <f t="shared" si="1"/>
        <v>2074</v>
      </c>
      <c r="B76" s="21" t="s">
        <v>305</v>
      </c>
      <c r="C76" s="21" t="s">
        <v>2331</v>
      </c>
      <c r="D76" s="22" t="s">
        <v>2332</v>
      </c>
      <c r="E76" s="22" t="s">
        <v>2282</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1852</v>
      </c>
      <c r="AN76" s="21" t="s">
        <v>2012</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c r="BP76" s="24" t="s">
        <v>50</v>
      </c>
      <c r="BQ76" s="23">
        <v>0</v>
      </c>
      <c r="BR76" s="24" t="s">
        <v>50</v>
      </c>
      <c r="BS76" s="23">
        <v>0</v>
      </c>
      <c r="BT76" s="24" t="s">
        <v>50</v>
      </c>
      <c r="BU76" s="23">
        <v>0</v>
      </c>
    </row>
    <row r="77" spans="1:73" ht="15.75" customHeight="1" x14ac:dyDescent="0.2">
      <c r="A77" s="3">
        <f t="shared" si="1"/>
        <v>2075</v>
      </c>
      <c r="B77" s="3" t="s">
        <v>938</v>
      </c>
      <c r="C77" s="3" t="s">
        <v>435</v>
      </c>
      <c r="D77" s="27"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1853</v>
      </c>
      <c r="AN77" s="3" t="s">
        <v>1997</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row>
    <row r="78" spans="1:73" ht="15.75" customHeight="1" x14ac:dyDescent="0.2">
      <c r="A78" s="3">
        <f t="shared" si="1"/>
        <v>2076</v>
      </c>
      <c r="B78" s="3" t="s">
        <v>435</v>
      </c>
      <c r="C78" s="3" t="s">
        <v>642</v>
      </c>
      <c r="D78" s="27" t="s">
        <v>939</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570</v>
      </c>
      <c r="AN78" s="3" t="s">
        <v>1998</v>
      </c>
      <c r="AO78" s="3" t="s">
        <v>1850</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row>
    <row r="79" spans="1:73" s="9" customFormat="1" ht="15.75" customHeight="1" x14ac:dyDescent="0.2">
      <c r="A79" s="3">
        <f t="shared" si="1"/>
        <v>2077</v>
      </c>
      <c r="B79" s="7" t="s">
        <v>1150</v>
      </c>
      <c r="C79" s="7" t="s">
        <v>1148</v>
      </c>
      <c r="D79" s="28" t="s">
        <v>1147</v>
      </c>
      <c r="E79" s="8" t="s">
        <v>1149</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1998</v>
      </c>
      <c r="AO79" s="7" t="s">
        <v>1850</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c r="BP79" s="10" t="s">
        <v>50</v>
      </c>
      <c r="BQ79" s="9">
        <v>0</v>
      </c>
      <c r="BR79" s="10" t="s">
        <v>50</v>
      </c>
      <c r="BS79" s="9">
        <v>0</v>
      </c>
      <c r="BT79" s="10" t="s">
        <v>50</v>
      </c>
      <c r="BU79" s="9">
        <v>0</v>
      </c>
    </row>
    <row r="80" spans="1:73" ht="15.75" customHeight="1" x14ac:dyDescent="0.2">
      <c r="A80" s="3">
        <f t="shared" si="1"/>
        <v>2078</v>
      </c>
      <c r="B80" s="3" t="s">
        <v>1114</v>
      </c>
      <c r="C80" s="3" t="s">
        <v>719</v>
      </c>
      <c r="D80" s="27"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570</v>
      </c>
      <c r="AN80" s="3" t="s">
        <v>1998</v>
      </c>
      <c r="AO80" s="3" t="s">
        <v>1850</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50</v>
      </c>
      <c r="BQ80">
        <v>0</v>
      </c>
      <c r="BR80" s="6" t="s">
        <v>50</v>
      </c>
      <c r="BS80">
        <v>0</v>
      </c>
      <c r="BT80" s="6" t="s">
        <v>50</v>
      </c>
      <c r="BU80">
        <v>0</v>
      </c>
    </row>
    <row r="81" spans="1:73" ht="15.75" customHeight="1" x14ac:dyDescent="0.2">
      <c r="A81" s="3">
        <f t="shared" si="1"/>
        <v>2079</v>
      </c>
      <c r="B81" s="3" t="s">
        <v>1171</v>
      </c>
      <c r="C81" s="3" t="s">
        <v>725</v>
      </c>
      <c r="D81" s="27"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570</v>
      </c>
      <c r="AN81" s="3" t="s">
        <v>1998</v>
      </c>
      <c r="AO81" s="3" t="s">
        <v>1850</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50</v>
      </c>
      <c r="BQ81">
        <v>0</v>
      </c>
      <c r="BR81" s="6" t="s">
        <v>50</v>
      </c>
      <c r="BS81">
        <v>0</v>
      </c>
      <c r="BT81" s="6" t="s">
        <v>50</v>
      </c>
      <c r="BU81">
        <v>0</v>
      </c>
    </row>
    <row r="82" spans="1:73" ht="15.75" customHeight="1" x14ac:dyDescent="0.2">
      <c r="A82" s="3">
        <f t="shared" si="1"/>
        <v>2080</v>
      </c>
      <c r="B82" s="3" t="s">
        <v>1113</v>
      </c>
      <c r="C82" s="3" t="s">
        <v>713</v>
      </c>
      <c r="D82" s="27"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570</v>
      </c>
      <c r="AN82" s="3" t="s">
        <v>1998</v>
      </c>
      <c r="AO82" s="3" t="s">
        <v>1850</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50</v>
      </c>
      <c r="BQ82">
        <v>0</v>
      </c>
      <c r="BR82" s="6" t="s">
        <v>50</v>
      </c>
      <c r="BS82">
        <v>0</v>
      </c>
      <c r="BT82" s="6" t="s">
        <v>50</v>
      </c>
      <c r="BU82">
        <v>0</v>
      </c>
    </row>
    <row r="83" spans="1:73" ht="15.75" customHeight="1" x14ac:dyDescent="0.2">
      <c r="A83" s="3">
        <f t="shared" si="1"/>
        <v>2081</v>
      </c>
      <c r="B83" s="3" t="s">
        <v>1115</v>
      </c>
      <c r="C83" s="3" t="s">
        <v>718</v>
      </c>
      <c r="D83" s="27"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570</v>
      </c>
      <c r="AN83" s="3" t="s">
        <v>1998</v>
      </c>
      <c r="AO83" s="3" t="s">
        <v>1850</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50</v>
      </c>
      <c r="BQ83">
        <v>0</v>
      </c>
      <c r="BR83" s="6" t="s">
        <v>50</v>
      </c>
      <c r="BS83">
        <v>0</v>
      </c>
      <c r="BT83" s="6" t="s">
        <v>50</v>
      </c>
      <c r="BU83">
        <v>0</v>
      </c>
    </row>
    <row r="84" spans="1:73" ht="15.75" customHeight="1" x14ac:dyDescent="0.2">
      <c r="A84" s="3">
        <f t="shared" si="1"/>
        <v>2082</v>
      </c>
      <c r="B84" s="3" t="s">
        <v>1093</v>
      </c>
      <c r="C84" s="3" t="s">
        <v>1091</v>
      </c>
      <c r="D84" s="27" t="s">
        <v>1356</v>
      </c>
      <c r="E84" s="5" t="s">
        <v>1092</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570</v>
      </c>
      <c r="AN84" s="3" t="s">
        <v>1998</v>
      </c>
      <c r="AO84" s="3" t="s">
        <v>1850</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50</v>
      </c>
      <c r="BQ84">
        <v>0</v>
      </c>
      <c r="BR84" s="6" t="s">
        <v>50</v>
      </c>
      <c r="BS84">
        <v>0</v>
      </c>
      <c r="BT84" s="6" t="s">
        <v>50</v>
      </c>
      <c r="BU84">
        <v>0</v>
      </c>
    </row>
    <row r="85" spans="1:73" ht="15.75" customHeight="1" x14ac:dyDescent="0.2">
      <c r="A85" s="3">
        <f t="shared" si="1"/>
        <v>2083</v>
      </c>
      <c r="B85" s="3" t="s">
        <v>1116</v>
      </c>
      <c r="C85" s="3" t="s">
        <v>1036</v>
      </c>
      <c r="D85" s="27" t="s">
        <v>1035</v>
      </c>
      <c r="E85" s="5" t="s">
        <v>1037</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570</v>
      </c>
      <c r="AN85" s="3" t="s">
        <v>1998</v>
      </c>
      <c r="AO85" s="3" t="s">
        <v>1850</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50</v>
      </c>
      <c r="BQ85">
        <v>0</v>
      </c>
      <c r="BR85" s="6" t="s">
        <v>50</v>
      </c>
      <c r="BS85">
        <v>0</v>
      </c>
      <c r="BT85" s="6" t="s">
        <v>50</v>
      </c>
      <c r="BU85">
        <v>0</v>
      </c>
    </row>
    <row r="86" spans="1:73" ht="15.75" customHeight="1" x14ac:dyDescent="0.2">
      <c r="A86" s="3">
        <f t="shared" si="1"/>
        <v>2084</v>
      </c>
      <c r="B86" s="3" t="s">
        <v>1176</v>
      </c>
      <c r="C86" s="3" t="s">
        <v>1038</v>
      </c>
      <c r="D86" s="27" t="s">
        <v>720</v>
      </c>
      <c r="E86" s="5" t="s">
        <v>1039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570</v>
      </c>
      <c r="AN86" s="3" t="s">
        <v>1998</v>
      </c>
      <c r="AO86" s="3" t="s">
        <v>1850</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50</v>
      </c>
      <c r="BQ86">
        <v>0</v>
      </c>
      <c r="BR86" s="6" t="s">
        <v>50</v>
      </c>
      <c r="BS86">
        <v>0</v>
      </c>
      <c r="BT86" s="6" t="s">
        <v>50</v>
      </c>
      <c r="BU86">
        <v>0</v>
      </c>
    </row>
    <row r="87" spans="1:73" s="9" customFormat="1" ht="15.75" customHeight="1" x14ac:dyDescent="0.2">
      <c r="A87" s="3">
        <f t="shared" si="1"/>
        <v>2085</v>
      </c>
      <c r="B87" s="7" t="s">
        <v>435</v>
      </c>
      <c r="C87" s="7" t="s">
        <v>729</v>
      </c>
      <c r="D87" s="28"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1998</v>
      </c>
      <c r="AO87" s="7" t="s">
        <v>1850</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c r="BP87" s="10" t="s">
        <v>50</v>
      </c>
      <c r="BQ87" s="9">
        <v>0</v>
      </c>
      <c r="BR87" s="10" t="s">
        <v>50</v>
      </c>
      <c r="BS87" s="9">
        <v>0</v>
      </c>
      <c r="BT87" s="10" t="s">
        <v>50</v>
      </c>
      <c r="BU87" s="9">
        <v>0</v>
      </c>
    </row>
    <row r="88" spans="1:73" ht="15.75" customHeight="1" x14ac:dyDescent="0.2">
      <c r="A88" s="3">
        <f t="shared" si="1"/>
        <v>2086</v>
      </c>
      <c r="B88" s="3" t="s">
        <v>1272</v>
      </c>
      <c r="C88" s="3" t="s">
        <v>714</v>
      </c>
      <c r="D88" s="27"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570</v>
      </c>
      <c r="AN88" s="3" t="s">
        <v>1998</v>
      </c>
      <c r="AO88" s="3" t="s">
        <v>1850</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50</v>
      </c>
      <c r="BQ88">
        <v>0</v>
      </c>
      <c r="BR88" s="6" t="s">
        <v>50</v>
      </c>
      <c r="BS88">
        <v>0</v>
      </c>
      <c r="BT88" s="6" t="s">
        <v>50</v>
      </c>
      <c r="BU88">
        <v>0</v>
      </c>
    </row>
    <row r="89" spans="1:73" s="9" customFormat="1" ht="15.75" customHeight="1" x14ac:dyDescent="0.2">
      <c r="A89" s="3">
        <f t="shared" si="1"/>
        <v>2087</v>
      </c>
      <c r="B89" s="7" t="s">
        <v>435</v>
      </c>
      <c r="C89" s="7" t="s">
        <v>711</v>
      </c>
      <c r="D89" s="28"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1998</v>
      </c>
      <c r="AO89" s="7" t="s">
        <v>1850</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c r="BP89" s="10" t="s">
        <v>50</v>
      </c>
      <c r="BQ89" s="9">
        <v>0</v>
      </c>
      <c r="BR89" s="10" t="s">
        <v>50</v>
      </c>
      <c r="BS89" s="9">
        <v>0</v>
      </c>
      <c r="BT89" s="10" t="s">
        <v>50</v>
      </c>
      <c r="BU89" s="9">
        <v>0</v>
      </c>
    </row>
    <row r="90" spans="1:73" s="9" customFormat="1" ht="15.75" customHeight="1" x14ac:dyDescent="0.2">
      <c r="A90" s="3">
        <f t="shared" si="1"/>
        <v>2088</v>
      </c>
      <c r="B90" s="7" t="s">
        <v>435</v>
      </c>
      <c r="C90" s="7" t="s">
        <v>802</v>
      </c>
      <c r="D90" s="28"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1998</v>
      </c>
      <c r="AO90" s="7" t="s">
        <v>1850</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c r="BP90" s="10" t="s">
        <v>50</v>
      </c>
      <c r="BQ90" s="9">
        <v>0</v>
      </c>
      <c r="BR90" s="10" t="s">
        <v>50</v>
      </c>
      <c r="BS90" s="9">
        <v>0</v>
      </c>
      <c r="BT90" s="10" t="s">
        <v>50</v>
      </c>
      <c r="BU90" s="9">
        <v>0</v>
      </c>
    </row>
    <row r="91" spans="1:73" s="9" customFormat="1" ht="15.75" customHeight="1" x14ac:dyDescent="0.2">
      <c r="A91" s="3">
        <f t="shared" si="1"/>
        <v>2089</v>
      </c>
      <c r="B91" s="7" t="s">
        <v>435</v>
      </c>
      <c r="C91" s="7" t="s">
        <v>734</v>
      </c>
      <c r="D91" s="28"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1998</v>
      </c>
      <c r="AO91" s="7" t="s">
        <v>1850</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c r="BP91" s="10" t="s">
        <v>50</v>
      </c>
      <c r="BQ91" s="9">
        <v>0</v>
      </c>
      <c r="BR91" s="10" t="s">
        <v>50</v>
      </c>
      <c r="BS91" s="9">
        <v>0</v>
      </c>
      <c r="BT91" s="10" t="s">
        <v>50</v>
      </c>
      <c r="BU91" s="9">
        <v>0</v>
      </c>
    </row>
    <row r="92" spans="1:73" s="9" customFormat="1" ht="15.75" customHeight="1" x14ac:dyDescent="0.2">
      <c r="A92" s="3">
        <f t="shared" si="1"/>
        <v>2090</v>
      </c>
      <c r="B92" s="7" t="s">
        <v>435</v>
      </c>
      <c r="C92" s="7" t="s">
        <v>804</v>
      </c>
      <c r="D92" s="28"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1998</v>
      </c>
      <c r="AO92" s="7" t="s">
        <v>1850</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c r="BP92" s="10" t="s">
        <v>50</v>
      </c>
      <c r="BQ92" s="9">
        <v>0</v>
      </c>
      <c r="BR92" s="10" t="s">
        <v>50</v>
      </c>
      <c r="BS92" s="9">
        <v>0</v>
      </c>
      <c r="BT92" s="10" t="s">
        <v>50</v>
      </c>
      <c r="BU92" s="9">
        <v>0</v>
      </c>
    </row>
    <row r="93" spans="1:73" ht="15.75" customHeight="1" x14ac:dyDescent="0.2">
      <c r="A93" s="3">
        <f t="shared" si="1"/>
        <v>2091</v>
      </c>
      <c r="B93" s="3" t="s">
        <v>1172</v>
      </c>
      <c r="C93" s="3" t="s">
        <v>785</v>
      </c>
      <c r="D93" s="27"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570</v>
      </c>
      <c r="AN93" s="3" t="s">
        <v>1998</v>
      </c>
      <c r="AO93" s="3" t="s">
        <v>1850</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50</v>
      </c>
      <c r="BQ93">
        <v>0</v>
      </c>
      <c r="BR93" s="6" t="s">
        <v>50</v>
      </c>
      <c r="BS93">
        <v>0</v>
      </c>
      <c r="BT93" s="6" t="s">
        <v>50</v>
      </c>
      <c r="BU93">
        <v>0</v>
      </c>
    </row>
    <row r="94" spans="1:73" s="9" customFormat="1" ht="15.75" customHeight="1" x14ac:dyDescent="0.2">
      <c r="A94" s="3">
        <f t="shared" si="1"/>
        <v>2092</v>
      </c>
      <c r="B94" s="7" t="s">
        <v>435</v>
      </c>
      <c r="C94" s="7" t="s">
        <v>786</v>
      </c>
      <c r="D94" s="28"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1998</v>
      </c>
      <c r="AO94" s="7" t="s">
        <v>1850</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c r="BP94" s="10" t="s">
        <v>50</v>
      </c>
      <c r="BQ94" s="9">
        <v>0</v>
      </c>
      <c r="BR94" s="10" t="s">
        <v>50</v>
      </c>
      <c r="BS94" s="9">
        <v>0</v>
      </c>
      <c r="BT94" s="10" t="s">
        <v>50</v>
      </c>
      <c r="BU94" s="9">
        <v>0</v>
      </c>
    </row>
    <row r="95" spans="1:73" ht="15.75" customHeight="1" x14ac:dyDescent="0.2">
      <c r="A95" s="3">
        <f t="shared" si="1"/>
        <v>2093</v>
      </c>
      <c r="B95" s="3" t="s">
        <v>1122</v>
      </c>
      <c r="C95" s="3" t="s">
        <v>755</v>
      </c>
      <c r="D95" s="27"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570</v>
      </c>
      <c r="AN95" s="3" t="s">
        <v>1998</v>
      </c>
      <c r="AO95" s="3" t="s">
        <v>1850</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50</v>
      </c>
      <c r="BQ95">
        <v>0</v>
      </c>
      <c r="BR95" s="6" t="s">
        <v>50</v>
      </c>
      <c r="BS95">
        <v>0</v>
      </c>
      <c r="BT95" s="6" t="s">
        <v>50</v>
      </c>
      <c r="BU95">
        <v>0</v>
      </c>
    </row>
    <row r="96" spans="1:73" s="9" customFormat="1" ht="15.75" customHeight="1" x14ac:dyDescent="0.2">
      <c r="A96" s="3">
        <f t="shared" si="1"/>
        <v>2094</v>
      </c>
      <c r="B96" s="7" t="s">
        <v>435</v>
      </c>
      <c r="C96" s="7" t="s">
        <v>808</v>
      </c>
      <c r="D96" s="28"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1998</v>
      </c>
      <c r="AO96" s="7" t="s">
        <v>1850</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c r="BP96" s="10" t="s">
        <v>50</v>
      </c>
      <c r="BQ96" s="9">
        <v>0</v>
      </c>
      <c r="BR96" s="10" t="s">
        <v>50</v>
      </c>
      <c r="BS96" s="9">
        <v>0</v>
      </c>
      <c r="BT96" s="10" t="s">
        <v>50</v>
      </c>
      <c r="BU96" s="9">
        <v>0</v>
      </c>
    </row>
    <row r="97" spans="1:73" s="9" customFormat="1" ht="15.75" customHeight="1" x14ac:dyDescent="0.2">
      <c r="A97" s="3">
        <f t="shared" si="1"/>
        <v>2095</v>
      </c>
      <c r="B97" s="7" t="s">
        <v>435</v>
      </c>
      <c r="C97" s="7" t="s">
        <v>759</v>
      </c>
      <c r="D97" s="28"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1998</v>
      </c>
      <c r="AO97" s="7" t="s">
        <v>1850</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c r="BP97" s="10" t="s">
        <v>50</v>
      </c>
      <c r="BQ97" s="9">
        <v>0</v>
      </c>
      <c r="BR97" s="10" t="s">
        <v>50</v>
      </c>
      <c r="BS97" s="9">
        <v>0</v>
      </c>
      <c r="BT97" s="10" t="s">
        <v>50</v>
      </c>
      <c r="BU97" s="9">
        <v>0</v>
      </c>
    </row>
    <row r="98" spans="1:73" s="9" customFormat="1" ht="15.75" customHeight="1" x14ac:dyDescent="0.2">
      <c r="A98" s="3">
        <f t="shared" si="1"/>
        <v>2096</v>
      </c>
      <c r="B98" s="7" t="s">
        <v>435</v>
      </c>
      <c r="C98" s="7" t="s">
        <v>761</v>
      </c>
      <c r="D98" s="28"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1998</v>
      </c>
      <c r="AO98" s="7" t="s">
        <v>1850</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c r="BP98" s="10" t="s">
        <v>50</v>
      </c>
      <c r="BQ98" s="9">
        <v>0</v>
      </c>
      <c r="BR98" s="10" t="s">
        <v>50</v>
      </c>
      <c r="BS98" s="9">
        <v>0</v>
      </c>
      <c r="BT98" s="10" t="s">
        <v>50</v>
      </c>
      <c r="BU98" s="9">
        <v>0</v>
      </c>
    </row>
    <row r="99" spans="1:73" ht="15.75" customHeight="1" x14ac:dyDescent="0.2">
      <c r="A99" s="3">
        <f t="shared" si="1"/>
        <v>2097</v>
      </c>
      <c r="B99" s="3" t="s">
        <v>1117</v>
      </c>
      <c r="C99" s="3" t="s">
        <v>764</v>
      </c>
      <c r="D99" s="27"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570</v>
      </c>
      <c r="AN99" s="3" t="s">
        <v>1998</v>
      </c>
      <c r="AO99" s="3" t="s">
        <v>1850</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50</v>
      </c>
      <c r="BQ99">
        <v>0</v>
      </c>
      <c r="BR99" s="6" t="s">
        <v>50</v>
      </c>
      <c r="BS99">
        <v>0</v>
      </c>
      <c r="BT99" s="6" t="s">
        <v>50</v>
      </c>
      <c r="BU99">
        <v>0</v>
      </c>
    </row>
    <row r="100" spans="1:73" s="9" customFormat="1" ht="15.75" customHeight="1" x14ac:dyDescent="0.2">
      <c r="A100" s="3">
        <f t="shared" si="1"/>
        <v>2098</v>
      </c>
      <c r="B100" s="7" t="s">
        <v>435</v>
      </c>
      <c r="C100" s="7" t="s">
        <v>766</v>
      </c>
      <c r="D100" s="28"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1998</v>
      </c>
      <c r="AO100" s="7" t="s">
        <v>1850</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c r="BP100" s="10" t="s">
        <v>50</v>
      </c>
      <c r="BQ100" s="9">
        <v>0</v>
      </c>
      <c r="BR100" s="10" t="s">
        <v>50</v>
      </c>
      <c r="BS100" s="9">
        <v>0</v>
      </c>
      <c r="BT100" s="10" t="s">
        <v>50</v>
      </c>
      <c r="BU100" s="9">
        <v>0</v>
      </c>
    </row>
    <row r="101" spans="1:73" s="9" customFormat="1" ht="15.75" customHeight="1" x14ac:dyDescent="0.2">
      <c r="A101" s="3">
        <f t="shared" si="1"/>
        <v>2099</v>
      </c>
      <c r="B101" s="7" t="s">
        <v>435</v>
      </c>
      <c r="C101" s="7" t="s">
        <v>768</v>
      </c>
      <c r="D101" s="28"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1998</v>
      </c>
      <c r="AO101" s="7" t="s">
        <v>1850</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c r="BP101" s="10" t="s">
        <v>50</v>
      </c>
      <c r="BQ101" s="9">
        <v>0</v>
      </c>
      <c r="BR101" s="10" t="s">
        <v>50</v>
      </c>
      <c r="BS101" s="9">
        <v>0</v>
      </c>
      <c r="BT101" s="10" t="s">
        <v>50</v>
      </c>
      <c r="BU101" s="9">
        <v>0</v>
      </c>
    </row>
    <row r="102" spans="1:73" ht="15.75" customHeight="1" x14ac:dyDescent="0.2">
      <c r="A102" s="3">
        <f t="shared" si="1"/>
        <v>2100</v>
      </c>
      <c r="B102" s="3" t="s">
        <v>1173</v>
      </c>
      <c r="C102" s="3" t="s">
        <v>770</v>
      </c>
      <c r="D102" s="27"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570</v>
      </c>
      <c r="AN102" s="3" t="s">
        <v>1998</v>
      </c>
      <c r="AO102" s="3" t="s">
        <v>1850</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50</v>
      </c>
      <c r="BQ102">
        <v>0</v>
      </c>
      <c r="BR102" s="6" t="s">
        <v>50</v>
      </c>
      <c r="BS102">
        <v>0</v>
      </c>
      <c r="BT102" s="6" t="s">
        <v>50</v>
      </c>
      <c r="BU102">
        <v>0</v>
      </c>
    </row>
    <row r="103" spans="1:73" s="9" customFormat="1" ht="15.75" customHeight="1" x14ac:dyDescent="0.2">
      <c r="A103" s="3">
        <f t="shared" si="1"/>
        <v>2101</v>
      </c>
      <c r="B103" s="7" t="s">
        <v>435</v>
      </c>
      <c r="C103" s="7" t="s">
        <v>774</v>
      </c>
      <c r="D103" s="28"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1998</v>
      </c>
      <c r="AO103" s="7" t="s">
        <v>1850</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c r="BP103" s="10" t="s">
        <v>50</v>
      </c>
      <c r="BQ103" s="9">
        <v>0</v>
      </c>
      <c r="BR103" s="10" t="s">
        <v>50</v>
      </c>
      <c r="BS103" s="9">
        <v>0</v>
      </c>
      <c r="BT103" s="10" t="s">
        <v>50</v>
      </c>
      <c r="BU103" s="9">
        <v>0</v>
      </c>
    </row>
    <row r="104" spans="1:73" s="9" customFormat="1" ht="15.75" customHeight="1" x14ac:dyDescent="0.2">
      <c r="A104" s="3">
        <f t="shared" si="1"/>
        <v>2102</v>
      </c>
      <c r="B104" s="7" t="s">
        <v>435</v>
      </c>
      <c r="C104" s="7" t="s">
        <v>777</v>
      </c>
      <c r="D104" s="28"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1998</v>
      </c>
      <c r="AO104" s="7" t="s">
        <v>1850</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c r="BP104" s="10" t="s">
        <v>50</v>
      </c>
      <c r="BQ104" s="9">
        <v>0</v>
      </c>
      <c r="BR104" s="10" t="s">
        <v>50</v>
      </c>
      <c r="BS104" s="9">
        <v>0</v>
      </c>
      <c r="BT104" s="10" t="s">
        <v>50</v>
      </c>
      <c r="BU104" s="9">
        <v>0</v>
      </c>
    </row>
    <row r="105" spans="1:73" ht="15.75" customHeight="1" x14ac:dyDescent="0.2">
      <c r="A105" s="3">
        <f t="shared" si="1"/>
        <v>2103</v>
      </c>
      <c r="B105" s="3" t="s">
        <v>1407</v>
      </c>
      <c r="C105" s="3" t="s">
        <v>1367</v>
      </c>
      <c r="D105" s="27" t="s">
        <v>1368</v>
      </c>
      <c r="E105" s="5" t="s">
        <v>1369</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570</v>
      </c>
      <c r="AN105" s="3" t="s">
        <v>1998</v>
      </c>
      <c r="AO105" s="3" t="s">
        <v>1850</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c r="BP105" s="6" t="s">
        <v>50</v>
      </c>
      <c r="BQ105">
        <v>0</v>
      </c>
      <c r="BR105" s="6" t="s">
        <v>50</v>
      </c>
      <c r="BS105">
        <v>0</v>
      </c>
      <c r="BT105" s="6" t="s">
        <v>50</v>
      </c>
      <c r="BU105">
        <v>0</v>
      </c>
    </row>
    <row r="106" spans="1:73" ht="15.75" customHeight="1" x14ac:dyDescent="0.2">
      <c r="A106" s="3">
        <f t="shared" si="1"/>
        <v>2104</v>
      </c>
      <c r="B106" s="3" t="s">
        <v>1268</v>
      </c>
      <c r="C106" s="3" t="s">
        <v>731</v>
      </c>
      <c r="D106" s="27" t="s">
        <v>1361</v>
      </c>
      <c r="E106" s="5" t="s">
        <v>1362</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570</v>
      </c>
      <c r="AN106" s="3" t="s">
        <v>1998</v>
      </c>
      <c r="AO106" s="3" t="s">
        <v>1850</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c r="BP106" s="6" t="s">
        <v>50</v>
      </c>
      <c r="BQ106">
        <v>0</v>
      </c>
      <c r="BR106" s="6" t="s">
        <v>50</v>
      </c>
      <c r="BS106">
        <v>0</v>
      </c>
      <c r="BT106" s="6" t="s">
        <v>50</v>
      </c>
      <c r="BU106">
        <v>0</v>
      </c>
    </row>
    <row r="107" spans="1:73" ht="15.75" customHeight="1" x14ac:dyDescent="0.2">
      <c r="A107" s="3">
        <f t="shared" si="1"/>
        <v>2105</v>
      </c>
      <c r="B107" s="3" t="s">
        <v>1269</v>
      </c>
      <c r="C107" s="3" t="s">
        <v>813</v>
      </c>
      <c r="D107" s="27"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570</v>
      </c>
      <c r="AN107" s="3" t="s">
        <v>1998</v>
      </c>
      <c r="AO107" s="3" t="s">
        <v>1850</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c r="BP107" s="6" t="s">
        <v>50</v>
      </c>
      <c r="BQ107">
        <v>0</v>
      </c>
      <c r="BR107" s="6" t="s">
        <v>50</v>
      </c>
      <c r="BS107">
        <v>0</v>
      </c>
      <c r="BT107" s="6" t="s">
        <v>50</v>
      </c>
      <c r="BU107">
        <v>0</v>
      </c>
    </row>
    <row r="108" spans="1:73" ht="15.75" customHeight="1" x14ac:dyDescent="0.2">
      <c r="A108" s="3">
        <f t="shared" si="1"/>
        <v>2106</v>
      </c>
      <c r="B108" s="3" t="s">
        <v>1270</v>
      </c>
      <c r="C108" s="3" t="s">
        <v>732</v>
      </c>
      <c r="D108" s="27" t="s">
        <v>1360</v>
      </c>
      <c r="E108" s="5" t="s">
        <v>1363</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570</v>
      </c>
      <c r="AN108" s="3" t="s">
        <v>1998</v>
      </c>
      <c r="AO108" s="3" t="s">
        <v>1850</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c r="BP108" s="6" t="s">
        <v>50</v>
      </c>
      <c r="BQ108">
        <v>0</v>
      </c>
      <c r="BR108" s="6" t="s">
        <v>50</v>
      </c>
      <c r="BS108">
        <v>0</v>
      </c>
      <c r="BT108" s="6" t="s">
        <v>50</v>
      </c>
      <c r="BU108">
        <v>0</v>
      </c>
    </row>
    <row r="109" spans="1:73" ht="15.75" customHeight="1" x14ac:dyDescent="0.2">
      <c r="A109" s="3">
        <f t="shared" si="1"/>
        <v>2107</v>
      </c>
      <c r="B109" s="3" t="s">
        <v>1271</v>
      </c>
      <c r="C109" s="3" t="s">
        <v>816</v>
      </c>
      <c r="D109" s="27"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570</v>
      </c>
      <c r="AN109" s="3" t="s">
        <v>1998</v>
      </c>
      <c r="AO109" s="3" t="s">
        <v>1850</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c r="BP109" s="6" t="s">
        <v>50</v>
      </c>
      <c r="BQ109">
        <v>0</v>
      </c>
      <c r="BR109" s="6" t="s">
        <v>50</v>
      </c>
      <c r="BS109">
        <v>0</v>
      </c>
      <c r="BT109" s="6" t="s">
        <v>50</v>
      </c>
      <c r="BU109">
        <v>0</v>
      </c>
    </row>
    <row r="110" spans="1:73" ht="15.75" customHeight="1" x14ac:dyDescent="0.2">
      <c r="A110" s="3">
        <f t="shared" si="1"/>
        <v>2108</v>
      </c>
      <c r="B110" s="3" t="s">
        <v>1174</v>
      </c>
      <c r="C110" s="3" t="s">
        <v>749</v>
      </c>
      <c r="D110" s="27"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570</v>
      </c>
      <c r="AN110" s="3" t="s">
        <v>1998</v>
      </c>
      <c r="AO110" s="3" t="s">
        <v>1850</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row>
    <row r="111" spans="1:73" s="9" customFormat="1" ht="15.75" customHeight="1" x14ac:dyDescent="0.2">
      <c r="A111" s="3">
        <f t="shared" si="1"/>
        <v>2109</v>
      </c>
      <c r="B111" s="7" t="s">
        <v>435</v>
      </c>
      <c r="C111" s="7" t="s">
        <v>751</v>
      </c>
      <c r="D111" s="28"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1998</v>
      </c>
      <c r="AO111" s="7" t="s">
        <v>1850</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c r="BP111" s="10" t="s">
        <v>50</v>
      </c>
      <c r="BQ111" s="9">
        <v>0</v>
      </c>
      <c r="BR111" s="10" t="s">
        <v>50</v>
      </c>
      <c r="BS111" s="9">
        <v>0</v>
      </c>
      <c r="BT111" s="10" t="s">
        <v>50</v>
      </c>
      <c r="BU111" s="9">
        <v>0</v>
      </c>
    </row>
    <row r="112" spans="1:73" ht="15.75" customHeight="1" x14ac:dyDescent="0.2">
      <c r="A112" s="3">
        <f t="shared" si="1"/>
        <v>2110</v>
      </c>
      <c r="B112" s="3" t="s">
        <v>1407</v>
      </c>
      <c r="C112" s="3" t="s">
        <v>3192</v>
      </c>
      <c r="D112" s="27" t="s">
        <v>3193</v>
      </c>
      <c r="E112" s="5" t="s">
        <v>3194</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1998</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row>
    <row r="113" spans="1:73" s="23" customFormat="1" ht="15.75" customHeight="1" x14ac:dyDescent="0.2">
      <c r="A113" s="21">
        <f t="shared" si="1"/>
        <v>2111</v>
      </c>
      <c r="B113" s="21" t="s">
        <v>305</v>
      </c>
      <c r="C113" s="21" t="s">
        <v>2333</v>
      </c>
      <c r="D113" s="22" t="s">
        <v>2334</v>
      </c>
      <c r="E113" s="22" t="s">
        <v>2282</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1852</v>
      </c>
      <c r="AN113" s="21" t="s">
        <v>2012</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c r="BP113" s="24" t="s">
        <v>50</v>
      </c>
      <c r="BQ113" s="23">
        <v>0</v>
      </c>
      <c r="BR113" s="24" t="s">
        <v>50</v>
      </c>
      <c r="BS113" s="23">
        <v>0</v>
      </c>
      <c r="BT113" s="24" t="s">
        <v>50</v>
      </c>
      <c r="BU113" s="23">
        <v>0</v>
      </c>
    </row>
    <row r="114" spans="1:73" s="18" customFormat="1" ht="15.75" customHeight="1" x14ac:dyDescent="0.2">
      <c r="A114" s="16">
        <f t="shared" si="1"/>
        <v>2112</v>
      </c>
      <c r="B114" s="16" t="s">
        <v>1542</v>
      </c>
      <c r="C114" s="16" t="s">
        <v>1542</v>
      </c>
      <c r="D114" s="29" t="s">
        <v>1541</v>
      </c>
      <c r="E114" s="17" t="s">
        <v>1543</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1544</v>
      </c>
      <c r="AN114" s="16" t="s">
        <v>3100</v>
      </c>
      <c r="AO114" s="16" t="s">
        <v>1850</v>
      </c>
      <c r="AP114" s="16">
        <v>30</v>
      </c>
      <c r="AQ114" s="16">
        <v>2.5</v>
      </c>
      <c r="AR114" s="18">
        <v>2500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1</v>
      </c>
      <c r="BN114" s="18">
        <v>0</v>
      </c>
      <c r="BO114" s="18">
        <v>0</v>
      </c>
      <c r="BP114" s="19" t="s">
        <v>50</v>
      </c>
      <c r="BQ114" s="18">
        <v>0</v>
      </c>
      <c r="BR114" s="19" t="s">
        <v>50</v>
      </c>
      <c r="BS114" s="18">
        <v>0</v>
      </c>
      <c r="BT114" s="19" t="s">
        <v>50</v>
      </c>
      <c r="BU114" s="18">
        <v>0</v>
      </c>
    </row>
    <row r="115" spans="1:73" s="23" customFormat="1" ht="15.75" customHeight="1" x14ac:dyDescent="0.2">
      <c r="A115" s="21">
        <f t="shared" si="1"/>
        <v>2113</v>
      </c>
      <c r="B115" s="21" t="s">
        <v>305</v>
      </c>
      <c r="C115" s="21" t="s">
        <v>2353</v>
      </c>
      <c r="D115" s="22" t="s">
        <v>2354</v>
      </c>
      <c r="E115" s="22" t="s">
        <v>2282</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1852</v>
      </c>
      <c r="AN115" s="21" t="s">
        <v>2012</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c r="BP115" s="24" t="s">
        <v>50</v>
      </c>
      <c r="BQ115" s="23">
        <v>0</v>
      </c>
      <c r="BR115" s="24" t="s">
        <v>50</v>
      </c>
      <c r="BS115" s="23">
        <v>0</v>
      </c>
      <c r="BT115" s="24" t="s">
        <v>50</v>
      </c>
      <c r="BU115" s="23">
        <v>0</v>
      </c>
    </row>
    <row r="116" spans="1:73" ht="15.75" customHeight="1" x14ac:dyDescent="0.2">
      <c r="A116" s="3">
        <f t="shared" si="1"/>
        <v>2114</v>
      </c>
      <c r="B116" s="3" t="s">
        <v>1132</v>
      </c>
      <c r="C116" s="3" t="s">
        <v>1132</v>
      </c>
      <c r="D116" s="27" t="s">
        <v>1372</v>
      </c>
      <c r="E116" s="5" t="s">
        <v>1371</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0</v>
      </c>
      <c r="AH116" s="3">
        <v>0</v>
      </c>
      <c r="AI116" s="3">
        <v>0</v>
      </c>
      <c r="AJ116" s="3">
        <v>0</v>
      </c>
      <c r="AK116" s="3">
        <v>0</v>
      </c>
      <c r="AL116" s="3" t="s">
        <v>31</v>
      </c>
      <c r="AM116" s="3" t="s">
        <v>1024</v>
      </c>
      <c r="AN116" s="3" t="s">
        <v>2000</v>
      </c>
      <c r="AO116" s="3" t="s">
        <v>1032</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1349</v>
      </c>
      <c r="BE116" s="6" t="s">
        <v>50</v>
      </c>
      <c r="BF116" s="6" t="s">
        <v>50</v>
      </c>
      <c r="BG116" s="6" t="s">
        <v>50</v>
      </c>
      <c r="BH116" s="6" t="s">
        <v>50</v>
      </c>
      <c r="BI116">
        <v>1</v>
      </c>
      <c r="BJ116">
        <v>720</v>
      </c>
      <c r="BK116">
        <v>2</v>
      </c>
      <c r="BL116">
        <v>30</v>
      </c>
      <c r="BM116">
        <v>0</v>
      </c>
      <c r="BN116">
        <v>0</v>
      </c>
      <c r="BO116">
        <v>0</v>
      </c>
      <c r="BP116" s="6" t="s">
        <v>50</v>
      </c>
      <c r="BQ116">
        <v>0</v>
      </c>
      <c r="BR116" s="6" t="s">
        <v>50</v>
      </c>
      <c r="BS116">
        <v>0</v>
      </c>
      <c r="BT116" s="6" t="s">
        <v>50</v>
      </c>
      <c r="BU116">
        <v>0</v>
      </c>
    </row>
    <row r="117" spans="1:73" s="43" customFormat="1" ht="15.75" customHeight="1" x14ac:dyDescent="0.2">
      <c r="A117" s="40">
        <f t="shared" si="1"/>
        <v>2115</v>
      </c>
      <c r="B117" s="40" t="s">
        <v>1132</v>
      </c>
      <c r="C117" s="40" t="s">
        <v>2935</v>
      </c>
      <c r="D117" s="41" t="s">
        <v>3118</v>
      </c>
      <c r="E117" s="42" t="s">
        <v>2936</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20</v>
      </c>
      <c r="AG117" s="40">
        <v>0</v>
      </c>
      <c r="AH117" s="40">
        <v>0</v>
      </c>
      <c r="AI117" s="40">
        <v>0</v>
      </c>
      <c r="AJ117" s="40">
        <v>0</v>
      </c>
      <c r="AK117" s="40">
        <v>0</v>
      </c>
      <c r="AL117" s="40" t="s">
        <v>31</v>
      </c>
      <c r="AM117" s="40" t="s">
        <v>1024</v>
      </c>
      <c r="AN117" s="40" t="s">
        <v>3101</v>
      </c>
      <c r="AO117" s="40" t="s">
        <v>1032</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1349</v>
      </c>
      <c r="BE117" s="44" t="s">
        <v>50</v>
      </c>
      <c r="BF117" s="44" t="s">
        <v>50</v>
      </c>
      <c r="BG117" s="44" t="s">
        <v>50</v>
      </c>
      <c r="BH117" s="44" t="s">
        <v>50</v>
      </c>
      <c r="BI117" s="43">
        <v>1</v>
      </c>
      <c r="BJ117" s="43">
        <v>722</v>
      </c>
      <c r="BK117" s="43">
        <v>2</v>
      </c>
      <c r="BL117" s="43">
        <v>30</v>
      </c>
      <c r="BM117" s="43">
        <v>0</v>
      </c>
      <c r="BN117" s="43">
        <v>0</v>
      </c>
      <c r="BO117" s="43">
        <v>0</v>
      </c>
      <c r="BP117" s="44" t="s">
        <v>50</v>
      </c>
      <c r="BQ117" s="43">
        <v>0</v>
      </c>
      <c r="BR117" s="44" t="s">
        <v>50</v>
      </c>
      <c r="BS117" s="43">
        <v>0</v>
      </c>
      <c r="BT117" s="44" t="s">
        <v>50</v>
      </c>
      <c r="BU117" s="43">
        <v>0</v>
      </c>
    </row>
    <row r="118" spans="1:73" ht="15.75" customHeight="1" x14ac:dyDescent="0.2">
      <c r="A118" s="3">
        <f t="shared" si="1"/>
        <v>2116</v>
      </c>
      <c r="B118" s="3" t="s">
        <v>1023</v>
      </c>
      <c r="C118" s="3" t="s">
        <v>1023</v>
      </c>
      <c r="D118" s="27" t="s">
        <v>3126</v>
      </c>
      <c r="E118" s="5" t="s">
        <v>1494</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1024</v>
      </c>
      <c r="AN118" s="3" t="s">
        <v>2000</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1350</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row>
    <row r="119" spans="1:73" ht="15.75" customHeight="1" x14ac:dyDescent="0.2">
      <c r="A119" s="3">
        <f t="shared" si="1"/>
        <v>2117</v>
      </c>
      <c r="B119" s="3" t="s">
        <v>2696</v>
      </c>
      <c r="C119" s="3" t="s">
        <v>2696</v>
      </c>
      <c r="D119" s="27" t="s">
        <v>2695</v>
      </c>
      <c r="E119" s="5" t="s">
        <v>2865</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0</v>
      </c>
      <c r="AH119" s="3">
        <v>0</v>
      </c>
      <c r="AI119" s="3">
        <v>0</v>
      </c>
      <c r="AJ119" s="3">
        <v>0</v>
      </c>
      <c r="AK119" s="3">
        <v>0</v>
      </c>
      <c r="AL119" s="3" t="s">
        <v>31</v>
      </c>
      <c r="AM119" s="3" t="s">
        <v>1024</v>
      </c>
      <c r="AN119" s="3" t="s">
        <v>2000</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50</v>
      </c>
      <c r="BS119">
        <v>0</v>
      </c>
      <c r="BT119" s="6" t="s">
        <v>50</v>
      </c>
      <c r="BU119">
        <v>0</v>
      </c>
    </row>
    <row r="120" spans="1:73" ht="15.75" customHeight="1" x14ac:dyDescent="0.2">
      <c r="A120" s="3">
        <f t="shared" si="1"/>
        <v>2118</v>
      </c>
      <c r="B120" s="3" t="s">
        <v>2872</v>
      </c>
      <c r="C120" s="3" t="s">
        <v>2872</v>
      </c>
      <c r="D120" s="27" t="s">
        <v>3119</v>
      </c>
      <c r="E120" s="5" t="s">
        <v>2873</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0</v>
      </c>
      <c r="AH120" s="3">
        <v>0</v>
      </c>
      <c r="AI120" s="3">
        <v>0</v>
      </c>
      <c r="AJ120" s="3">
        <v>0</v>
      </c>
      <c r="AK120" s="3">
        <v>0</v>
      </c>
      <c r="AL120" s="3" t="s">
        <v>31</v>
      </c>
      <c r="AM120" s="3" t="s">
        <v>1024</v>
      </c>
      <c r="AN120" s="3" t="s">
        <v>3101</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3624</v>
      </c>
      <c r="BQ120">
        <v>30</v>
      </c>
      <c r="BR120" s="6" t="s">
        <v>50</v>
      </c>
      <c r="BS120">
        <v>0</v>
      </c>
      <c r="BT120" s="6" t="s">
        <v>50</v>
      </c>
      <c r="BU120">
        <v>0</v>
      </c>
    </row>
    <row r="121" spans="1:73" ht="15.75" customHeight="1" x14ac:dyDescent="0.2">
      <c r="A121" s="3">
        <f t="shared" si="1"/>
        <v>2119</v>
      </c>
      <c r="B121" s="3" t="s">
        <v>2799</v>
      </c>
      <c r="C121" s="3" t="s">
        <v>2799</v>
      </c>
      <c r="D121" s="27" t="s">
        <v>2734</v>
      </c>
      <c r="E121" s="5" t="s">
        <v>2735</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0</v>
      </c>
      <c r="AJ121" s="3">
        <v>0</v>
      </c>
      <c r="AK121" s="3">
        <v>0</v>
      </c>
      <c r="AL121" s="3" t="s">
        <v>31</v>
      </c>
      <c r="AM121" s="3" t="s">
        <v>1024</v>
      </c>
      <c r="AN121" s="3" t="s">
        <v>2000</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50</v>
      </c>
      <c r="BS121">
        <v>0</v>
      </c>
      <c r="BT121" s="6" t="s">
        <v>50</v>
      </c>
      <c r="BU121">
        <v>0</v>
      </c>
    </row>
    <row r="122" spans="1:73" ht="15.75" customHeight="1" x14ac:dyDescent="0.2">
      <c r="A122" s="3">
        <f t="shared" si="1"/>
        <v>2120</v>
      </c>
      <c r="B122" s="3" t="s">
        <v>2797</v>
      </c>
      <c r="C122" s="3" t="s">
        <v>2797</v>
      </c>
      <c r="D122" s="27" t="s">
        <v>2796</v>
      </c>
      <c r="E122" s="5" t="s">
        <v>2798</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0</v>
      </c>
      <c r="AH122" s="3">
        <v>0</v>
      </c>
      <c r="AI122" s="3">
        <v>0</v>
      </c>
      <c r="AJ122" s="3">
        <v>0</v>
      </c>
      <c r="AK122" s="3">
        <v>0</v>
      </c>
      <c r="AL122" s="3" t="s">
        <v>31</v>
      </c>
      <c r="AM122" s="3" t="s">
        <v>1024</v>
      </c>
      <c r="AN122" s="3" t="s">
        <v>2000</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row>
    <row r="123" spans="1:73" s="23" customFormat="1" ht="15.75" customHeight="1" x14ac:dyDescent="0.2">
      <c r="A123" s="21">
        <f t="shared" si="1"/>
        <v>2121</v>
      </c>
      <c r="B123" s="21" t="s">
        <v>305</v>
      </c>
      <c r="C123" s="21" t="s">
        <v>2329</v>
      </c>
      <c r="D123" s="22" t="s">
        <v>2330</v>
      </c>
      <c r="E123" s="22" t="s">
        <v>2282</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1852</v>
      </c>
      <c r="AN123" s="21" t="s">
        <v>2012</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c r="BP123" s="24" t="s">
        <v>50</v>
      </c>
      <c r="BQ123" s="23">
        <v>0</v>
      </c>
      <c r="BR123" s="24" t="s">
        <v>50</v>
      </c>
      <c r="BS123" s="23">
        <v>0</v>
      </c>
      <c r="BT123" s="24" t="s">
        <v>50</v>
      </c>
      <c r="BU123" s="23">
        <v>0</v>
      </c>
    </row>
    <row r="124" spans="1:73" ht="15.75" customHeight="1" x14ac:dyDescent="0.2">
      <c r="A124" s="3">
        <f t="shared" si="1"/>
        <v>2122</v>
      </c>
      <c r="B124" s="3" t="s">
        <v>497</v>
      </c>
      <c r="C124" s="3" t="s">
        <v>497</v>
      </c>
      <c r="D124" s="27"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0</v>
      </c>
      <c r="AI124" s="3">
        <v>0</v>
      </c>
      <c r="AJ124" s="3">
        <v>0</v>
      </c>
      <c r="AK124" s="3">
        <v>30</v>
      </c>
      <c r="AL124" s="3" t="s">
        <v>31</v>
      </c>
      <c r="AM124" s="3" t="s">
        <v>660</v>
      </c>
      <c r="AN124" s="3" t="s">
        <v>2001</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row>
    <row r="125" spans="1:73" ht="15.75" customHeight="1" x14ac:dyDescent="0.2">
      <c r="A125" s="3">
        <f t="shared" si="1"/>
        <v>2123</v>
      </c>
      <c r="B125" s="3" t="s">
        <v>1086</v>
      </c>
      <c r="C125" s="3" t="s">
        <v>1086</v>
      </c>
      <c r="D125" s="27" t="s">
        <v>1085</v>
      </c>
      <c r="E125" s="5" t="s">
        <v>1507</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0</v>
      </c>
      <c r="AH125" s="3">
        <v>0</v>
      </c>
      <c r="AI125" s="3">
        <v>0</v>
      </c>
      <c r="AJ125" s="3">
        <v>0</v>
      </c>
      <c r="AK125" s="3">
        <v>30</v>
      </c>
      <c r="AL125" s="3" t="s">
        <v>31</v>
      </c>
      <c r="AM125" s="3" t="s">
        <v>660</v>
      </c>
      <c r="AN125" s="3" t="s">
        <v>2001</v>
      </c>
      <c r="AO125" s="3" t="s">
        <v>1850</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3624</v>
      </c>
      <c r="BQ125">
        <v>10</v>
      </c>
      <c r="BR125" s="6" t="s">
        <v>50</v>
      </c>
      <c r="BS125">
        <v>0</v>
      </c>
      <c r="BT125" s="6" t="s">
        <v>50</v>
      </c>
      <c r="BU125">
        <v>0</v>
      </c>
    </row>
    <row r="126" spans="1:73" ht="15.75" customHeight="1" x14ac:dyDescent="0.2">
      <c r="A126" s="3">
        <f t="shared" si="1"/>
        <v>2124</v>
      </c>
      <c r="B126" s="3" t="s">
        <v>1231</v>
      </c>
      <c r="C126" s="3" t="s">
        <v>1231</v>
      </c>
      <c r="D126" s="27" t="s">
        <v>1232</v>
      </c>
      <c r="E126" s="5" t="s">
        <v>1233</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2001</v>
      </c>
      <c r="AO126" s="3" t="s">
        <v>1850</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row>
    <row r="127" spans="1:73" ht="15.75" customHeight="1" x14ac:dyDescent="0.2">
      <c r="A127" s="3">
        <f t="shared" si="1"/>
        <v>2125</v>
      </c>
      <c r="B127" s="3" t="s">
        <v>1134</v>
      </c>
      <c r="C127" s="3" t="s">
        <v>1134</v>
      </c>
      <c r="D127" s="27" t="s">
        <v>1133</v>
      </c>
      <c r="E127" s="5" t="s">
        <v>1373</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0</v>
      </c>
      <c r="AJ127" s="3">
        <v>0</v>
      </c>
      <c r="AK127" s="3">
        <v>30</v>
      </c>
      <c r="AL127" s="3" t="s">
        <v>31</v>
      </c>
      <c r="AM127" s="3" t="s">
        <v>660</v>
      </c>
      <c r="AN127" s="3" t="s">
        <v>2001</v>
      </c>
      <c r="AO127" s="3" t="s">
        <v>1850</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50</v>
      </c>
      <c r="BS127">
        <v>0</v>
      </c>
      <c r="BT127" s="6" t="s">
        <v>50</v>
      </c>
      <c r="BU127">
        <v>0</v>
      </c>
    </row>
    <row r="128" spans="1:73" ht="15.75" customHeight="1" x14ac:dyDescent="0.2">
      <c r="A128" s="3">
        <f t="shared" si="1"/>
        <v>2126</v>
      </c>
      <c r="B128" s="3" t="s">
        <v>1136</v>
      </c>
      <c r="C128" s="3" t="s">
        <v>1136</v>
      </c>
      <c r="D128" s="27" t="s">
        <v>1135</v>
      </c>
      <c r="E128" s="5" t="s">
        <v>1137</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0</v>
      </c>
      <c r="AJ128" s="3">
        <v>0</v>
      </c>
      <c r="AK128" s="3">
        <v>30</v>
      </c>
      <c r="AL128" s="3" t="s">
        <v>31</v>
      </c>
      <c r="AM128" s="3" t="s">
        <v>660</v>
      </c>
      <c r="AN128" s="3" t="s">
        <v>2001</v>
      </c>
      <c r="AO128" s="3" t="s">
        <v>1850</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3624</v>
      </c>
      <c r="BQ128">
        <v>20</v>
      </c>
      <c r="BR128" s="6" t="s">
        <v>50</v>
      </c>
      <c r="BS128">
        <v>0</v>
      </c>
      <c r="BT128" s="6" t="s">
        <v>50</v>
      </c>
      <c r="BU128">
        <v>0</v>
      </c>
    </row>
    <row r="129" spans="1:73" s="23" customFormat="1" ht="15.75" customHeight="1" x14ac:dyDescent="0.2">
      <c r="A129" s="21">
        <f t="shared" si="1"/>
        <v>2127</v>
      </c>
      <c r="B129" s="21" t="s">
        <v>305</v>
      </c>
      <c r="C129" s="21" t="s">
        <v>2340</v>
      </c>
      <c r="D129" s="22" t="s">
        <v>2341</v>
      </c>
      <c r="E129" s="22" t="s">
        <v>2282</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1852</v>
      </c>
      <c r="AN129" s="21" t="s">
        <v>2012</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c r="BP129" s="24" t="s">
        <v>50</v>
      </c>
      <c r="BQ129" s="23">
        <v>0</v>
      </c>
      <c r="BR129" s="24" t="s">
        <v>50</v>
      </c>
      <c r="BS129" s="23">
        <v>0</v>
      </c>
      <c r="BT129" s="24" t="s">
        <v>50</v>
      </c>
      <c r="BU129" s="23">
        <v>0</v>
      </c>
    </row>
    <row r="130" spans="1:73"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2004</v>
      </c>
      <c r="AO130" s="3" t="s">
        <v>1850</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row>
    <row r="131" spans="1:73" s="9" customFormat="1" ht="15.75" customHeight="1" x14ac:dyDescent="0.2">
      <c r="A131" s="7">
        <f t="shared" ref="A131:A195" si="2">ROW()+1998</f>
        <v>2129</v>
      </c>
      <c r="B131" s="7" t="s">
        <v>394</v>
      </c>
      <c r="C131" s="7" t="s">
        <v>393</v>
      </c>
      <c r="D131" s="28"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2004</v>
      </c>
      <c r="AO131" s="7" t="s">
        <v>1850</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row>
    <row r="132" spans="1:73" s="9" customFormat="1" ht="15.75" customHeight="1" x14ac:dyDescent="0.2">
      <c r="A132" s="7">
        <f t="shared" si="2"/>
        <v>2130</v>
      </c>
      <c r="B132" s="7" t="s">
        <v>235</v>
      </c>
      <c r="C132" s="7" t="s">
        <v>2337</v>
      </c>
      <c r="D132" s="28" t="s">
        <v>2338</v>
      </c>
      <c r="E132" s="8" t="s">
        <v>2339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2004</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row>
    <row r="133" spans="1:73" s="23" customFormat="1" ht="15.75" customHeight="1" x14ac:dyDescent="0.2">
      <c r="A133" s="21">
        <f t="shared" si="2"/>
        <v>2131</v>
      </c>
      <c r="B133" s="21" t="s">
        <v>305</v>
      </c>
      <c r="C133" s="21" t="s">
        <v>2327</v>
      </c>
      <c r="D133" s="22" t="s">
        <v>2328</v>
      </c>
      <c r="E133" s="22" t="s">
        <v>2282</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1852</v>
      </c>
      <c r="AN133" s="21" t="s">
        <v>2012</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c r="BP133" s="24" t="s">
        <v>50</v>
      </c>
      <c r="BQ133" s="23">
        <v>0</v>
      </c>
      <c r="BR133" s="24" t="s">
        <v>50</v>
      </c>
      <c r="BS133" s="23">
        <v>0</v>
      </c>
      <c r="BT133" s="24" t="s">
        <v>50</v>
      </c>
      <c r="BU133" s="23">
        <v>0</v>
      </c>
    </row>
    <row r="134" spans="1:73"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0</v>
      </c>
      <c r="AF134" s="3">
        <v>0</v>
      </c>
      <c r="AG134" s="3">
        <v>0</v>
      </c>
      <c r="AH134" s="3">
        <v>0</v>
      </c>
      <c r="AI134" s="3">
        <v>0</v>
      </c>
      <c r="AJ134" s="3">
        <v>0</v>
      </c>
      <c r="AK134" s="3">
        <v>0</v>
      </c>
      <c r="AL134" s="3" t="s">
        <v>31</v>
      </c>
      <c r="AM134" s="3" t="s">
        <v>2275</v>
      </c>
      <c r="AN134" s="3" t="s">
        <v>2006</v>
      </c>
      <c r="AO134" s="3" t="s">
        <v>1850</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3624</v>
      </c>
      <c r="BQ134">
        <v>10</v>
      </c>
      <c r="BR134" s="6" t="s">
        <v>50</v>
      </c>
      <c r="BS134">
        <v>0</v>
      </c>
      <c r="BT134" s="6" t="s">
        <v>50</v>
      </c>
      <c r="BU134">
        <v>0</v>
      </c>
    </row>
    <row r="135" spans="1:73" s="43" customFormat="1" ht="15.75" customHeight="1" x14ac:dyDescent="0.2">
      <c r="A135" s="40">
        <f t="shared" si="2"/>
        <v>2133</v>
      </c>
      <c r="B135" s="40" t="s">
        <v>2080</v>
      </c>
      <c r="C135" s="40" t="s">
        <v>2243</v>
      </c>
      <c r="D135" s="41" t="s">
        <v>2361</v>
      </c>
      <c r="E135" s="42" t="s">
        <v>2694</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120</v>
      </c>
      <c r="Z135" s="40">
        <v>0</v>
      </c>
      <c r="AA135" s="40">
        <v>0</v>
      </c>
      <c r="AB135" s="40">
        <v>0</v>
      </c>
      <c r="AC135" s="40">
        <v>0</v>
      </c>
      <c r="AD135" s="40">
        <v>0</v>
      </c>
      <c r="AE135" s="40">
        <v>0</v>
      </c>
      <c r="AF135" s="40">
        <v>0</v>
      </c>
      <c r="AG135" s="40">
        <v>0</v>
      </c>
      <c r="AH135" s="40">
        <v>0</v>
      </c>
      <c r="AI135" s="40">
        <v>0</v>
      </c>
      <c r="AJ135" s="40">
        <v>0</v>
      </c>
      <c r="AK135" s="40">
        <v>0</v>
      </c>
      <c r="AL135" s="40" t="s">
        <v>31</v>
      </c>
      <c r="AM135" s="40" t="s">
        <v>2275</v>
      </c>
      <c r="AN135" s="40" t="s">
        <v>2274</v>
      </c>
      <c r="AO135" s="40" t="s">
        <v>50</v>
      </c>
      <c r="AP135" s="40">
        <v>50</v>
      </c>
      <c r="AQ135" s="40">
        <v>2.2000000000000002</v>
      </c>
      <c r="AR135" s="43">
        <v>2200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c r="BP135" s="44" t="s">
        <v>3624</v>
      </c>
      <c r="BQ135" s="43">
        <v>30</v>
      </c>
      <c r="BR135" s="44" t="s">
        <v>50</v>
      </c>
      <c r="BS135" s="43">
        <v>0</v>
      </c>
      <c r="BT135" s="44" t="s">
        <v>50</v>
      </c>
      <c r="BU135" s="43">
        <v>0</v>
      </c>
    </row>
    <row r="136" spans="1:73" s="43" customFormat="1" ht="15.75" customHeight="1" x14ac:dyDescent="0.2">
      <c r="A136" s="40">
        <f t="shared" si="2"/>
        <v>2134</v>
      </c>
      <c r="B136" s="40" t="s">
        <v>2081</v>
      </c>
      <c r="C136" s="40" t="s">
        <v>2244</v>
      </c>
      <c r="D136" s="41" t="s">
        <v>2360</v>
      </c>
      <c r="E136" s="42" t="s">
        <v>2364</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120</v>
      </c>
      <c r="Z136" s="40">
        <v>0</v>
      </c>
      <c r="AA136" s="40">
        <v>0</v>
      </c>
      <c r="AB136" s="40">
        <v>0</v>
      </c>
      <c r="AC136" s="40">
        <v>0</v>
      </c>
      <c r="AD136" s="40">
        <v>0</v>
      </c>
      <c r="AE136" s="40">
        <v>0</v>
      </c>
      <c r="AF136" s="40">
        <v>0</v>
      </c>
      <c r="AG136" s="40">
        <v>0</v>
      </c>
      <c r="AH136" s="40">
        <v>0</v>
      </c>
      <c r="AI136" s="40">
        <v>0</v>
      </c>
      <c r="AJ136" s="40">
        <v>0</v>
      </c>
      <c r="AK136" s="40">
        <v>0</v>
      </c>
      <c r="AL136" s="40" t="s">
        <v>31</v>
      </c>
      <c r="AM136" s="40" t="s">
        <v>2275</v>
      </c>
      <c r="AN136" s="40" t="s">
        <v>2274</v>
      </c>
      <c r="AO136" s="40" t="s">
        <v>50</v>
      </c>
      <c r="AP136" s="40">
        <v>50</v>
      </c>
      <c r="AQ136" s="40">
        <v>2.2000000000000002</v>
      </c>
      <c r="AR136" s="43">
        <v>2200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c r="BP136" s="44" t="s">
        <v>3624</v>
      </c>
      <c r="BQ136" s="43">
        <v>30</v>
      </c>
      <c r="BR136" s="44" t="s">
        <v>50</v>
      </c>
      <c r="BS136" s="43">
        <v>0</v>
      </c>
      <c r="BT136" s="44" t="s">
        <v>50</v>
      </c>
      <c r="BU136" s="43">
        <v>0</v>
      </c>
    </row>
    <row r="137" spans="1:73" s="43" customFormat="1" ht="15.75" customHeight="1" x14ac:dyDescent="0.2">
      <c r="A137" s="40">
        <f t="shared" si="2"/>
        <v>2135</v>
      </c>
      <c r="B137" s="40" t="s">
        <v>2081</v>
      </c>
      <c r="C137" s="40" t="s">
        <v>2250</v>
      </c>
      <c r="D137" s="41" t="s">
        <v>2365</v>
      </c>
      <c r="E137" s="42" t="s">
        <v>2363</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120</v>
      </c>
      <c r="Z137" s="40">
        <v>0</v>
      </c>
      <c r="AA137" s="40">
        <v>0</v>
      </c>
      <c r="AB137" s="40">
        <v>0</v>
      </c>
      <c r="AC137" s="40">
        <v>0</v>
      </c>
      <c r="AD137" s="40">
        <v>0</v>
      </c>
      <c r="AE137" s="40">
        <v>0</v>
      </c>
      <c r="AF137" s="40">
        <v>0</v>
      </c>
      <c r="AG137" s="40">
        <v>0</v>
      </c>
      <c r="AH137" s="40">
        <v>0</v>
      </c>
      <c r="AI137" s="40">
        <v>0</v>
      </c>
      <c r="AJ137" s="40">
        <v>0</v>
      </c>
      <c r="AK137" s="40">
        <v>0</v>
      </c>
      <c r="AL137" s="40" t="s">
        <v>31</v>
      </c>
      <c r="AM137" s="40" t="s">
        <v>2275</v>
      </c>
      <c r="AN137" s="40" t="s">
        <v>2274</v>
      </c>
      <c r="AO137" s="40" t="s">
        <v>50</v>
      </c>
      <c r="AP137" s="40">
        <v>50</v>
      </c>
      <c r="AQ137" s="40">
        <v>2.2000000000000002</v>
      </c>
      <c r="AR137" s="43">
        <v>2200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c r="BP137" s="44" t="s">
        <v>3624</v>
      </c>
      <c r="BQ137" s="43">
        <v>30</v>
      </c>
      <c r="BR137" s="44" t="s">
        <v>50</v>
      </c>
      <c r="BS137" s="43">
        <v>0</v>
      </c>
      <c r="BT137" s="44" t="s">
        <v>50</v>
      </c>
      <c r="BU137" s="43">
        <v>0</v>
      </c>
    </row>
    <row r="138" spans="1:73" s="43" customFormat="1" ht="15.75" customHeight="1" x14ac:dyDescent="0.2">
      <c r="A138" s="40">
        <f t="shared" si="2"/>
        <v>2136</v>
      </c>
      <c r="B138" s="40" t="s">
        <v>2081</v>
      </c>
      <c r="C138" s="40" t="s">
        <v>2246</v>
      </c>
      <c r="D138" s="41" t="s">
        <v>2245</v>
      </c>
      <c r="E138" s="42" t="s">
        <v>2362</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120</v>
      </c>
      <c r="Z138" s="40">
        <v>0</v>
      </c>
      <c r="AA138" s="40">
        <v>0</v>
      </c>
      <c r="AB138" s="40">
        <v>0</v>
      </c>
      <c r="AC138" s="40">
        <v>0</v>
      </c>
      <c r="AD138" s="40">
        <v>0</v>
      </c>
      <c r="AE138" s="40">
        <v>0</v>
      </c>
      <c r="AF138" s="40">
        <v>0</v>
      </c>
      <c r="AG138" s="40">
        <v>0</v>
      </c>
      <c r="AH138" s="40">
        <v>0</v>
      </c>
      <c r="AI138" s="40">
        <v>0</v>
      </c>
      <c r="AJ138" s="40">
        <v>0</v>
      </c>
      <c r="AK138" s="40">
        <v>0</v>
      </c>
      <c r="AL138" s="40" t="s">
        <v>31</v>
      </c>
      <c r="AM138" s="40" t="s">
        <v>2275</v>
      </c>
      <c r="AN138" s="40" t="s">
        <v>2274</v>
      </c>
      <c r="AO138" s="40" t="s">
        <v>50</v>
      </c>
      <c r="AP138" s="40">
        <v>50</v>
      </c>
      <c r="AQ138" s="40">
        <v>2.2000000000000002</v>
      </c>
      <c r="AR138" s="43">
        <v>2200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c r="BP138" s="44" t="s">
        <v>3624</v>
      </c>
      <c r="BQ138" s="43">
        <v>30</v>
      </c>
      <c r="BR138" s="44" t="s">
        <v>50</v>
      </c>
      <c r="BS138" s="43">
        <v>0</v>
      </c>
      <c r="BT138" s="44" t="s">
        <v>50</v>
      </c>
      <c r="BU138" s="43">
        <v>0</v>
      </c>
    </row>
    <row r="139" spans="1:73" s="23" customFormat="1" ht="15.75" customHeight="1" x14ac:dyDescent="0.2">
      <c r="A139" s="21">
        <f t="shared" si="2"/>
        <v>2137</v>
      </c>
      <c r="B139" s="21" t="s">
        <v>305</v>
      </c>
      <c r="C139" s="21" t="s">
        <v>2325</v>
      </c>
      <c r="D139" s="22" t="s">
        <v>2326</v>
      </c>
      <c r="E139" s="22" t="s">
        <v>2282</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1852</v>
      </c>
      <c r="AN139" s="21" t="s">
        <v>2012</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c r="BP139" s="24" t="s">
        <v>50</v>
      </c>
      <c r="BQ139" s="23">
        <v>0</v>
      </c>
      <c r="BR139" s="24" t="s">
        <v>50</v>
      </c>
      <c r="BS139" s="23">
        <v>0</v>
      </c>
      <c r="BT139" s="24" t="s">
        <v>50</v>
      </c>
      <c r="BU139" s="23">
        <v>0</v>
      </c>
    </row>
    <row r="140" spans="1:73" ht="15.75" customHeight="1" x14ac:dyDescent="0.2">
      <c r="A140" s="3">
        <f t="shared" si="2"/>
        <v>2138</v>
      </c>
      <c r="B140" s="3" t="s">
        <v>292</v>
      </c>
      <c r="C140" s="3" t="s">
        <v>292</v>
      </c>
      <c r="D140" s="27"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10</v>
      </c>
      <c r="AG140" s="3">
        <v>0</v>
      </c>
      <c r="AH140" s="3">
        <v>0</v>
      </c>
      <c r="AI140" s="3">
        <v>0</v>
      </c>
      <c r="AJ140" s="3">
        <v>0</v>
      </c>
      <c r="AK140" s="3">
        <v>0</v>
      </c>
      <c r="AL140" s="3" t="s">
        <v>31</v>
      </c>
      <c r="AM140" s="3" t="s">
        <v>658</v>
      </c>
      <c r="AN140" s="3" t="s">
        <v>2007</v>
      </c>
      <c r="AO140" s="3" t="s">
        <v>1850</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row>
    <row r="141" spans="1:73" ht="15.75" customHeight="1" x14ac:dyDescent="0.2">
      <c r="A141" s="3">
        <f t="shared" si="2"/>
        <v>2139</v>
      </c>
      <c r="B141" s="3" t="s">
        <v>1234</v>
      </c>
      <c r="C141" s="3" t="s">
        <v>1234</v>
      </c>
      <c r="D141" s="27" t="s">
        <v>1354</v>
      </c>
      <c r="E141" s="5" t="s">
        <v>1235</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10</v>
      </c>
      <c r="AG141" s="3">
        <v>0</v>
      </c>
      <c r="AH141" s="3">
        <v>0</v>
      </c>
      <c r="AI141" s="3">
        <v>0</v>
      </c>
      <c r="AJ141" s="3">
        <v>0</v>
      </c>
      <c r="AK141" s="3">
        <v>0</v>
      </c>
      <c r="AL141" s="3" t="s">
        <v>31</v>
      </c>
      <c r="AM141" s="3" t="s">
        <v>658</v>
      </c>
      <c r="AN141" s="3" t="s">
        <v>2007</v>
      </c>
      <c r="AO141" s="3" t="s">
        <v>1850</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row>
    <row r="142" spans="1:73" ht="15.75" customHeight="1" x14ac:dyDescent="0.2">
      <c r="A142" s="3">
        <f t="shared" si="2"/>
        <v>2140</v>
      </c>
      <c r="B142" s="3" t="s">
        <v>1237</v>
      </c>
      <c r="C142" s="3" t="s">
        <v>1237</v>
      </c>
      <c r="D142" s="27" t="s">
        <v>1355</v>
      </c>
      <c r="E142" s="5" t="s">
        <v>1236</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10</v>
      </c>
      <c r="AG142" s="3">
        <v>0</v>
      </c>
      <c r="AH142" s="3">
        <v>0</v>
      </c>
      <c r="AI142" s="3">
        <v>0</v>
      </c>
      <c r="AJ142" s="3">
        <v>0</v>
      </c>
      <c r="AK142" s="3">
        <v>0</v>
      </c>
      <c r="AL142" s="3" t="s">
        <v>31</v>
      </c>
      <c r="AM142" s="3" t="s">
        <v>658</v>
      </c>
      <c r="AN142" s="3" t="s">
        <v>2007</v>
      </c>
      <c r="AO142" s="3" t="s">
        <v>1850</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row>
    <row r="143" spans="1:73" ht="15.75" customHeight="1" x14ac:dyDescent="0.2">
      <c r="A143" s="3">
        <f t="shared" si="2"/>
        <v>2141</v>
      </c>
      <c r="B143" s="3" t="s">
        <v>2352</v>
      </c>
      <c r="C143" s="3" t="s">
        <v>2352</v>
      </c>
      <c r="D143" s="27" t="s">
        <v>2350</v>
      </c>
      <c r="E143" s="5" t="s">
        <v>2351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10</v>
      </c>
      <c r="AG143" s="3">
        <v>0</v>
      </c>
      <c r="AH143" s="3">
        <v>0</v>
      </c>
      <c r="AI143" s="3">
        <v>0</v>
      </c>
      <c r="AJ143" s="3">
        <v>0</v>
      </c>
      <c r="AK143" s="3">
        <v>0</v>
      </c>
      <c r="AL143" s="3" t="s">
        <v>31</v>
      </c>
      <c r="AM143" s="3" t="s">
        <v>658</v>
      </c>
      <c r="AN143" s="3" t="s">
        <v>2007</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c r="BP143" s="6" t="s">
        <v>50</v>
      </c>
      <c r="BQ143">
        <v>0</v>
      </c>
      <c r="BR143" s="6" t="s">
        <v>50</v>
      </c>
      <c r="BS143">
        <v>0</v>
      </c>
      <c r="BT143" s="6" t="s">
        <v>50</v>
      </c>
      <c r="BU143">
        <v>0</v>
      </c>
    </row>
    <row r="144" spans="1:73" ht="15.75" customHeight="1" x14ac:dyDescent="0.2">
      <c r="A144" s="3">
        <f t="shared" si="2"/>
        <v>2142</v>
      </c>
      <c r="B144" s="3" t="s">
        <v>3379</v>
      </c>
      <c r="C144" s="3" t="s">
        <v>406</v>
      </c>
      <c r="D144" s="27" t="s">
        <v>1090</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10</v>
      </c>
      <c r="AG144" s="3">
        <v>0</v>
      </c>
      <c r="AH144" s="3">
        <v>0</v>
      </c>
      <c r="AI144" s="3">
        <v>0</v>
      </c>
      <c r="AJ144" s="3">
        <v>0</v>
      </c>
      <c r="AK144" s="3">
        <v>0</v>
      </c>
      <c r="AL144" s="3" t="s">
        <v>31</v>
      </c>
      <c r="AM144" s="3" t="s">
        <v>658</v>
      </c>
      <c r="AN144" s="3" t="s">
        <v>2007</v>
      </c>
      <c r="AO144" s="3" t="s">
        <v>1850</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50</v>
      </c>
      <c r="BQ144">
        <v>0</v>
      </c>
      <c r="BR144" s="6" t="s">
        <v>50</v>
      </c>
      <c r="BS144">
        <v>0</v>
      </c>
      <c r="BT144" s="6" t="s">
        <v>50</v>
      </c>
      <c r="BU144">
        <v>0</v>
      </c>
    </row>
    <row r="145" spans="1:73" ht="15.75" customHeight="1" x14ac:dyDescent="0.2">
      <c r="A145" s="3">
        <f t="shared" si="2"/>
        <v>2143</v>
      </c>
      <c r="B145" s="3" t="s">
        <v>1089</v>
      </c>
      <c r="C145" s="3" t="s">
        <v>408</v>
      </c>
      <c r="D145" s="27" t="s">
        <v>1088</v>
      </c>
      <c r="E145" s="5" t="s">
        <v>1087</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10</v>
      </c>
      <c r="AG145" s="3">
        <v>0</v>
      </c>
      <c r="AH145" s="3">
        <v>0</v>
      </c>
      <c r="AI145" s="3">
        <v>0</v>
      </c>
      <c r="AJ145" s="3">
        <v>0</v>
      </c>
      <c r="AK145" s="3">
        <v>0</v>
      </c>
      <c r="AL145" s="3" t="s">
        <v>31</v>
      </c>
      <c r="AM145" s="3" t="s">
        <v>658</v>
      </c>
      <c r="AN145" s="3" t="s">
        <v>2007</v>
      </c>
      <c r="AO145" s="3" t="s">
        <v>1850</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50</v>
      </c>
      <c r="BQ145">
        <v>0</v>
      </c>
      <c r="BR145" s="6" t="s">
        <v>50</v>
      </c>
      <c r="BS145">
        <v>0</v>
      </c>
      <c r="BT145" s="6" t="s">
        <v>50</v>
      </c>
      <c r="BU145">
        <v>0</v>
      </c>
    </row>
    <row r="146" spans="1:73" ht="15.75" customHeight="1" x14ac:dyDescent="0.2">
      <c r="A146" s="3">
        <f t="shared" si="2"/>
        <v>2144</v>
      </c>
      <c r="B146" s="3" t="s">
        <v>3380</v>
      </c>
      <c r="C146" s="3" t="s">
        <v>3367</v>
      </c>
      <c r="D146" s="27" t="s">
        <v>3362</v>
      </c>
      <c r="E146" s="5" t="s">
        <v>3363</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10</v>
      </c>
      <c r="AG146" s="3">
        <v>0</v>
      </c>
      <c r="AH146" s="3">
        <v>0</v>
      </c>
      <c r="AI146" s="3">
        <v>0</v>
      </c>
      <c r="AJ146" s="3">
        <v>0</v>
      </c>
      <c r="AK146" s="3">
        <v>0</v>
      </c>
      <c r="AL146" s="3" t="s">
        <v>31</v>
      </c>
      <c r="AM146" s="3" t="s">
        <v>658</v>
      </c>
      <c r="AN146" s="3" t="s">
        <v>2007</v>
      </c>
      <c r="AO146" s="3" t="s">
        <v>1850</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50</v>
      </c>
      <c r="BQ146">
        <v>0</v>
      </c>
      <c r="BR146" s="6" t="s">
        <v>50</v>
      </c>
      <c r="BS146">
        <v>0</v>
      </c>
      <c r="BT146" s="6" t="s">
        <v>50</v>
      </c>
      <c r="BU146">
        <v>0</v>
      </c>
    </row>
    <row r="147" spans="1:73" ht="15.75" customHeight="1" x14ac:dyDescent="0.2">
      <c r="A147" s="3">
        <f t="shared" si="2"/>
        <v>2145</v>
      </c>
      <c r="B147" s="3" t="s">
        <v>3378</v>
      </c>
      <c r="C147" s="3" t="s">
        <v>3365</v>
      </c>
      <c r="D147" s="27" t="s">
        <v>3364</v>
      </c>
      <c r="E147" s="5" t="s">
        <v>3366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10</v>
      </c>
      <c r="AG147" s="3">
        <v>0</v>
      </c>
      <c r="AH147" s="3">
        <v>0</v>
      </c>
      <c r="AI147" s="3">
        <v>0</v>
      </c>
      <c r="AJ147" s="3">
        <v>0</v>
      </c>
      <c r="AK147" s="3">
        <v>0</v>
      </c>
      <c r="AL147" s="3" t="s">
        <v>31</v>
      </c>
      <c r="AM147" s="3" t="s">
        <v>658</v>
      </c>
      <c r="AN147" s="3" t="s">
        <v>2007</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50</v>
      </c>
      <c r="BQ147">
        <v>0</v>
      </c>
      <c r="BR147" s="6" t="s">
        <v>50</v>
      </c>
      <c r="BS147">
        <v>0</v>
      </c>
      <c r="BT147" s="6" t="s">
        <v>50</v>
      </c>
      <c r="BU147">
        <v>0</v>
      </c>
    </row>
    <row r="148" spans="1:73" ht="15.75" customHeight="1" x14ac:dyDescent="0.2">
      <c r="A148" s="3">
        <f t="shared" si="2"/>
        <v>2146</v>
      </c>
      <c r="B148" s="3" t="s">
        <v>2348</v>
      </c>
      <c r="C148" s="3" t="s">
        <v>2348</v>
      </c>
      <c r="D148" s="27" t="s">
        <v>2347</v>
      </c>
      <c r="E148" s="5" t="s">
        <v>2349</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10</v>
      </c>
      <c r="AG148" s="3">
        <v>0</v>
      </c>
      <c r="AH148" s="3">
        <v>0</v>
      </c>
      <c r="AI148" s="3">
        <v>0</v>
      </c>
      <c r="AJ148" s="3">
        <v>0</v>
      </c>
      <c r="AK148" s="3">
        <v>0</v>
      </c>
      <c r="AL148" s="3" t="s">
        <v>31</v>
      </c>
      <c r="AM148" s="3" t="s">
        <v>658</v>
      </c>
      <c r="AN148" s="3" t="s">
        <v>2007</v>
      </c>
      <c r="AO148" s="3" t="s">
        <v>50</v>
      </c>
      <c r="AP148" s="3">
        <v>50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c r="BP148" s="6" t="s">
        <v>3624</v>
      </c>
      <c r="BQ148">
        <v>30</v>
      </c>
      <c r="BR148" s="6" t="s">
        <v>50</v>
      </c>
      <c r="BS148">
        <v>0</v>
      </c>
      <c r="BT148" s="6" t="s">
        <v>50</v>
      </c>
      <c r="BU148">
        <v>0</v>
      </c>
    </row>
    <row r="149" spans="1:73" s="23" customFormat="1" ht="15.75" customHeight="1" x14ac:dyDescent="0.2">
      <c r="A149" s="21">
        <f t="shared" si="2"/>
        <v>2147</v>
      </c>
      <c r="B149" s="21" t="s">
        <v>305</v>
      </c>
      <c r="C149" s="21" t="s">
        <v>2345</v>
      </c>
      <c r="D149" s="22" t="s">
        <v>2346</v>
      </c>
      <c r="E149" s="22" t="s">
        <v>2282</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1852</v>
      </c>
      <c r="AN149" s="21" t="s">
        <v>2012</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c r="BP149" s="24" t="s">
        <v>50</v>
      </c>
      <c r="BQ149" s="23">
        <v>0</v>
      </c>
      <c r="BR149" s="24" t="s">
        <v>50</v>
      </c>
      <c r="BS149" s="23">
        <v>0</v>
      </c>
      <c r="BT149" s="24" t="s">
        <v>50</v>
      </c>
      <c r="BU149" s="23">
        <v>0</v>
      </c>
    </row>
    <row r="150" spans="1:73" ht="15.75" customHeight="1" x14ac:dyDescent="0.2">
      <c r="A150" s="3">
        <f t="shared" si="2"/>
        <v>2148</v>
      </c>
      <c r="B150" s="3" t="s">
        <v>952</v>
      </c>
      <c r="C150" s="3" t="s">
        <v>952</v>
      </c>
      <c r="D150" s="27" t="s">
        <v>951</v>
      </c>
      <c r="E150" s="5" t="s">
        <v>953</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972</v>
      </c>
      <c r="AN150" s="3" t="s">
        <v>1999</v>
      </c>
      <c r="AO150" s="3" t="s">
        <v>1850</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row>
    <row r="151" spans="1:73"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2008</v>
      </c>
      <c r="AO151" s="7" t="s">
        <v>1850</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c r="BP151" s="10" t="s">
        <v>50</v>
      </c>
      <c r="BQ151" s="9">
        <v>0</v>
      </c>
      <c r="BR151" s="10" t="s">
        <v>50</v>
      </c>
      <c r="BS151" s="9">
        <v>0</v>
      </c>
      <c r="BT151" s="10" t="s">
        <v>50</v>
      </c>
      <c r="BU151" s="9">
        <v>0</v>
      </c>
    </row>
    <row r="152" spans="1:73" ht="15.75" customHeight="1" x14ac:dyDescent="0.2">
      <c r="A152" s="3">
        <f t="shared" si="2"/>
        <v>2150</v>
      </c>
      <c r="B152" s="3" t="s">
        <v>2926</v>
      </c>
      <c r="C152" s="3" t="s">
        <v>2926</v>
      </c>
      <c r="D152" s="27" t="s">
        <v>3368</v>
      </c>
      <c r="E152" s="5" t="s">
        <v>2846</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20</v>
      </c>
      <c r="AG152" s="3">
        <v>0</v>
      </c>
      <c r="AH152" s="3">
        <v>0</v>
      </c>
      <c r="AI152" s="3">
        <v>0</v>
      </c>
      <c r="AJ152" s="3">
        <v>0</v>
      </c>
      <c r="AK152" s="3">
        <v>30</v>
      </c>
      <c r="AL152" s="3" t="s">
        <v>31</v>
      </c>
      <c r="AM152" s="3" t="s">
        <v>35</v>
      </c>
      <c r="AN152" s="3" t="s">
        <v>2003</v>
      </c>
      <c r="AO152" s="3" t="s">
        <v>1850</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row>
    <row r="153" spans="1:73" s="9" customFormat="1" ht="15.75" customHeight="1" x14ac:dyDescent="0.2">
      <c r="A153" s="7">
        <f t="shared" si="2"/>
        <v>2151</v>
      </c>
      <c r="B153" s="7" t="s">
        <v>512</v>
      </c>
      <c r="C153" s="7" t="s">
        <v>426</v>
      </c>
      <c r="D153" s="28" t="s">
        <v>425</v>
      </c>
      <c r="E153" s="8" t="s">
        <v>1359</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2003</v>
      </c>
      <c r="AO153" s="7" t="s">
        <v>1850</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c r="BP153" s="10" t="s">
        <v>50</v>
      </c>
      <c r="BQ153" s="9">
        <v>0</v>
      </c>
      <c r="BR153" s="10" t="s">
        <v>50</v>
      </c>
      <c r="BS153" s="9">
        <v>0</v>
      </c>
      <c r="BT153" s="10" t="s">
        <v>50</v>
      </c>
      <c r="BU153" s="9">
        <v>0</v>
      </c>
    </row>
    <row r="154" spans="1:73" ht="15.75" customHeight="1" x14ac:dyDescent="0.2">
      <c r="A154" s="3">
        <f t="shared" si="2"/>
        <v>2152</v>
      </c>
      <c r="B154" s="3" t="s">
        <v>560</v>
      </c>
      <c r="C154" s="3" t="s">
        <v>503</v>
      </c>
      <c r="D154" s="27"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661</v>
      </c>
      <c r="AN154" s="3" t="s">
        <v>2002</v>
      </c>
      <c r="AO154" s="3" t="s">
        <v>1850</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row>
    <row r="155" spans="1:73" ht="15.75" customHeight="1" x14ac:dyDescent="0.2">
      <c r="A155" s="3">
        <f t="shared" si="2"/>
        <v>2153</v>
      </c>
      <c r="B155" s="3" t="s">
        <v>1071</v>
      </c>
      <c r="C155" s="3" t="s">
        <v>1071</v>
      </c>
      <c r="D155" s="27" t="s">
        <v>1496</v>
      </c>
      <c r="E155" s="5" t="s">
        <v>1497</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1072</v>
      </c>
      <c r="AN155" s="3" t="s">
        <v>2005</v>
      </c>
      <c r="AO155" s="3" t="s">
        <v>1851</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row>
    <row r="156" spans="1:73" ht="15.75" customHeight="1" x14ac:dyDescent="0.2">
      <c r="A156" s="3">
        <f t="shared" si="2"/>
        <v>2154</v>
      </c>
      <c r="B156" s="3" t="s">
        <v>2710</v>
      </c>
      <c r="C156" s="3" t="s">
        <v>2710</v>
      </c>
      <c r="D156" s="27" t="s">
        <v>2709</v>
      </c>
      <c r="E156" s="5" t="s">
        <v>2887</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0</v>
      </c>
      <c r="AH156" s="3">
        <v>0</v>
      </c>
      <c r="AI156" s="3">
        <v>0</v>
      </c>
      <c r="AJ156" s="3">
        <v>0</v>
      </c>
      <c r="AK156" s="3">
        <v>30</v>
      </c>
      <c r="AL156" s="3" t="s">
        <v>31</v>
      </c>
      <c r="AM156" s="3" t="s">
        <v>35</v>
      </c>
      <c r="AN156" s="3" t="s">
        <v>2882</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3624</v>
      </c>
      <c r="BQ156">
        <v>5</v>
      </c>
      <c r="BR156" s="6" t="s">
        <v>50</v>
      </c>
      <c r="BS156">
        <v>0</v>
      </c>
      <c r="BT156" s="6" t="s">
        <v>50</v>
      </c>
      <c r="BU156">
        <v>0</v>
      </c>
    </row>
    <row r="157" spans="1:73" ht="15.75" customHeight="1" x14ac:dyDescent="0.2">
      <c r="A157" s="3">
        <f t="shared" si="2"/>
        <v>2155</v>
      </c>
      <c r="B157" s="3" t="s">
        <v>1296</v>
      </c>
      <c r="C157" s="3" t="s">
        <v>427</v>
      </c>
      <c r="D157" s="27" t="s">
        <v>1062</v>
      </c>
      <c r="E157" s="5" t="s">
        <v>1063</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0</v>
      </c>
      <c r="AH157" s="3">
        <v>0</v>
      </c>
      <c r="AI157" s="3">
        <v>0</v>
      </c>
      <c r="AJ157" s="3">
        <v>0</v>
      </c>
      <c r="AK157" s="3">
        <v>0</v>
      </c>
      <c r="AL157" s="3" t="s">
        <v>31</v>
      </c>
      <c r="AM157" s="3" t="s">
        <v>1476</v>
      </c>
      <c r="AN157" s="3" t="s">
        <v>2013</v>
      </c>
      <c r="AO157" s="3" t="s">
        <v>1850</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c r="BP157" s="6" t="s">
        <v>3624</v>
      </c>
      <c r="BQ157">
        <v>30</v>
      </c>
      <c r="BR157" s="6" t="s">
        <v>50</v>
      </c>
      <c r="BS157">
        <v>0</v>
      </c>
      <c r="BT157" s="6" t="s">
        <v>50</v>
      </c>
      <c r="BU157">
        <v>0</v>
      </c>
    </row>
    <row r="158" spans="1:73" ht="15.75" customHeight="1" x14ac:dyDescent="0.2">
      <c r="A158" s="3">
        <f t="shared" si="2"/>
        <v>2156</v>
      </c>
      <c r="B158" s="3" t="s">
        <v>3042</v>
      </c>
      <c r="C158" s="3" t="s">
        <v>2486</v>
      </c>
      <c r="D158" s="27" t="s">
        <v>2487</v>
      </c>
      <c r="E158" s="5" t="s">
        <v>2488</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10</v>
      </c>
      <c r="AG158" s="3">
        <v>0</v>
      </c>
      <c r="AH158" s="3">
        <v>0</v>
      </c>
      <c r="AI158" s="3">
        <v>0</v>
      </c>
      <c r="AJ158" s="3">
        <v>0</v>
      </c>
      <c r="AK158" s="3">
        <v>30</v>
      </c>
      <c r="AL158" s="3" t="s">
        <v>31</v>
      </c>
      <c r="AM158" s="3" t="s">
        <v>2489</v>
      </c>
      <c r="AN158" s="3" t="s">
        <v>2490</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50</v>
      </c>
      <c r="BU158">
        <v>0</v>
      </c>
    </row>
    <row r="159" spans="1:73" ht="15.75" customHeight="1" x14ac:dyDescent="0.2">
      <c r="A159" s="3">
        <f t="shared" si="2"/>
        <v>2157</v>
      </c>
      <c r="B159" s="3" t="s">
        <v>2952</v>
      </c>
      <c r="C159" s="3" t="s">
        <v>2698</v>
      </c>
      <c r="D159" s="27" t="s">
        <v>2697</v>
      </c>
      <c r="E159" s="5" t="s">
        <v>2855</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10</v>
      </c>
      <c r="AG159" s="3">
        <v>0</v>
      </c>
      <c r="AH159" s="3">
        <v>0</v>
      </c>
      <c r="AI159" s="3">
        <v>0</v>
      </c>
      <c r="AJ159" s="3">
        <v>0</v>
      </c>
      <c r="AK159" s="3">
        <v>30</v>
      </c>
      <c r="AL159" s="3" t="s">
        <v>31</v>
      </c>
      <c r="AM159" s="3" t="s">
        <v>2489</v>
      </c>
      <c r="AN159" s="3" t="s">
        <v>2490</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50</v>
      </c>
      <c r="BU159">
        <v>0</v>
      </c>
    </row>
    <row r="160" spans="1:73" ht="15" customHeight="1" x14ac:dyDescent="0.2">
      <c r="A160" s="3">
        <f t="shared" si="2"/>
        <v>2158</v>
      </c>
      <c r="B160" s="3" t="s">
        <v>2701</v>
      </c>
      <c r="C160" s="3" t="s">
        <v>2701</v>
      </c>
      <c r="D160" s="27" t="s">
        <v>2699</v>
      </c>
      <c r="E160" s="5" t="s">
        <v>2700</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10</v>
      </c>
      <c r="AG160" s="3">
        <v>0</v>
      </c>
      <c r="AH160" s="3">
        <v>0</v>
      </c>
      <c r="AI160" s="3">
        <v>0</v>
      </c>
      <c r="AJ160" s="3">
        <v>0</v>
      </c>
      <c r="AK160" s="3">
        <v>30</v>
      </c>
      <c r="AL160" s="3" t="s">
        <v>31</v>
      </c>
      <c r="AM160" s="3" t="s">
        <v>2489</v>
      </c>
      <c r="AN160" s="3" t="s">
        <v>2490</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50</v>
      </c>
      <c r="BU160">
        <v>0</v>
      </c>
    </row>
    <row r="161" spans="1:73" ht="15.75" customHeight="1" x14ac:dyDescent="0.2">
      <c r="A161" s="3">
        <f t="shared" si="2"/>
        <v>2159</v>
      </c>
      <c r="B161" s="3" t="s">
        <v>2857</v>
      </c>
      <c r="C161" s="3" t="s">
        <v>2857</v>
      </c>
      <c r="D161" s="27" t="s">
        <v>2856</v>
      </c>
      <c r="E161" s="5" t="s">
        <v>2700</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10</v>
      </c>
      <c r="AG161" s="3">
        <v>0</v>
      </c>
      <c r="AH161" s="3">
        <v>0</v>
      </c>
      <c r="AI161" s="3">
        <v>0</v>
      </c>
      <c r="AJ161" s="3">
        <v>0</v>
      </c>
      <c r="AK161" s="3">
        <v>30</v>
      </c>
      <c r="AL161" s="3" t="s">
        <v>31</v>
      </c>
      <c r="AM161" s="3" t="s">
        <v>2489</v>
      </c>
      <c r="AN161" s="3" t="s">
        <v>2490</v>
      </c>
      <c r="AO161" s="3" t="s">
        <v>50</v>
      </c>
      <c r="AP161" s="3">
        <v>30</v>
      </c>
      <c r="AQ161" s="3">
        <v>1.2</v>
      </c>
      <c r="AR161">
        <v>300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c r="BP161" s="6" t="s">
        <v>50</v>
      </c>
      <c r="BQ161">
        <v>0</v>
      </c>
      <c r="BR161" s="6" t="s">
        <v>50</v>
      </c>
      <c r="BS161">
        <v>0</v>
      </c>
      <c r="BT161" s="6" t="s">
        <v>50</v>
      </c>
      <c r="BU161">
        <v>0</v>
      </c>
    </row>
    <row r="162" spans="1:73" ht="15.75" customHeight="1" x14ac:dyDescent="0.2">
      <c r="A162" s="3">
        <f t="shared" si="2"/>
        <v>2160</v>
      </c>
      <c r="B162" s="3" t="s">
        <v>2704</v>
      </c>
      <c r="C162" s="3" t="s">
        <v>2704</v>
      </c>
      <c r="D162" s="27" t="s">
        <v>2702</v>
      </c>
      <c r="E162" s="5" t="s">
        <v>2706</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10</v>
      </c>
      <c r="AG162" s="3">
        <v>0</v>
      </c>
      <c r="AH162" s="3">
        <v>0</v>
      </c>
      <c r="AI162" s="3">
        <v>0</v>
      </c>
      <c r="AJ162" s="3">
        <v>0</v>
      </c>
      <c r="AK162" s="3">
        <v>30</v>
      </c>
      <c r="AL162" s="3" t="s">
        <v>31</v>
      </c>
      <c r="AM162" s="3" t="s">
        <v>2489</v>
      </c>
      <c r="AN162" s="3" t="s">
        <v>2490</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50</v>
      </c>
      <c r="BU162">
        <v>0</v>
      </c>
    </row>
    <row r="163" spans="1:73" ht="15.75" customHeight="1" x14ac:dyDescent="0.2">
      <c r="A163" s="3">
        <f t="shared" si="2"/>
        <v>2161</v>
      </c>
      <c r="B163" s="3" t="s">
        <v>2705</v>
      </c>
      <c r="C163" s="3" t="s">
        <v>2705</v>
      </c>
      <c r="D163" s="27" t="s">
        <v>2703</v>
      </c>
      <c r="E163" s="5" t="s">
        <v>3105</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10</v>
      </c>
      <c r="AG163" s="3">
        <v>0</v>
      </c>
      <c r="AH163" s="3">
        <v>0</v>
      </c>
      <c r="AI163" s="3">
        <v>0</v>
      </c>
      <c r="AJ163" s="3">
        <v>0</v>
      </c>
      <c r="AK163" s="3">
        <v>30</v>
      </c>
      <c r="AL163" s="3" t="s">
        <v>31</v>
      </c>
      <c r="AM163" s="3" t="s">
        <v>2489</v>
      </c>
      <c r="AN163" s="3" t="s">
        <v>2490</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50</v>
      </c>
      <c r="BU163">
        <v>0</v>
      </c>
    </row>
    <row r="164" spans="1:73" ht="15.75" customHeight="1" x14ac:dyDescent="0.2">
      <c r="A164" s="3">
        <f t="shared" si="2"/>
        <v>2162</v>
      </c>
      <c r="B164" s="3" t="s">
        <v>952</v>
      </c>
      <c r="C164" s="3" t="s">
        <v>2883</v>
      </c>
      <c r="D164" s="27" t="s">
        <v>2707</v>
      </c>
      <c r="E164" s="5" t="s">
        <v>2708</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50</v>
      </c>
      <c r="AG164" s="3">
        <v>0</v>
      </c>
      <c r="AH164" s="3">
        <v>0</v>
      </c>
      <c r="AI164" s="3">
        <v>0</v>
      </c>
      <c r="AJ164" s="3">
        <v>0</v>
      </c>
      <c r="AK164" s="3">
        <v>30</v>
      </c>
      <c r="AL164" s="3" t="s">
        <v>31</v>
      </c>
      <c r="AM164" s="3" t="s">
        <v>2489</v>
      </c>
      <c r="AN164" s="3" t="s">
        <v>2490</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50</v>
      </c>
      <c r="BS164">
        <v>0</v>
      </c>
      <c r="BT164" s="6" t="s">
        <v>50</v>
      </c>
      <c r="BU164">
        <v>0</v>
      </c>
    </row>
    <row r="165" spans="1:73" s="23" customFormat="1" ht="15.75" customHeight="1" x14ac:dyDescent="0.2">
      <c r="A165" s="21">
        <f t="shared" si="2"/>
        <v>2163</v>
      </c>
      <c r="B165" s="21" t="s">
        <v>305</v>
      </c>
      <c r="C165" s="21" t="s">
        <v>2321</v>
      </c>
      <c r="D165" s="22" t="s">
        <v>2322</v>
      </c>
      <c r="E165" s="22" t="s">
        <v>2282</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1852</v>
      </c>
      <c r="AN165" s="21" t="s">
        <v>2012</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c r="BP165" s="24" t="s">
        <v>50</v>
      </c>
      <c r="BQ165" s="23">
        <v>0</v>
      </c>
      <c r="BR165" s="24" t="s">
        <v>50</v>
      </c>
      <c r="BS165" s="23">
        <v>0</v>
      </c>
      <c r="BT165" s="24" t="s">
        <v>50</v>
      </c>
      <c r="BU165" s="23">
        <v>0</v>
      </c>
    </row>
    <row r="166" spans="1:73" ht="15.75" customHeight="1" x14ac:dyDescent="0.2">
      <c r="A166" s="3">
        <f t="shared" si="2"/>
        <v>2164</v>
      </c>
      <c r="B166" s="3" t="s">
        <v>614</v>
      </c>
      <c r="C166" s="3" t="s">
        <v>614</v>
      </c>
      <c r="D166" s="27"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10</v>
      </c>
      <c r="AG166" s="3">
        <v>0</v>
      </c>
      <c r="AH166" s="3">
        <v>0</v>
      </c>
      <c r="AI166" s="3">
        <v>0</v>
      </c>
      <c r="AJ166" s="3">
        <v>0</v>
      </c>
      <c r="AK166" s="3">
        <v>0</v>
      </c>
      <c r="AL166" s="3" t="s">
        <v>1033</v>
      </c>
      <c r="AM166" s="3" t="s">
        <v>616</v>
      </c>
      <c r="AN166" s="3" t="s">
        <v>2009</v>
      </c>
      <c r="AO166" s="3" t="s">
        <v>1850</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row>
    <row r="167" spans="1:73" ht="15.75" customHeight="1" x14ac:dyDescent="0.2">
      <c r="A167" s="3">
        <f t="shared" si="2"/>
        <v>2165</v>
      </c>
      <c r="B167" s="3" t="s">
        <v>927</v>
      </c>
      <c r="C167" s="3" t="s">
        <v>852</v>
      </c>
      <c r="D167" s="27" t="s">
        <v>850</v>
      </c>
      <c r="E167" s="5" t="s">
        <v>1424</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10</v>
      </c>
      <c r="AG167" s="3">
        <v>0</v>
      </c>
      <c r="AH167" s="3">
        <v>0</v>
      </c>
      <c r="AI167" s="3">
        <v>0</v>
      </c>
      <c r="AJ167" s="3">
        <v>0</v>
      </c>
      <c r="AK167" s="3">
        <v>0</v>
      </c>
      <c r="AL167" s="3" t="s">
        <v>31</v>
      </c>
      <c r="AM167" s="3" t="s">
        <v>616</v>
      </c>
      <c r="AN167" s="3" t="s">
        <v>2009</v>
      </c>
      <c r="AO167" s="3" t="s">
        <v>1850</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3624</v>
      </c>
      <c r="BQ167">
        <v>8</v>
      </c>
      <c r="BR167" s="6" t="s">
        <v>50</v>
      </c>
      <c r="BS167">
        <v>0</v>
      </c>
      <c r="BT167" s="6" t="s">
        <v>50</v>
      </c>
      <c r="BU167">
        <v>0</v>
      </c>
    </row>
    <row r="168" spans="1:73" ht="15.75" customHeight="1" x14ac:dyDescent="0.2">
      <c r="A168" s="3">
        <f t="shared" si="2"/>
        <v>2166</v>
      </c>
      <c r="B168" s="3" t="s">
        <v>1102</v>
      </c>
      <c r="C168" s="3" t="s">
        <v>854</v>
      </c>
      <c r="D168" s="27" t="s">
        <v>1060</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10</v>
      </c>
      <c r="AG168" s="3">
        <v>0</v>
      </c>
      <c r="AH168" s="3">
        <v>0</v>
      </c>
      <c r="AI168" s="3">
        <v>0</v>
      </c>
      <c r="AJ168" s="3">
        <v>0</v>
      </c>
      <c r="AK168" s="3">
        <v>0</v>
      </c>
      <c r="AL168" s="3" t="s">
        <v>31</v>
      </c>
      <c r="AM168" s="3" t="s">
        <v>616</v>
      </c>
      <c r="AN168" s="3" t="s">
        <v>2009</v>
      </c>
      <c r="AO168" s="3" t="s">
        <v>1850</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3624</v>
      </c>
      <c r="BQ168">
        <v>8</v>
      </c>
      <c r="BR168" s="6" t="s">
        <v>50</v>
      </c>
      <c r="BS168">
        <v>0</v>
      </c>
      <c r="BT168" s="6" t="s">
        <v>50</v>
      </c>
      <c r="BU168">
        <v>0</v>
      </c>
    </row>
    <row r="169" spans="1:73" s="23" customFormat="1" ht="15.75" customHeight="1" x14ac:dyDescent="0.2">
      <c r="A169" s="21">
        <f t="shared" si="2"/>
        <v>2167</v>
      </c>
      <c r="B169" s="21" t="s">
        <v>305</v>
      </c>
      <c r="C169" s="21" t="s">
        <v>2323</v>
      </c>
      <c r="D169" s="22" t="s">
        <v>2324</v>
      </c>
      <c r="E169" s="22" t="s">
        <v>2282</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1852</v>
      </c>
      <c r="AN169" s="21" t="s">
        <v>2012</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c r="BP169" s="24" t="s">
        <v>50</v>
      </c>
      <c r="BQ169" s="23">
        <v>0</v>
      </c>
      <c r="BR169" s="24" t="s">
        <v>50</v>
      </c>
      <c r="BS169" s="23">
        <v>0</v>
      </c>
      <c r="BT169" s="24" t="s">
        <v>50</v>
      </c>
      <c r="BU169" s="23">
        <v>0</v>
      </c>
    </row>
    <row r="170" spans="1:73" ht="15.75" customHeight="1" x14ac:dyDescent="0.2">
      <c r="A170" s="3">
        <f t="shared" si="2"/>
        <v>2168</v>
      </c>
      <c r="B170" s="3" t="s">
        <v>594</v>
      </c>
      <c r="C170" s="3" t="s">
        <v>594</v>
      </c>
      <c r="D170" s="27" t="s">
        <v>848</v>
      </c>
      <c r="E170" s="5" t="s">
        <v>602</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-10</v>
      </c>
      <c r="AG170" s="3">
        <v>0</v>
      </c>
      <c r="AH170" s="3">
        <v>0</v>
      </c>
      <c r="AI170" s="3">
        <v>0</v>
      </c>
      <c r="AJ170" s="3">
        <v>0</v>
      </c>
      <c r="AK170" s="3">
        <v>30</v>
      </c>
      <c r="AL170" s="3" t="s">
        <v>31</v>
      </c>
      <c r="AM170" s="3" t="s">
        <v>584</v>
      </c>
      <c r="AN170" s="3" t="s">
        <v>2010</v>
      </c>
      <c r="AO170" s="3" t="s">
        <v>1850</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c r="BP170" s="6" t="s">
        <v>50</v>
      </c>
      <c r="BQ170">
        <v>0</v>
      </c>
      <c r="BR170" s="6" t="s">
        <v>50</v>
      </c>
      <c r="BS170">
        <v>0</v>
      </c>
      <c r="BT170" s="6" t="s">
        <v>50</v>
      </c>
      <c r="BU170">
        <v>0</v>
      </c>
    </row>
    <row r="171" spans="1:73" ht="15.75" customHeight="1" x14ac:dyDescent="0.2">
      <c r="A171" s="3">
        <f t="shared" si="2"/>
        <v>2169</v>
      </c>
      <c r="B171" s="3" t="s">
        <v>565</v>
      </c>
      <c r="C171" s="3" t="s">
        <v>565</v>
      </c>
      <c r="D171" s="27" t="s">
        <v>657</v>
      </c>
      <c r="E171" s="5" t="s">
        <v>567</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10</v>
      </c>
      <c r="AG171" s="3">
        <v>0</v>
      </c>
      <c r="AH171" s="3">
        <v>0</v>
      </c>
      <c r="AI171" s="3">
        <v>0</v>
      </c>
      <c r="AJ171" s="3">
        <v>0</v>
      </c>
      <c r="AK171" s="3">
        <v>30</v>
      </c>
      <c r="AL171" s="3" t="s">
        <v>31</v>
      </c>
      <c r="AM171" s="3" t="s">
        <v>584</v>
      </c>
      <c r="AN171" s="3" t="s">
        <v>2010</v>
      </c>
      <c r="AO171" s="3" t="s">
        <v>1850</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c r="BP171" s="6" t="s">
        <v>50</v>
      </c>
      <c r="BQ171">
        <v>0</v>
      </c>
      <c r="BR171" s="6" t="s">
        <v>50</v>
      </c>
      <c r="BS171">
        <v>0</v>
      </c>
      <c r="BT171" s="6" t="s">
        <v>50</v>
      </c>
      <c r="BU171">
        <v>0</v>
      </c>
    </row>
    <row r="172" spans="1:73" ht="15.75" customHeight="1" x14ac:dyDescent="0.2">
      <c r="A172" s="3">
        <f t="shared" si="2"/>
        <v>2170</v>
      </c>
      <c r="B172" s="3" t="s">
        <v>929</v>
      </c>
      <c r="C172" s="3" t="s">
        <v>855</v>
      </c>
      <c r="D172" s="27" t="s">
        <v>1352</v>
      </c>
      <c r="E172" s="5" t="s">
        <v>856</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10</v>
      </c>
      <c r="AG172" s="3">
        <v>0</v>
      </c>
      <c r="AH172" s="3">
        <v>0</v>
      </c>
      <c r="AI172" s="3">
        <v>0</v>
      </c>
      <c r="AJ172" s="3">
        <v>0</v>
      </c>
      <c r="AK172" s="3">
        <v>30</v>
      </c>
      <c r="AL172" s="3" t="s">
        <v>31</v>
      </c>
      <c r="AM172" s="3" t="s">
        <v>584</v>
      </c>
      <c r="AN172" s="3" t="s">
        <v>2010</v>
      </c>
      <c r="AO172" s="3" t="s">
        <v>1850</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c r="BP172" s="6" t="s">
        <v>50</v>
      </c>
      <c r="BQ172">
        <v>0</v>
      </c>
      <c r="BR172" s="6" t="s">
        <v>50</v>
      </c>
      <c r="BS172">
        <v>0</v>
      </c>
      <c r="BT172" s="6" t="s">
        <v>50</v>
      </c>
      <c r="BU172">
        <v>0</v>
      </c>
    </row>
    <row r="173" spans="1:73" ht="15.75" customHeight="1" x14ac:dyDescent="0.2">
      <c r="A173" s="3">
        <f t="shared" si="2"/>
        <v>2171</v>
      </c>
      <c r="B173" s="3" t="s">
        <v>1404</v>
      </c>
      <c r="C173" s="3" t="s">
        <v>1390</v>
      </c>
      <c r="D173" s="27" t="s">
        <v>1381</v>
      </c>
      <c r="E173" s="5" t="s">
        <v>1379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10</v>
      </c>
      <c r="AG173" s="3">
        <v>0</v>
      </c>
      <c r="AH173" s="3">
        <v>0</v>
      </c>
      <c r="AI173" s="3">
        <v>0</v>
      </c>
      <c r="AJ173" s="3">
        <v>0</v>
      </c>
      <c r="AK173" s="3">
        <v>30</v>
      </c>
      <c r="AL173" s="3" t="s">
        <v>31</v>
      </c>
      <c r="AM173" s="3" t="s">
        <v>584</v>
      </c>
      <c r="AN173" s="3" t="s">
        <v>2010</v>
      </c>
      <c r="AO173" s="3" t="s">
        <v>1850</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c r="BP173" s="6" t="s">
        <v>50</v>
      </c>
      <c r="BQ173">
        <v>0</v>
      </c>
      <c r="BR173" s="6" t="s">
        <v>50</v>
      </c>
      <c r="BS173">
        <v>0</v>
      </c>
      <c r="BT173" s="6" t="s">
        <v>50</v>
      </c>
      <c r="BU173">
        <v>0</v>
      </c>
    </row>
    <row r="174" spans="1:73" ht="15.75" customHeight="1" x14ac:dyDescent="0.2">
      <c r="A174" s="3">
        <f t="shared" si="2"/>
        <v>2172</v>
      </c>
      <c r="B174" s="3" t="s">
        <v>1405</v>
      </c>
      <c r="C174" s="3" t="s">
        <v>1380</v>
      </c>
      <c r="D174" s="27" t="s">
        <v>1516</v>
      </c>
      <c r="E174" s="5" t="s">
        <v>1517</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10</v>
      </c>
      <c r="AG174" s="3">
        <v>0</v>
      </c>
      <c r="AH174" s="3">
        <v>0</v>
      </c>
      <c r="AI174" s="3">
        <v>0</v>
      </c>
      <c r="AJ174" s="3">
        <v>0</v>
      </c>
      <c r="AK174" s="3">
        <v>30</v>
      </c>
      <c r="AL174" s="3" t="s">
        <v>31</v>
      </c>
      <c r="AM174" s="3" t="s">
        <v>584</v>
      </c>
      <c r="AN174" s="3" t="s">
        <v>2010</v>
      </c>
      <c r="AO174" s="3" t="s">
        <v>1850</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c r="BP174" s="6" t="s">
        <v>50</v>
      </c>
      <c r="BQ174">
        <v>0</v>
      </c>
      <c r="BR174" s="6" t="s">
        <v>50</v>
      </c>
      <c r="BS174">
        <v>0</v>
      </c>
      <c r="BT174" s="6" t="s">
        <v>50</v>
      </c>
      <c r="BU174">
        <v>0</v>
      </c>
    </row>
    <row r="175" spans="1:73" ht="15.75" customHeight="1" x14ac:dyDescent="0.2">
      <c r="A175" s="3">
        <f t="shared" si="2"/>
        <v>2173</v>
      </c>
      <c r="B175" s="3" t="s">
        <v>1406</v>
      </c>
      <c r="C175" s="3" t="s">
        <v>1382</v>
      </c>
      <c r="D175" s="27" t="s">
        <v>1474</v>
      </c>
      <c r="E175" s="5" t="s">
        <v>1383</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10</v>
      </c>
      <c r="AG175" s="3">
        <v>0</v>
      </c>
      <c r="AH175" s="3">
        <v>0</v>
      </c>
      <c r="AI175" s="3">
        <v>0</v>
      </c>
      <c r="AJ175" s="3">
        <v>0</v>
      </c>
      <c r="AK175" s="3">
        <v>30</v>
      </c>
      <c r="AL175" s="3" t="s">
        <v>31</v>
      </c>
      <c r="AM175" s="3" t="s">
        <v>584</v>
      </c>
      <c r="AN175" s="3" t="s">
        <v>2010</v>
      </c>
      <c r="AO175" s="3" t="s">
        <v>1850</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c r="BP175" s="6" t="s">
        <v>50</v>
      </c>
      <c r="BQ175">
        <v>0</v>
      </c>
      <c r="BR175" s="6" t="s">
        <v>50</v>
      </c>
      <c r="BS175">
        <v>0</v>
      </c>
      <c r="BT175" s="6" t="s">
        <v>50</v>
      </c>
      <c r="BU175">
        <v>0</v>
      </c>
    </row>
    <row r="176" spans="1:73" ht="15.75" customHeight="1" x14ac:dyDescent="0.2">
      <c r="A176" s="3">
        <f t="shared" si="2"/>
        <v>2174</v>
      </c>
      <c r="B176" s="3" t="s">
        <v>1409</v>
      </c>
      <c r="C176" s="3" t="s">
        <v>1384</v>
      </c>
      <c r="D176" s="27" t="s">
        <v>1385</v>
      </c>
      <c r="E176" s="5" t="s">
        <v>1386</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10</v>
      </c>
      <c r="AG176" s="3">
        <v>0</v>
      </c>
      <c r="AH176" s="3">
        <v>0</v>
      </c>
      <c r="AI176" s="3">
        <v>0</v>
      </c>
      <c r="AJ176" s="3">
        <v>0</v>
      </c>
      <c r="AK176" s="3">
        <v>30</v>
      </c>
      <c r="AL176" s="3" t="s">
        <v>31</v>
      </c>
      <c r="AM176" s="3" t="s">
        <v>584</v>
      </c>
      <c r="AN176" s="3" t="s">
        <v>2010</v>
      </c>
      <c r="AO176" s="3" t="s">
        <v>1850</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c r="BP176" s="6" t="s">
        <v>50</v>
      </c>
      <c r="BQ176">
        <v>0</v>
      </c>
      <c r="BR176" s="6" t="s">
        <v>50</v>
      </c>
      <c r="BS176">
        <v>0</v>
      </c>
      <c r="BT176" s="6" t="s">
        <v>50</v>
      </c>
      <c r="BU176">
        <v>0</v>
      </c>
    </row>
    <row r="177" spans="1:73" ht="15.75" customHeight="1" x14ac:dyDescent="0.2">
      <c r="A177" s="3">
        <f t="shared" si="2"/>
        <v>2175</v>
      </c>
      <c r="B177" s="3" t="s">
        <v>1408</v>
      </c>
      <c r="C177" s="3" t="s">
        <v>1387</v>
      </c>
      <c r="D177" s="27" t="s">
        <v>1388</v>
      </c>
      <c r="E177" s="5" t="s">
        <v>1389</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150</v>
      </c>
      <c r="Z177" s="3">
        <v>0</v>
      </c>
      <c r="AA177" s="3">
        <v>0</v>
      </c>
      <c r="AB177" s="3">
        <v>0</v>
      </c>
      <c r="AC177" s="3">
        <v>0</v>
      </c>
      <c r="AD177" s="3">
        <v>0</v>
      </c>
      <c r="AE177" s="3">
        <v>0</v>
      </c>
      <c r="AF177" s="3">
        <v>10</v>
      </c>
      <c r="AG177" s="3">
        <v>0</v>
      </c>
      <c r="AH177" s="3">
        <v>0</v>
      </c>
      <c r="AI177" s="3">
        <v>0</v>
      </c>
      <c r="AJ177" s="3">
        <v>0</v>
      </c>
      <c r="AK177" s="3">
        <v>30</v>
      </c>
      <c r="AL177" s="3" t="s">
        <v>31</v>
      </c>
      <c r="AM177" s="3" t="s">
        <v>584</v>
      </c>
      <c r="AN177" s="3" t="s">
        <v>2010</v>
      </c>
      <c r="AO177" s="3" t="s">
        <v>1850</v>
      </c>
      <c r="AP177" s="3">
        <v>30</v>
      </c>
      <c r="AQ177" s="3">
        <v>1.8</v>
      </c>
      <c r="AR177">
        <v>2000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c r="BP177" s="6" t="s">
        <v>50</v>
      </c>
      <c r="BQ177">
        <v>0</v>
      </c>
      <c r="BR177" s="6" t="s">
        <v>50</v>
      </c>
      <c r="BS177">
        <v>0</v>
      </c>
      <c r="BT177" s="6" t="s">
        <v>50</v>
      </c>
      <c r="BU177">
        <v>0</v>
      </c>
    </row>
    <row r="178" spans="1:73" ht="15.75" customHeight="1" x14ac:dyDescent="0.2">
      <c r="A178" s="3">
        <f t="shared" si="2"/>
        <v>2176</v>
      </c>
      <c r="B178" s="3" t="s">
        <v>1273</v>
      </c>
      <c r="C178" s="3" t="s">
        <v>1242</v>
      </c>
      <c r="D178" s="27" t="s">
        <v>1353</v>
      </c>
      <c r="E178" s="5" t="s">
        <v>1243</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10</v>
      </c>
      <c r="AG178" s="3">
        <v>0</v>
      </c>
      <c r="AH178" s="3">
        <v>0</v>
      </c>
      <c r="AI178" s="3">
        <v>0</v>
      </c>
      <c r="AJ178" s="3">
        <v>0</v>
      </c>
      <c r="AK178" s="3">
        <v>30</v>
      </c>
      <c r="AL178" s="3" t="s">
        <v>31</v>
      </c>
      <c r="AM178" s="3" t="s">
        <v>584</v>
      </c>
      <c r="AN178" s="3" t="s">
        <v>2010</v>
      </c>
      <c r="AO178" s="3" t="s">
        <v>1850</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c r="BP178" s="6" t="s">
        <v>50</v>
      </c>
      <c r="BQ178">
        <v>0</v>
      </c>
      <c r="BR178" s="6" t="s">
        <v>50</v>
      </c>
      <c r="BS178">
        <v>0</v>
      </c>
      <c r="BT178" s="6" t="s">
        <v>50</v>
      </c>
      <c r="BU178">
        <v>0</v>
      </c>
    </row>
    <row r="179" spans="1:73" ht="15.75" customHeight="1" x14ac:dyDescent="0.2">
      <c r="A179" s="3">
        <f t="shared" si="2"/>
        <v>2177</v>
      </c>
      <c r="B179" s="3" t="s">
        <v>1410</v>
      </c>
      <c r="C179" s="3" t="s">
        <v>1403</v>
      </c>
      <c r="D179" s="27" t="s">
        <v>1401</v>
      </c>
      <c r="E179" s="5" t="s">
        <v>1402</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10</v>
      </c>
      <c r="AG179" s="3">
        <v>0</v>
      </c>
      <c r="AH179" s="3">
        <v>0</v>
      </c>
      <c r="AI179" s="3">
        <v>0</v>
      </c>
      <c r="AJ179" s="3">
        <v>0</v>
      </c>
      <c r="AK179" s="3">
        <v>30</v>
      </c>
      <c r="AL179" s="3" t="s">
        <v>31</v>
      </c>
      <c r="AM179" s="3" t="s">
        <v>584</v>
      </c>
      <c r="AN179" s="3" t="s">
        <v>2010</v>
      </c>
      <c r="AO179" s="3" t="s">
        <v>1850</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c r="BP179" s="6" t="s">
        <v>50</v>
      </c>
      <c r="BQ179">
        <v>0</v>
      </c>
      <c r="BR179" s="6" t="s">
        <v>50</v>
      </c>
      <c r="BS179">
        <v>0</v>
      </c>
      <c r="BT179" s="6" t="s">
        <v>50</v>
      </c>
      <c r="BU179">
        <v>0</v>
      </c>
    </row>
    <row r="180" spans="1:73" s="9" customFormat="1" ht="15.75" customHeight="1" x14ac:dyDescent="0.2">
      <c r="A180" s="7">
        <f t="shared" si="2"/>
        <v>2178</v>
      </c>
      <c r="B180" s="7" t="s">
        <v>566</v>
      </c>
      <c r="C180" s="7" t="s">
        <v>421</v>
      </c>
      <c r="D180" s="28" t="s">
        <v>420</v>
      </c>
      <c r="E180" s="8" t="s">
        <v>2068</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2010</v>
      </c>
      <c r="AO180" s="7" t="s">
        <v>1850</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0</v>
      </c>
      <c r="BK180" s="9">
        <v>1</v>
      </c>
      <c r="BL180" s="9">
        <v>30</v>
      </c>
      <c r="BM180" s="9">
        <v>0</v>
      </c>
      <c r="BN180" s="9">
        <v>0</v>
      </c>
      <c r="BO180" s="9">
        <v>0</v>
      </c>
      <c r="BP180" s="10" t="s">
        <v>50</v>
      </c>
      <c r="BQ180" s="9">
        <v>0</v>
      </c>
      <c r="BR180" s="10" t="s">
        <v>50</v>
      </c>
      <c r="BS180" s="9">
        <v>0</v>
      </c>
      <c r="BT180" s="10" t="s">
        <v>50</v>
      </c>
      <c r="BU180" s="9">
        <v>0</v>
      </c>
    </row>
    <row r="181" spans="1:73" s="23" customFormat="1" ht="15.75" customHeight="1" x14ac:dyDescent="0.2">
      <c r="A181" s="21">
        <f t="shared" si="2"/>
        <v>2179</v>
      </c>
      <c r="B181" s="21" t="s">
        <v>305</v>
      </c>
      <c r="C181" s="21" t="s">
        <v>2941</v>
      </c>
      <c r="D181" s="22" t="s">
        <v>2942</v>
      </c>
      <c r="E181" s="22" t="s">
        <v>2282</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1852</v>
      </c>
      <c r="AN181" s="21" t="s">
        <v>2012</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c r="BP181" s="24" t="s">
        <v>50</v>
      </c>
      <c r="BQ181" s="23">
        <v>0</v>
      </c>
      <c r="BR181" s="24" t="s">
        <v>50</v>
      </c>
      <c r="BS181" s="23">
        <v>0</v>
      </c>
      <c r="BT181" s="24" t="s">
        <v>50</v>
      </c>
      <c r="BU181" s="23">
        <v>0</v>
      </c>
    </row>
    <row r="182" spans="1:73" ht="15.75" customHeight="1" x14ac:dyDescent="0.2">
      <c r="A182" s="3">
        <f t="shared" si="2"/>
        <v>2180</v>
      </c>
      <c r="B182" s="3" t="s">
        <v>564</v>
      </c>
      <c r="C182" s="3" t="s">
        <v>563</v>
      </c>
      <c r="D182" s="27" t="s">
        <v>1064</v>
      </c>
      <c r="E182" s="5" t="s">
        <v>1495</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10</v>
      </c>
      <c r="AG182" s="3">
        <v>0</v>
      </c>
      <c r="AH182" s="3">
        <v>0</v>
      </c>
      <c r="AI182" s="3">
        <v>0</v>
      </c>
      <c r="AJ182" s="3">
        <v>0</v>
      </c>
      <c r="AK182" s="3">
        <v>0</v>
      </c>
      <c r="AL182" s="3" t="s">
        <v>31</v>
      </c>
      <c r="AM182" s="3" t="s">
        <v>1426</v>
      </c>
      <c r="AN182" s="3" t="s">
        <v>2011</v>
      </c>
      <c r="AO182" s="3" t="s">
        <v>1850</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row>
    <row r="183" spans="1:73" ht="15.75" customHeight="1" x14ac:dyDescent="0.2">
      <c r="A183" s="3">
        <f t="shared" si="2"/>
        <v>2181</v>
      </c>
      <c r="B183" s="3" t="s">
        <v>1095</v>
      </c>
      <c r="C183" s="3" t="s">
        <v>1095</v>
      </c>
      <c r="D183" s="27" t="s">
        <v>1094</v>
      </c>
      <c r="E183" s="5" t="s">
        <v>1096</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0</v>
      </c>
      <c r="AF183" s="3">
        <v>10</v>
      </c>
      <c r="AG183" s="3">
        <v>0</v>
      </c>
      <c r="AH183" s="3">
        <v>0</v>
      </c>
      <c r="AI183" s="3">
        <v>0</v>
      </c>
      <c r="AJ183" s="3">
        <v>0</v>
      </c>
      <c r="AK183" s="3">
        <v>0</v>
      </c>
      <c r="AL183" s="3" t="s">
        <v>31</v>
      </c>
      <c r="AM183" s="3" t="s">
        <v>1426</v>
      </c>
      <c r="AN183" s="3" t="s">
        <v>2011</v>
      </c>
      <c r="AO183" s="3" t="s">
        <v>1850</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row>
    <row r="184" spans="1:73" ht="15.75" customHeight="1" x14ac:dyDescent="0.2">
      <c r="A184" s="3">
        <f t="shared" si="2"/>
        <v>2182</v>
      </c>
      <c r="B184" s="3" t="s">
        <v>2964</v>
      </c>
      <c r="C184" s="3" t="s">
        <v>2943</v>
      </c>
      <c r="D184" s="27" t="s">
        <v>2946</v>
      </c>
      <c r="E184" s="5" t="s">
        <v>2947</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0</v>
      </c>
      <c r="AF184" s="3">
        <v>10</v>
      </c>
      <c r="AG184" s="3">
        <v>0</v>
      </c>
      <c r="AH184" s="3">
        <v>0</v>
      </c>
      <c r="AI184" s="3">
        <v>0</v>
      </c>
      <c r="AJ184" s="3">
        <v>0</v>
      </c>
      <c r="AK184" s="3">
        <v>0</v>
      </c>
      <c r="AL184" s="3" t="s">
        <v>31</v>
      </c>
      <c r="AM184" s="3" t="s">
        <v>1426</v>
      </c>
      <c r="AN184" s="3" t="s">
        <v>3102</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row>
    <row r="185" spans="1:73" s="18" customFormat="1" ht="15.75" customHeight="1" x14ac:dyDescent="0.2">
      <c r="A185" s="16">
        <f t="shared" si="2"/>
        <v>2183</v>
      </c>
      <c r="B185" s="16" t="s">
        <v>2964</v>
      </c>
      <c r="C185" s="16" t="s">
        <v>3502</v>
      </c>
      <c r="D185" s="29" t="s">
        <v>3508</v>
      </c>
      <c r="E185" s="17" t="s">
        <v>3503</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1426</v>
      </c>
      <c r="AN185" s="16" t="s">
        <v>3504</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1</v>
      </c>
      <c r="BN185" s="18">
        <v>1</v>
      </c>
      <c r="BO185" s="18">
        <v>0</v>
      </c>
      <c r="BP185" s="19" t="s">
        <v>50</v>
      </c>
      <c r="BQ185" s="18">
        <v>0</v>
      </c>
      <c r="BR185" s="19" t="s">
        <v>50</v>
      </c>
      <c r="BS185" s="18">
        <v>0</v>
      </c>
      <c r="BT185" s="19" t="s">
        <v>50</v>
      </c>
      <c r="BU185" s="18">
        <v>0</v>
      </c>
    </row>
    <row r="186" spans="1:73" s="23" customFormat="1" ht="15.75" customHeight="1" x14ac:dyDescent="0.2">
      <c r="A186" s="21">
        <f t="shared" si="2"/>
        <v>2184</v>
      </c>
      <c r="B186" s="21" t="s">
        <v>305</v>
      </c>
      <c r="C186" s="21" t="s">
        <v>2284</v>
      </c>
      <c r="D186" s="22" t="s">
        <v>2285</v>
      </c>
      <c r="E186" s="22" t="s">
        <v>2282</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1852</v>
      </c>
      <c r="AN186" s="21" t="s">
        <v>2012</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c r="BP186" s="24" t="s">
        <v>50</v>
      </c>
      <c r="BQ186" s="23">
        <v>0</v>
      </c>
      <c r="BR186" s="24" t="s">
        <v>50</v>
      </c>
      <c r="BS186" s="23">
        <v>0</v>
      </c>
      <c r="BT186" s="24" t="s">
        <v>50</v>
      </c>
      <c r="BU186" s="23">
        <v>0</v>
      </c>
    </row>
    <row r="187" spans="1:73" ht="15.75" customHeight="1" x14ac:dyDescent="0.2">
      <c r="A187" s="3">
        <f t="shared" si="2"/>
        <v>2185</v>
      </c>
      <c r="B187" s="3" t="s">
        <v>305</v>
      </c>
      <c r="C187" s="3" t="s">
        <v>305</v>
      </c>
      <c r="D187" s="27" t="s">
        <v>306</v>
      </c>
      <c r="E187" s="5" t="s">
        <v>1483</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3551</v>
      </c>
      <c r="AN187" s="3" t="s">
        <v>2012</v>
      </c>
      <c r="AO187" s="3" t="s">
        <v>1851</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row>
    <row r="188" spans="1:73" ht="15.75" customHeight="1" x14ac:dyDescent="0.2">
      <c r="A188" s="3">
        <f t="shared" si="2"/>
        <v>2186</v>
      </c>
      <c r="B188" s="3" t="s">
        <v>1891</v>
      </c>
      <c r="C188" s="3" t="s">
        <v>1891</v>
      </c>
      <c r="D188" s="27" t="s">
        <v>1890</v>
      </c>
      <c r="E188" s="5" t="s">
        <v>1895</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3112</v>
      </c>
      <c r="AN188" s="3" t="s">
        <v>2012</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row>
    <row r="189" spans="1:73" ht="15.75" customHeight="1" x14ac:dyDescent="0.2">
      <c r="A189" s="3">
        <f t="shared" si="2"/>
        <v>2187</v>
      </c>
      <c r="B189" s="3" t="s">
        <v>1178</v>
      </c>
      <c r="C189" s="3" t="s">
        <v>1178</v>
      </c>
      <c r="D189" s="27" t="s">
        <v>1346</v>
      </c>
      <c r="E189" s="5" t="s">
        <v>1345</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3113</v>
      </c>
      <c r="AN189" s="3" t="s">
        <v>2012</v>
      </c>
      <c r="AO189" s="3" t="s">
        <v>1851</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row>
    <row r="190" spans="1:73" ht="15.75" customHeight="1" x14ac:dyDescent="0.2">
      <c r="A190" s="3">
        <f t="shared" si="2"/>
        <v>2188</v>
      </c>
      <c r="B190" s="3" t="s">
        <v>511</v>
      </c>
      <c r="C190" s="3" t="s">
        <v>511</v>
      </c>
      <c r="D190" s="27" t="s">
        <v>510</v>
      </c>
      <c r="E190" s="5" t="s">
        <v>1179</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10</v>
      </c>
      <c r="AG190" s="3">
        <v>0</v>
      </c>
      <c r="AH190" s="3">
        <v>0</v>
      </c>
      <c r="AI190" s="3">
        <v>0</v>
      </c>
      <c r="AJ190" s="3">
        <v>0</v>
      </c>
      <c r="AK190" s="3">
        <v>0</v>
      </c>
      <c r="AL190" s="3" t="s">
        <v>31</v>
      </c>
      <c r="AM190" s="3" t="s">
        <v>35</v>
      </c>
      <c r="AN190" s="3" t="s">
        <v>2003</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3624</v>
      </c>
      <c r="BQ190">
        <v>30</v>
      </c>
      <c r="BR190" s="6" t="s">
        <v>50</v>
      </c>
      <c r="BS190">
        <v>0</v>
      </c>
      <c r="BT190" s="6" t="s">
        <v>50</v>
      </c>
      <c r="BU190">
        <v>0</v>
      </c>
    </row>
    <row r="191" spans="1:73" ht="15.75" customHeight="1" x14ac:dyDescent="0.2">
      <c r="A191" s="3">
        <f t="shared" si="2"/>
        <v>2189</v>
      </c>
      <c r="B191" s="3" t="s">
        <v>2833</v>
      </c>
      <c r="C191" s="3" t="s">
        <v>2833</v>
      </c>
      <c r="D191" s="27" t="s">
        <v>2928</v>
      </c>
      <c r="E191" s="5" t="s">
        <v>2791</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3113</v>
      </c>
      <c r="AN191" s="3" t="s">
        <v>2012</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row>
    <row r="192" spans="1:73" ht="15.75" customHeight="1" x14ac:dyDescent="0.2">
      <c r="A192" s="3">
        <f t="shared" si="2"/>
        <v>2190</v>
      </c>
      <c r="B192" s="3" t="s">
        <v>2834</v>
      </c>
      <c r="C192" s="3" t="s">
        <v>2834</v>
      </c>
      <c r="D192" s="27" t="s">
        <v>2929</v>
      </c>
      <c r="E192" s="5" t="s">
        <v>2835</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3113</v>
      </c>
      <c r="AN192" s="3" t="s">
        <v>2012</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row>
    <row r="193" spans="1:73" s="43" customFormat="1" ht="15.75" customHeight="1" x14ac:dyDescent="0.2">
      <c r="A193" s="40">
        <f t="shared" si="2"/>
        <v>2191</v>
      </c>
      <c r="B193" s="40" t="s">
        <v>305</v>
      </c>
      <c r="C193" s="40" t="s">
        <v>2827</v>
      </c>
      <c r="D193" s="41" t="s">
        <v>2828</v>
      </c>
      <c r="E193" s="42" t="s">
        <v>2832</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1852</v>
      </c>
      <c r="AN193" s="40" t="s">
        <v>2012</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c r="BP193" s="44" t="s">
        <v>50</v>
      </c>
      <c r="BQ193" s="43">
        <v>0</v>
      </c>
      <c r="BR193" s="44" t="s">
        <v>50</v>
      </c>
      <c r="BS193" s="43">
        <v>0</v>
      </c>
      <c r="BT193" s="44" t="s">
        <v>50</v>
      </c>
      <c r="BU193" s="43">
        <v>0</v>
      </c>
    </row>
    <row r="194" spans="1:73" ht="15.75" customHeight="1" x14ac:dyDescent="0.2">
      <c r="A194" s="3">
        <f t="shared" si="2"/>
        <v>2192</v>
      </c>
      <c r="B194" s="3" t="s">
        <v>2810</v>
      </c>
      <c r="C194" s="3" t="s">
        <v>2810</v>
      </c>
      <c r="D194" s="4" t="s">
        <v>2811</v>
      </c>
      <c r="E194" s="4" t="s">
        <v>2812</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1852</v>
      </c>
      <c r="AN194" s="3" t="s">
        <v>2012</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row>
    <row r="195" spans="1:73" s="43" customFormat="1" ht="15.75" customHeight="1" x14ac:dyDescent="0.2">
      <c r="A195" s="40">
        <f t="shared" si="2"/>
        <v>2193</v>
      </c>
      <c r="B195" s="40" t="s">
        <v>305</v>
      </c>
      <c r="C195" s="40" t="s">
        <v>2837</v>
      </c>
      <c r="D195" s="41" t="s">
        <v>2836</v>
      </c>
      <c r="E195" s="42" t="s">
        <v>2838</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2003</v>
      </c>
      <c r="AO195" s="40" t="s">
        <v>50</v>
      </c>
      <c r="AP195" s="40">
        <v>60</v>
      </c>
      <c r="AQ195" s="40">
        <v>2.5</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c r="BP195" s="44" t="s">
        <v>3624</v>
      </c>
      <c r="BQ195" s="43">
        <v>30</v>
      </c>
      <c r="BR195" s="44" t="s">
        <v>50</v>
      </c>
      <c r="BS195" s="43">
        <v>0</v>
      </c>
      <c r="BT195" s="44" t="s">
        <v>50</v>
      </c>
      <c r="BU195" s="43">
        <v>0</v>
      </c>
    </row>
    <row r="196" spans="1:73" s="43" customFormat="1" ht="15.75" customHeight="1" x14ac:dyDescent="0.2">
      <c r="A196" s="40">
        <f t="shared" ref="A196:A259" si="3">ROW()+1998</f>
        <v>2194</v>
      </c>
      <c r="B196" s="40" t="s">
        <v>305</v>
      </c>
      <c r="C196" s="40" t="s">
        <v>2843</v>
      </c>
      <c r="D196" s="41" t="s">
        <v>2845</v>
      </c>
      <c r="E196" s="42" t="s">
        <v>2844</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3103</v>
      </c>
      <c r="AO196" s="40" t="s">
        <v>50</v>
      </c>
      <c r="AP196" s="40">
        <v>60</v>
      </c>
      <c r="AQ196" s="40">
        <v>3</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c r="BP196" s="44" t="s">
        <v>3624</v>
      </c>
      <c r="BQ196" s="43">
        <v>50</v>
      </c>
      <c r="BR196" s="44" t="s">
        <v>50</v>
      </c>
      <c r="BS196" s="43">
        <v>0</v>
      </c>
      <c r="BT196" s="44" t="s">
        <v>50</v>
      </c>
      <c r="BU196" s="43">
        <v>0</v>
      </c>
    </row>
    <row r="197" spans="1:73" ht="15.75" customHeight="1" x14ac:dyDescent="0.2">
      <c r="A197" s="3">
        <f t="shared" si="3"/>
        <v>2195</v>
      </c>
      <c r="B197" s="3" t="s">
        <v>3201</v>
      </c>
      <c r="C197" s="3" t="s">
        <v>3201</v>
      </c>
      <c r="D197" s="27" t="s">
        <v>3202</v>
      </c>
      <c r="E197" s="5" t="s">
        <v>3203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3113</v>
      </c>
      <c r="AN197" s="3" t="s">
        <v>2012</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row>
    <row r="198" spans="1:73" ht="15.75" customHeight="1" x14ac:dyDescent="0.2">
      <c r="A198" s="3">
        <f t="shared" si="3"/>
        <v>2196</v>
      </c>
      <c r="B198" s="3" t="s">
        <v>3204</v>
      </c>
      <c r="C198" s="3" t="s">
        <v>3204</v>
      </c>
      <c r="D198" s="27" t="s">
        <v>3205</v>
      </c>
      <c r="E198" s="5" t="s">
        <v>3369</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1852</v>
      </c>
      <c r="AN198" s="3" t="s">
        <v>2012</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row>
    <row r="199" spans="1:73" ht="15.75" customHeight="1" x14ac:dyDescent="0.2">
      <c r="A199" s="3">
        <f t="shared" si="3"/>
        <v>2197</v>
      </c>
      <c r="B199" s="3" t="s">
        <v>3002</v>
      </c>
      <c r="C199" s="3" t="s">
        <v>3002</v>
      </c>
      <c r="D199" s="27" t="s">
        <v>3001</v>
      </c>
      <c r="E199" s="5" t="s">
        <v>3003</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0</v>
      </c>
      <c r="AF199" s="3">
        <v>20</v>
      </c>
      <c r="AG199" s="3">
        <v>0</v>
      </c>
      <c r="AH199" s="3">
        <v>0</v>
      </c>
      <c r="AI199" s="3">
        <v>0</v>
      </c>
      <c r="AJ199" s="3">
        <v>0</v>
      </c>
      <c r="AK199" s="3">
        <v>75</v>
      </c>
      <c r="AL199" s="3" t="s">
        <v>31</v>
      </c>
      <c r="AM199" s="3" t="s">
        <v>35</v>
      </c>
      <c r="AN199" s="3" t="s">
        <v>2003</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3624</v>
      </c>
      <c r="BQ199">
        <v>20</v>
      </c>
      <c r="BR199" s="6" t="s">
        <v>50</v>
      </c>
      <c r="BS199">
        <v>0</v>
      </c>
      <c r="BT199" s="6" t="s">
        <v>50</v>
      </c>
      <c r="BU199">
        <v>0</v>
      </c>
    </row>
    <row r="200" spans="1:73" ht="15.75" customHeight="1" x14ac:dyDescent="0.2">
      <c r="A200" s="3">
        <f t="shared" si="3"/>
        <v>2198</v>
      </c>
      <c r="B200" s="3" t="s">
        <v>3005</v>
      </c>
      <c r="C200" s="3" t="s">
        <v>3005</v>
      </c>
      <c r="D200" s="27" t="s">
        <v>3004</v>
      </c>
      <c r="E200" s="5" t="s">
        <v>3130</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2003</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3624</v>
      </c>
      <c r="BQ200">
        <v>20</v>
      </c>
      <c r="BR200" s="6" t="s">
        <v>50</v>
      </c>
      <c r="BS200">
        <v>0</v>
      </c>
      <c r="BT200" s="6" t="s">
        <v>50</v>
      </c>
      <c r="BU200">
        <v>0</v>
      </c>
    </row>
    <row r="201" spans="1:73" ht="15.75" customHeight="1" x14ac:dyDescent="0.2">
      <c r="A201" s="3">
        <f t="shared" si="3"/>
        <v>2199</v>
      </c>
      <c r="B201" s="3" t="s">
        <v>1413</v>
      </c>
      <c r="C201" s="3" t="s">
        <v>1413</v>
      </c>
      <c r="D201" s="27" t="s">
        <v>1411</v>
      </c>
      <c r="E201" s="5" t="s">
        <v>1412</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2003</v>
      </c>
      <c r="AO201" s="3" t="s">
        <v>1850</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3624</v>
      </c>
      <c r="BQ201">
        <v>20</v>
      </c>
      <c r="BR201" s="6" t="s">
        <v>50</v>
      </c>
      <c r="BS201">
        <v>0</v>
      </c>
      <c r="BT201" s="6" t="s">
        <v>50</v>
      </c>
      <c r="BU201">
        <v>0</v>
      </c>
    </row>
    <row r="202" spans="1:73" ht="15.75" customHeight="1" x14ac:dyDescent="0.2">
      <c r="A202" s="3">
        <f t="shared" si="3"/>
        <v>2200</v>
      </c>
      <c r="B202" s="3" t="s">
        <v>3324</v>
      </c>
      <c r="C202" s="3" t="s">
        <v>3324</v>
      </c>
      <c r="D202" s="27" t="s">
        <v>3325</v>
      </c>
      <c r="E202" s="5" t="s">
        <v>3326</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3551</v>
      </c>
      <c r="AN202" s="3" t="s">
        <v>2012</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row>
    <row r="203" spans="1:73" ht="15.75" customHeight="1" x14ac:dyDescent="0.2">
      <c r="A203" s="3">
        <f t="shared" si="3"/>
        <v>2201</v>
      </c>
      <c r="B203" s="3" t="s">
        <v>3327</v>
      </c>
      <c r="C203" s="3" t="s">
        <v>3327</v>
      </c>
      <c r="D203" s="27" t="s">
        <v>3328</v>
      </c>
      <c r="E203" s="5" t="s">
        <v>3329</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3112</v>
      </c>
      <c r="AN203" s="3" t="s">
        <v>2012</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row>
    <row r="204" spans="1:73" ht="15.75" customHeight="1" x14ac:dyDescent="0.2">
      <c r="A204" s="3">
        <f t="shared" si="3"/>
        <v>2202</v>
      </c>
      <c r="B204" s="3" t="s">
        <v>3338</v>
      </c>
      <c r="C204" s="3" t="s">
        <v>3338</v>
      </c>
      <c r="D204" s="27" t="s">
        <v>3339</v>
      </c>
      <c r="E204" s="5" t="s">
        <v>3340</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3113</v>
      </c>
      <c r="AN204" s="3" t="s">
        <v>2012</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row>
    <row r="205" spans="1:73" ht="15.75" customHeight="1" x14ac:dyDescent="0.2">
      <c r="A205" s="3">
        <f t="shared" si="3"/>
        <v>2203</v>
      </c>
      <c r="B205" s="3" t="s">
        <v>3331</v>
      </c>
      <c r="C205" s="3" t="s">
        <v>3331</v>
      </c>
      <c r="D205" s="27" t="s">
        <v>3330</v>
      </c>
      <c r="E205" s="5" t="s">
        <v>3341</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3113</v>
      </c>
      <c r="AN205" s="3" t="s">
        <v>2012</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row>
    <row r="206" spans="1:73" ht="15.75" customHeight="1" x14ac:dyDescent="0.2">
      <c r="A206" s="3">
        <f t="shared" si="3"/>
        <v>2204</v>
      </c>
      <c r="B206" s="3" t="s">
        <v>3333</v>
      </c>
      <c r="C206" s="3" t="s">
        <v>3333</v>
      </c>
      <c r="D206" s="27" t="s">
        <v>3332</v>
      </c>
      <c r="E206" s="5" t="s">
        <v>3334</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3113</v>
      </c>
      <c r="AN206" s="3" t="s">
        <v>2012</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row>
    <row r="207" spans="1:73" ht="15.75" customHeight="1" x14ac:dyDescent="0.2">
      <c r="A207" s="3">
        <f t="shared" si="3"/>
        <v>2205</v>
      </c>
      <c r="B207" s="3" t="s">
        <v>2307</v>
      </c>
      <c r="C207" s="3" t="s">
        <v>2307</v>
      </c>
      <c r="D207" s="27" t="s">
        <v>2306</v>
      </c>
      <c r="E207" s="5" t="s">
        <v>2308</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2003</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3624</v>
      </c>
      <c r="BQ207">
        <v>40</v>
      </c>
      <c r="BR207" s="6" t="s">
        <v>50</v>
      </c>
      <c r="BS207">
        <v>0</v>
      </c>
      <c r="BT207" s="6" t="s">
        <v>50</v>
      </c>
      <c r="BU207">
        <v>0</v>
      </c>
    </row>
    <row r="208" spans="1:73" ht="15.75" customHeight="1" x14ac:dyDescent="0.2">
      <c r="A208" s="3">
        <f t="shared" si="3"/>
        <v>2206</v>
      </c>
      <c r="B208" s="3" t="s">
        <v>3238</v>
      </c>
      <c r="C208" s="3" t="s">
        <v>3238</v>
      </c>
      <c r="D208" s="27" t="s">
        <v>3237</v>
      </c>
      <c r="E208" s="5" t="s">
        <v>3239</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3551</v>
      </c>
      <c r="AN208" s="3" t="s">
        <v>2012</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row>
    <row r="209" spans="1:73" ht="15.75" customHeight="1" x14ac:dyDescent="0.2">
      <c r="A209" s="3">
        <f t="shared" si="3"/>
        <v>2207</v>
      </c>
      <c r="B209" s="3" t="s">
        <v>3254</v>
      </c>
      <c r="C209" s="3" t="s">
        <v>3254</v>
      </c>
      <c r="D209" s="27" t="s">
        <v>3255</v>
      </c>
      <c r="E209" s="5" t="s">
        <v>3256</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3112</v>
      </c>
      <c r="AN209" s="3" t="s">
        <v>2012</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row>
    <row r="210" spans="1:73" ht="15.75" customHeight="1" x14ac:dyDescent="0.2">
      <c r="A210" s="3">
        <f t="shared" si="3"/>
        <v>2208</v>
      </c>
      <c r="B210" s="3" t="s">
        <v>3258</v>
      </c>
      <c r="C210" s="3" t="s">
        <v>3258</v>
      </c>
      <c r="D210" s="27" t="s">
        <v>3257</v>
      </c>
      <c r="E210" s="5" t="s">
        <v>3261</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3112</v>
      </c>
      <c r="AN210" s="3" t="s">
        <v>2012</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row>
    <row r="211" spans="1:73" ht="15.75" customHeight="1" x14ac:dyDescent="0.2">
      <c r="A211" s="3">
        <f t="shared" si="3"/>
        <v>2209</v>
      </c>
      <c r="B211" s="3" t="s">
        <v>3260</v>
      </c>
      <c r="C211" s="3" t="s">
        <v>3260</v>
      </c>
      <c r="D211" s="27" t="s">
        <v>3259</v>
      </c>
      <c r="E211" s="5" t="s">
        <v>3262</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3113</v>
      </c>
      <c r="AN211" s="3" t="s">
        <v>2012</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row>
    <row r="212" spans="1:73" ht="15.75" customHeight="1" x14ac:dyDescent="0.2">
      <c r="A212" s="3">
        <f t="shared" si="3"/>
        <v>2210</v>
      </c>
      <c r="B212" s="3" t="s">
        <v>3264</v>
      </c>
      <c r="C212" s="3" t="s">
        <v>3264</v>
      </c>
      <c r="D212" s="27" t="s">
        <v>3263</v>
      </c>
      <c r="E212" s="5" t="s">
        <v>3265</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3113</v>
      </c>
      <c r="AN212" s="3" t="s">
        <v>2012</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row>
    <row r="213" spans="1:73" ht="15.75" customHeight="1" x14ac:dyDescent="0.2">
      <c r="A213" s="3">
        <f t="shared" si="3"/>
        <v>2211</v>
      </c>
      <c r="B213" s="3" t="s">
        <v>3266</v>
      </c>
      <c r="C213" s="3" t="s">
        <v>3266</v>
      </c>
      <c r="D213" s="27" t="s">
        <v>3267</v>
      </c>
      <c r="E213" s="5" t="s">
        <v>3268</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3113</v>
      </c>
      <c r="AN213" s="3" t="s">
        <v>2012</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row>
    <row r="214" spans="1:73" ht="15.75" customHeight="1" x14ac:dyDescent="0.2">
      <c r="A214" s="3">
        <f t="shared" si="3"/>
        <v>2212</v>
      </c>
      <c r="B214" s="3" t="s">
        <v>3269</v>
      </c>
      <c r="C214" s="3" t="s">
        <v>3269</v>
      </c>
      <c r="D214" s="27" t="s">
        <v>3270</v>
      </c>
      <c r="E214" s="5" t="s">
        <v>3271</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3113</v>
      </c>
      <c r="AN214" s="3" t="s">
        <v>2012</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row>
    <row r="215" spans="1:73" ht="15.75" customHeight="1" x14ac:dyDescent="0.2">
      <c r="A215" s="3">
        <f t="shared" si="3"/>
        <v>2213</v>
      </c>
      <c r="B215" s="3" t="s">
        <v>3272</v>
      </c>
      <c r="C215" s="3" t="s">
        <v>3272</v>
      </c>
      <c r="D215" s="27" t="s">
        <v>3273</v>
      </c>
      <c r="E215" s="5" t="s">
        <v>3274</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3113</v>
      </c>
      <c r="AN215" s="3" t="s">
        <v>2012</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row>
    <row r="216" spans="1:73" ht="15.75" customHeight="1" x14ac:dyDescent="0.2">
      <c r="A216" s="3">
        <f t="shared" si="3"/>
        <v>2214</v>
      </c>
      <c r="B216" s="3" t="s">
        <v>2320</v>
      </c>
      <c r="C216" s="3" t="s">
        <v>2320</v>
      </c>
      <c r="D216" s="27" t="s">
        <v>2318</v>
      </c>
      <c r="E216" s="5" t="s">
        <v>2319</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2003</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3624</v>
      </c>
      <c r="BQ216">
        <v>40</v>
      </c>
      <c r="BR216" s="6" t="s">
        <v>50</v>
      </c>
      <c r="BS216">
        <v>0</v>
      </c>
      <c r="BT216" s="6" t="s">
        <v>50</v>
      </c>
      <c r="BU216">
        <v>0</v>
      </c>
    </row>
    <row r="217" spans="1:73" ht="15.75" customHeight="1" x14ac:dyDescent="0.2">
      <c r="A217" s="3">
        <f t="shared" si="3"/>
        <v>2215</v>
      </c>
      <c r="B217" s="3" t="s">
        <v>3293</v>
      </c>
      <c r="C217" s="3" t="s">
        <v>3293</v>
      </c>
      <c r="D217" s="27" t="s">
        <v>3292</v>
      </c>
      <c r="E217" s="5" t="s">
        <v>3294</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3551</v>
      </c>
      <c r="AN217" s="3" t="s">
        <v>2012</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row>
    <row r="218" spans="1:73" ht="15.75" customHeight="1" x14ac:dyDescent="0.2">
      <c r="A218" s="3">
        <f t="shared" si="3"/>
        <v>2216</v>
      </c>
      <c r="B218" s="3" t="s">
        <v>3319</v>
      </c>
      <c r="C218" s="3" t="s">
        <v>3319</v>
      </c>
      <c r="D218" s="27" t="s">
        <v>3320</v>
      </c>
      <c r="E218" s="5" t="s">
        <v>3321</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3112</v>
      </c>
      <c r="AN218" s="3" t="s">
        <v>2012</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row>
    <row r="219" spans="1:73" ht="15.75" customHeight="1" x14ac:dyDescent="0.2">
      <c r="A219" s="3">
        <f t="shared" si="3"/>
        <v>2217</v>
      </c>
      <c r="B219" s="3" t="s">
        <v>3296</v>
      </c>
      <c r="C219" s="3" t="s">
        <v>3296</v>
      </c>
      <c r="D219" s="27" t="s">
        <v>3298</v>
      </c>
      <c r="E219" s="5" t="s">
        <v>3295</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3113</v>
      </c>
      <c r="AN219" s="3" t="s">
        <v>2012</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row>
    <row r="220" spans="1:73" ht="15.75" customHeight="1" x14ac:dyDescent="0.2">
      <c r="A220" s="3">
        <f t="shared" si="3"/>
        <v>2218</v>
      </c>
      <c r="B220" s="3" t="s">
        <v>3302</v>
      </c>
      <c r="C220" s="3" t="s">
        <v>3302</v>
      </c>
      <c r="D220" s="27" t="s">
        <v>3297</v>
      </c>
      <c r="E220" s="5" t="s">
        <v>3299</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3113</v>
      </c>
      <c r="AN220" s="3" t="s">
        <v>2012</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row>
    <row r="221" spans="1:73" ht="15.75" customHeight="1" x14ac:dyDescent="0.2">
      <c r="A221" s="3">
        <f t="shared" si="3"/>
        <v>2219</v>
      </c>
      <c r="B221" s="3" t="s">
        <v>3301</v>
      </c>
      <c r="C221" s="3" t="s">
        <v>3301</v>
      </c>
      <c r="D221" s="27" t="s">
        <v>3300</v>
      </c>
      <c r="E221" s="5" t="s">
        <v>3303</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3113</v>
      </c>
      <c r="AN221" s="3" t="s">
        <v>2012</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row>
    <row r="222" spans="1:73" ht="15.75" customHeight="1" x14ac:dyDescent="0.2">
      <c r="A222" s="3">
        <f t="shared" si="3"/>
        <v>2220</v>
      </c>
      <c r="B222" s="3" t="s">
        <v>3007</v>
      </c>
      <c r="C222" s="3" t="s">
        <v>3007</v>
      </c>
      <c r="D222" s="27" t="s">
        <v>3006</v>
      </c>
      <c r="E222" s="5" t="s">
        <v>3008</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20</v>
      </c>
      <c r="AG222" s="3">
        <v>0</v>
      </c>
      <c r="AH222" s="3">
        <v>0</v>
      </c>
      <c r="AI222" s="3">
        <v>0</v>
      </c>
      <c r="AJ222" s="3">
        <v>0</v>
      </c>
      <c r="AK222" s="3">
        <v>0</v>
      </c>
      <c r="AL222" s="3" t="s">
        <v>31</v>
      </c>
      <c r="AM222" s="3" t="s">
        <v>99</v>
      </c>
      <c r="AN222" s="3" t="s">
        <v>2003</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3624</v>
      </c>
      <c r="BQ222">
        <v>40</v>
      </c>
      <c r="BR222" s="6" t="s">
        <v>50</v>
      </c>
      <c r="BS222">
        <v>0</v>
      </c>
      <c r="BT222" s="6" t="s">
        <v>50</v>
      </c>
      <c r="BU222">
        <v>0</v>
      </c>
    </row>
    <row r="223" spans="1:73" s="43" customFormat="1" ht="15.75" customHeight="1" x14ac:dyDescent="0.2">
      <c r="A223" s="40">
        <f t="shared" si="3"/>
        <v>2221</v>
      </c>
      <c r="B223" s="40" t="s">
        <v>3007</v>
      </c>
      <c r="C223" s="40" t="s">
        <v>3009</v>
      </c>
      <c r="D223" s="41" t="s">
        <v>3010</v>
      </c>
      <c r="E223" s="42" t="s">
        <v>3011</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20</v>
      </c>
      <c r="AG223" s="40">
        <v>0</v>
      </c>
      <c r="AH223" s="40">
        <v>0</v>
      </c>
      <c r="AI223" s="40">
        <v>0</v>
      </c>
      <c r="AJ223" s="40">
        <v>0</v>
      </c>
      <c r="AK223" s="40">
        <v>0</v>
      </c>
      <c r="AL223" s="40" t="s">
        <v>31</v>
      </c>
      <c r="AM223" s="40" t="s">
        <v>35</v>
      </c>
      <c r="AN223" s="40" t="s">
        <v>3103</v>
      </c>
      <c r="AO223" s="40" t="s">
        <v>50</v>
      </c>
      <c r="AP223" s="40">
        <v>30</v>
      </c>
      <c r="AQ223" s="40">
        <v>2.5</v>
      </c>
      <c r="AR223" s="43">
        <v>4000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c r="BP223" s="44" t="s">
        <v>3624</v>
      </c>
      <c r="BQ223" s="43">
        <v>40</v>
      </c>
      <c r="BR223" s="44" t="s">
        <v>50</v>
      </c>
      <c r="BS223" s="43">
        <v>0</v>
      </c>
      <c r="BT223" s="44" t="s">
        <v>50</v>
      </c>
      <c r="BU223" s="43">
        <v>0</v>
      </c>
    </row>
    <row r="224" spans="1:73" s="9" customFormat="1" ht="15.75" customHeight="1" x14ac:dyDescent="0.2">
      <c r="A224" s="7">
        <f t="shared" si="3"/>
        <v>2222</v>
      </c>
      <c r="B224" s="7" t="s">
        <v>2050</v>
      </c>
      <c r="C224" s="7" t="s">
        <v>2187</v>
      </c>
      <c r="D224" s="11" t="s">
        <v>2186</v>
      </c>
      <c r="E224" s="11" t="s">
        <v>2188</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2003</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row>
    <row r="225" spans="1:73" s="9" customFormat="1" ht="15.75" customHeight="1" x14ac:dyDescent="0.2">
      <c r="A225" s="3">
        <f t="shared" si="3"/>
        <v>2223</v>
      </c>
      <c r="B225" s="7" t="s">
        <v>38</v>
      </c>
      <c r="C225" s="7" t="s">
        <v>423</v>
      </c>
      <c r="D225" s="28"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2003</v>
      </c>
      <c r="AO225" s="7" t="s">
        <v>1850</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c r="BP225" s="10" t="s">
        <v>50</v>
      </c>
      <c r="BQ225" s="9">
        <v>0</v>
      </c>
      <c r="BR225" s="10" t="s">
        <v>50</v>
      </c>
      <c r="BS225" s="9">
        <v>0</v>
      </c>
      <c r="BT225" s="10" t="s">
        <v>50</v>
      </c>
      <c r="BU225" s="9">
        <v>0</v>
      </c>
    </row>
    <row r="226" spans="1:73" s="9" customFormat="1" ht="15.75" customHeight="1" x14ac:dyDescent="0.2">
      <c r="A226" s="3">
        <f t="shared" si="3"/>
        <v>2224</v>
      </c>
      <c r="B226" s="7" t="s">
        <v>386</v>
      </c>
      <c r="C226" s="7" t="s">
        <v>171</v>
      </c>
      <c r="D226" s="28" t="s">
        <v>172</v>
      </c>
      <c r="E226" s="8" t="s">
        <v>2966</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2003</v>
      </c>
      <c r="AO226" s="7" t="s">
        <v>1850</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c r="BP226" s="10" t="s">
        <v>50</v>
      </c>
      <c r="BQ226" s="9">
        <v>0</v>
      </c>
      <c r="BR226" s="10" t="s">
        <v>50</v>
      </c>
      <c r="BS226" s="9">
        <v>0</v>
      </c>
      <c r="BT226" s="10" t="s">
        <v>50</v>
      </c>
      <c r="BU226" s="9">
        <v>0</v>
      </c>
    </row>
    <row r="227" spans="1:73" ht="15.75" customHeight="1" x14ac:dyDescent="0.2">
      <c r="A227" s="3">
        <f t="shared" si="3"/>
        <v>2225</v>
      </c>
      <c r="B227" s="3" t="s">
        <v>1873</v>
      </c>
      <c r="C227" s="3" t="s">
        <v>1873</v>
      </c>
      <c r="D227" s="27" t="s">
        <v>1892</v>
      </c>
      <c r="E227" s="5" t="s">
        <v>1887</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3551</v>
      </c>
      <c r="AN227" s="3" t="s">
        <v>2012</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row>
    <row r="228" spans="1:73" ht="15.75" customHeight="1" x14ac:dyDescent="0.2">
      <c r="A228" s="3">
        <f t="shared" si="3"/>
        <v>2226</v>
      </c>
      <c r="B228" s="3" t="s">
        <v>1896</v>
      </c>
      <c r="C228" s="3" t="s">
        <v>1896</v>
      </c>
      <c r="D228" s="27" t="s">
        <v>1893</v>
      </c>
      <c r="E228" s="5" t="s">
        <v>1894</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3112</v>
      </c>
      <c r="AN228" s="3" t="s">
        <v>2012</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row>
    <row r="229" spans="1:73" ht="15.75" customHeight="1" x14ac:dyDescent="0.2">
      <c r="A229" s="3">
        <f t="shared" si="3"/>
        <v>2227</v>
      </c>
      <c r="B229" s="3" t="s">
        <v>1876</v>
      </c>
      <c r="C229" s="3" t="s">
        <v>1876</v>
      </c>
      <c r="D229" s="27" t="s">
        <v>1884</v>
      </c>
      <c r="E229" s="5" t="s">
        <v>1874</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3113</v>
      </c>
      <c r="AN229" s="3" t="s">
        <v>2012</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row>
    <row r="230" spans="1:73" ht="15.75" customHeight="1" x14ac:dyDescent="0.2">
      <c r="A230" s="3">
        <f t="shared" si="3"/>
        <v>2228</v>
      </c>
      <c r="B230" s="3" t="s">
        <v>1877</v>
      </c>
      <c r="C230" s="3" t="s">
        <v>1877</v>
      </c>
      <c r="D230" s="27" t="s">
        <v>1885</v>
      </c>
      <c r="E230" s="5" t="s">
        <v>1875</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3113</v>
      </c>
      <c r="AN230" s="3" t="s">
        <v>2012</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row>
    <row r="231" spans="1:73" ht="15.75" customHeight="1" x14ac:dyDescent="0.2">
      <c r="A231" s="3">
        <f t="shared" si="3"/>
        <v>2229</v>
      </c>
      <c r="B231" s="3" t="s">
        <v>1881</v>
      </c>
      <c r="C231" s="3" t="s">
        <v>1881</v>
      </c>
      <c r="D231" s="27" t="s">
        <v>3127</v>
      </c>
      <c r="E231" s="5" t="s">
        <v>1888</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3113</v>
      </c>
      <c r="AN231" s="3" t="s">
        <v>2012</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row>
    <row r="232" spans="1:73" ht="15.75" customHeight="1" x14ac:dyDescent="0.2">
      <c r="A232" s="3">
        <f t="shared" si="3"/>
        <v>2230</v>
      </c>
      <c r="B232" s="3" t="s">
        <v>2829</v>
      </c>
      <c r="C232" s="3" t="s">
        <v>2829</v>
      </c>
      <c r="D232" s="27" t="s">
        <v>1903</v>
      </c>
      <c r="E232" s="5" t="s">
        <v>1886</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2003</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row>
    <row r="233" spans="1:73" ht="15.75" customHeight="1" x14ac:dyDescent="0.2">
      <c r="A233" s="3">
        <f t="shared" si="3"/>
        <v>2231</v>
      </c>
      <c r="B233" s="3" t="s">
        <v>385</v>
      </c>
      <c r="C233" s="3" t="s">
        <v>2830</v>
      </c>
      <c r="D233" s="27" t="s">
        <v>2831</v>
      </c>
      <c r="E233" s="5" t="s">
        <v>1889</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2003</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row>
    <row r="234" spans="1:73" ht="15.75" customHeight="1" x14ac:dyDescent="0.2">
      <c r="A234" s="3">
        <f t="shared" si="3"/>
        <v>2232</v>
      </c>
      <c r="B234" s="3" t="s">
        <v>385</v>
      </c>
      <c r="C234" s="3" t="s">
        <v>173</v>
      </c>
      <c r="D234" s="27" t="s">
        <v>174</v>
      </c>
      <c r="E234" s="5" t="s">
        <v>3381</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2003</v>
      </c>
      <c r="AO234" s="3" t="s">
        <v>1850</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3624</v>
      </c>
      <c r="BQ234">
        <v>40</v>
      </c>
      <c r="BR234" s="6" t="s">
        <v>50</v>
      </c>
      <c r="BS234">
        <v>0</v>
      </c>
      <c r="BT234" s="6" t="s">
        <v>50</v>
      </c>
      <c r="BU234">
        <v>0</v>
      </c>
    </row>
    <row r="235" spans="1:73" s="9" customFormat="1" ht="15.75" customHeight="1" x14ac:dyDescent="0.2">
      <c r="A235" s="3">
        <f t="shared" si="3"/>
        <v>2233</v>
      </c>
      <c r="B235" s="7" t="s">
        <v>305</v>
      </c>
      <c r="C235" s="7" t="s">
        <v>416</v>
      </c>
      <c r="D235" s="28"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2003</v>
      </c>
      <c r="AO235" s="7" t="s">
        <v>1850</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c r="BP235" s="10" t="s">
        <v>50</v>
      </c>
      <c r="BQ235" s="9">
        <v>0</v>
      </c>
      <c r="BR235" s="10" t="s">
        <v>50</v>
      </c>
      <c r="BS235" s="9">
        <v>0</v>
      </c>
      <c r="BT235" s="10" t="s">
        <v>50</v>
      </c>
      <c r="BU235" s="9">
        <v>0</v>
      </c>
    </row>
    <row r="236" spans="1:73" s="9" customFormat="1" ht="15.75" customHeight="1" x14ac:dyDescent="0.2">
      <c r="A236" s="3">
        <f t="shared" si="3"/>
        <v>2234</v>
      </c>
      <c r="B236" s="7" t="s">
        <v>305</v>
      </c>
      <c r="C236" s="7" t="s">
        <v>418</v>
      </c>
      <c r="D236" s="28"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2003</v>
      </c>
      <c r="AO236" s="7" t="s">
        <v>1850</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c r="BP236" s="10" t="s">
        <v>50</v>
      </c>
      <c r="BQ236" s="9">
        <v>0</v>
      </c>
      <c r="BR236" s="10" t="s">
        <v>50</v>
      </c>
      <c r="BS236" s="9">
        <v>0</v>
      </c>
      <c r="BT236" s="10" t="s">
        <v>50</v>
      </c>
      <c r="BU236" s="9">
        <v>0</v>
      </c>
    </row>
    <row r="237" spans="1:73" s="9" customFormat="1" ht="15.75" customHeight="1" x14ac:dyDescent="0.2">
      <c r="A237" s="3">
        <f t="shared" si="3"/>
        <v>2235</v>
      </c>
      <c r="B237" s="7" t="s">
        <v>305</v>
      </c>
      <c r="C237" s="7" t="s">
        <v>1515</v>
      </c>
      <c r="D237" s="28" t="s">
        <v>2967</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2003</v>
      </c>
      <c r="AO237" s="7" t="s">
        <v>1850</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c r="BP237" s="10" t="s">
        <v>50</v>
      </c>
      <c r="BQ237" s="9">
        <v>0</v>
      </c>
      <c r="BR237" s="10" t="s">
        <v>50</v>
      </c>
      <c r="BS237" s="9">
        <v>0</v>
      </c>
      <c r="BT237" s="10" t="s">
        <v>50</v>
      </c>
      <c r="BU237" s="9">
        <v>0</v>
      </c>
    </row>
    <row r="238" spans="1:73" s="9" customFormat="1" ht="15.75" customHeight="1" x14ac:dyDescent="0.2">
      <c r="A238" s="3">
        <f t="shared" si="3"/>
        <v>2236</v>
      </c>
      <c r="B238" s="7" t="s">
        <v>305</v>
      </c>
      <c r="C238" s="7" t="s">
        <v>1514</v>
      </c>
      <c r="D238" s="28" t="s">
        <v>1513</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2003</v>
      </c>
      <c r="AO238" s="7" t="s">
        <v>1850</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c r="BP238" s="10" t="s">
        <v>50</v>
      </c>
      <c r="BQ238" s="9">
        <v>0</v>
      </c>
      <c r="BR238" s="10" t="s">
        <v>50</v>
      </c>
      <c r="BS238" s="9">
        <v>0</v>
      </c>
      <c r="BT238" s="10" t="s">
        <v>50</v>
      </c>
      <c r="BU238" s="9">
        <v>0</v>
      </c>
    </row>
    <row r="239" spans="1:73" s="9" customFormat="1" ht="15.75" customHeight="1" x14ac:dyDescent="0.2">
      <c r="A239" s="3">
        <f t="shared" si="3"/>
        <v>2237</v>
      </c>
      <c r="B239" s="7" t="s">
        <v>305</v>
      </c>
      <c r="C239" s="7" t="s">
        <v>429</v>
      </c>
      <c r="D239" s="28"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2003</v>
      </c>
      <c r="AO239" s="7" t="s">
        <v>1850</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c r="BP239" s="10" t="s">
        <v>50</v>
      </c>
      <c r="BQ239" s="9">
        <v>0</v>
      </c>
      <c r="BR239" s="10" t="s">
        <v>50</v>
      </c>
      <c r="BS239" s="9">
        <v>0</v>
      </c>
      <c r="BT239" s="10" t="s">
        <v>50</v>
      </c>
      <c r="BU239" s="9">
        <v>0</v>
      </c>
    </row>
    <row r="240" spans="1:73" s="9" customFormat="1" ht="15.75" customHeight="1" x14ac:dyDescent="0.2">
      <c r="A240" s="3">
        <f t="shared" si="3"/>
        <v>2238</v>
      </c>
      <c r="B240" s="7" t="s">
        <v>305</v>
      </c>
      <c r="C240" s="7" t="s">
        <v>434</v>
      </c>
      <c r="D240" s="28" t="s">
        <v>433</v>
      </c>
      <c r="E240" s="8" t="s">
        <v>1061</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2003</v>
      </c>
      <c r="AO240" s="7" t="s">
        <v>1850</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c r="BP240" s="10" t="s">
        <v>50</v>
      </c>
      <c r="BQ240" s="9">
        <v>0</v>
      </c>
      <c r="BR240" s="10" t="s">
        <v>50</v>
      </c>
      <c r="BS240" s="9">
        <v>0</v>
      </c>
      <c r="BT240" s="10" t="s">
        <v>50</v>
      </c>
      <c r="BU240" s="9">
        <v>0</v>
      </c>
    </row>
    <row r="241" spans="1:73" s="9" customFormat="1" ht="15.75" customHeight="1" x14ac:dyDescent="0.2">
      <c r="A241" s="3">
        <f t="shared" si="3"/>
        <v>2239</v>
      </c>
      <c r="B241" s="7" t="s">
        <v>387</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2014</v>
      </c>
      <c r="AO241" s="7" t="s">
        <v>1850</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c r="BP241" s="10" t="s">
        <v>50</v>
      </c>
      <c r="BQ241" s="9">
        <v>0</v>
      </c>
      <c r="BR241" s="10" t="s">
        <v>50</v>
      </c>
      <c r="BS241" s="9">
        <v>0</v>
      </c>
      <c r="BT241" s="10" t="s">
        <v>50</v>
      </c>
      <c r="BU241" s="9">
        <v>0</v>
      </c>
    </row>
    <row r="242" spans="1:73"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2003</v>
      </c>
      <c r="AO242" s="7" t="s">
        <v>1850</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c r="BP242" s="10" t="s">
        <v>50</v>
      </c>
      <c r="BQ242" s="9">
        <v>0</v>
      </c>
      <c r="BR242" s="10" t="s">
        <v>50</v>
      </c>
      <c r="BS242" s="9">
        <v>0</v>
      </c>
      <c r="BT242" s="10" t="s">
        <v>50</v>
      </c>
      <c r="BU242" s="9">
        <v>0</v>
      </c>
    </row>
    <row r="243" spans="1:73"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2003</v>
      </c>
      <c r="AO243" s="7" t="s">
        <v>1850</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c r="BP243" s="10" t="s">
        <v>50</v>
      </c>
      <c r="BQ243" s="9">
        <v>0</v>
      </c>
      <c r="BR243" s="10" t="s">
        <v>50</v>
      </c>
      <c r="BS243" s="9">
        <v>0</v>
      </c>
      <c r="BT243" s="10" t="s">
        <v>50</v>
      </c>
      <c r="BU243" s="9">
        <v>0</v>
      </c>
    </row>
    <row r="244" spans="1:73" s="23" customFormat="1" ht="15.75" customHeight="1" x14ac:dyDescent="0.2">
      <c r="A244" s="21">
        <f t="shared" si="3"/>
        <v>2242</v>
      </c>
      <c r="B244" s="21" t="s">
        <v>2050</v>
      </c>
      <c r="C244" s="21" t="s">
        <v>2283</v>
      </c>
      <c r="D244" s="22" t="s">
        <v>2286</v>
      </c>
      <c r="E244" s="22" t="s">
        <v>2282</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2015</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c r="BP244" s="24" t="s">
        <v>50</v>
      </c>
      <c r="BQ244" s="23">
        <v>0</v>
      </c>
      <c r="BR244" s="24" t="s">
        <v>50</v>
      </c>
      <c r="BS244" s="23">
        <v>0</v>
      </c>
      <c r="BT244" s="24" t="s">
        <v>50</v>
      </c>
      <c r="BU244" s="23">
        <v>0</v>
      </c>
    </row>
    <row r="245" spans="1:73" ht="15.75" customHeight="1" x14ac:dyDescent="0.2">
      <c r="A245" s="3">
        <f t="shared" si="3"/>
        <v>2243</v>
      </c>
      <c r="B245" s="3" t="s">
        <v>2050</v>
      </c>
      <c r="C245" s="3" t="s">
        <v>2050</v>
      </c>
      <c r="D245" s="4" t="s">
        <v>2049</v>
      </c>
      <c r="E245" s="4" t="s">
        <v>2123</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0</v>
      </c>
      <c r="AI245" s="3">
        <v>0</v>
      </c>
      <c r="AJ245" s="3">
        <v>0</v>
      </c>
      <c r="AK245" s="3">
        <v>0</v>
      </c>
      <c r="AL245" s="3" t="s">
        <v>31</v>
      </c>
      <c r="AM245" s="3" t="s">
        <v>48</v>
      </c>
      <c r="AN245" s="3" t="s">
        <v>2015</v>
      </c>
      <c r="AO245" s="3" t="s">
        <v>1850</v>
      </c>
      <c r="AP245" s="3">
        <v>60</v>
      </c>
      <c r="AQ245" s="3">
        <v>2</v>
      </c>
      <c r="AR245">
        <v>1500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3624</v>
      </c>
      <c r="BQ245">
        <v>20</v>
      </c>
      <c r="BR245" s="6" t="s">
        <v>50</v>
      </c>
      <c r="BS245">
        <v>0</v>
      </c>
      <c r="BT245" s="6" t="s">
        <v>50</v>
      </c>
      <c r="BU245">
        <v>0</v>
      </c>
    </row>
    <row r="246" spans="1:73" s="32" customFormat="1" ht="15.75" customHeight="1" x14ac:dyDescent="0.2">
      <c r="A246" s="30">
        <f t="shared" si="3"/>
        <v>2244</v>
      </c>
      <c r="B246" s="30" t="s">
        <v>2083</v>
      </c>
      <c r="C246" s="30" t="s">
        <v>2055</v>
      </c>
      <c r="D246" s="31" t="s">
        <v>2085</v>
      </c>
      <c r="E246" s="31" t="s">
        <v>2124</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2056</v>
      </c>
      <c r="AO246" s="30" t="s">
        <v>51</v>
      </c>
      <c r="AP246" s="30">
        <v>60</v>
      </c>
      <c r="AQ246" s="30">
        <v>2.2000000000000002</v>
      </c>
      <c r="AR246" s="32">
        <v>1500</v>
      </c>
      <c r="AS246" s="32">
        <v>50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c r="BP246" s="33" t="s">
        <v>50</v>
      </c>
      <c r="BQ246" s="32">
        <v>0</v>
      </c>
      <c r="BR246" s="33" t="s">
        <v>50</v>
      </c>
      <c r="BS246" s="32">
        <v>0</v>
      </c>
      <c r="BT246" s="33" t="s">
        <v>50</v>
      </c>
      <c r="BU246" s="32">
        <v>0</v>
      </c>
    </row>
    <row r="247" spans="1:73" s="32" customFormat="1" ht="15.75" customHeight="1" x14ac:dyDescent="0.2">
      <c r="A247" s="30">
        <f t="shared" si="3"/>
        <v>2245</v>
      </c>
      <c r="B247" s="30" t="s">
        <v>2083</v>
      </c>
      <c r="C247" s="30" t="s">
        <v>2090</v>
      </c>
      <c r="D247" s="31" t="s">
        <v>2091</v>
      </c>
      <c r="E247" s="31" t="s">
        <v>2092</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2056</v>
      </c>
      <c r="AO247" s="30" t="s">
        <v>51</v>
      </c>
      <c r="AP247" s="30">
        <v>60</v>
      </c>
      <c r="AQ247" s="30">
        <v>2.2000000000000002</v>
      </c>
      <c r="AR247" s="32">
        <v>1500</v>
      </c>
      <c r="AS247" s="32">
        <v>50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c r="BP247" s="33" t="s">
        <v>50</v>
      </c>
      <c r="BQ247" s="32">
        <v>0</v>
      </c>
      <c r="BR247" s="33" t="s">
        <v>50</v>
      </c>
      <c r="BS247" s="32">
        <v>0</v>
      </c>
      <c r="BT247" s="33" t="s">
        <v>50</v>
      </c>
      <c r="BU247" s="32">
        <v>0</v>
      </c>
    </row>
    <row r="248" spans="1:73" ht="15.75" customHeight="1" x14ac:dyDescent="0.2">
      <c r="A248" s="3">
        <f t="shared" si="3"/>
        <v>2246</v>
      </c>
      <c r="B248" s="3" t="s">
        <v>2084</v>
      </c>
      <c r="C248" s="3" t="s">
        <v>2711</v>
      </c>
      <c r="D248" s="4" t="s">
        <v>2095</v>
      </c>
      <c r="E248" s="4" t="s">
        <v>2125</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10</v>
      </c>
      <c r="AF248" s="3">
        <v>0</v>
      </c>
      <c r="AG248" s="3">
        <v>5</v>
      </c>
      <c r="AH248" s="3">
        <v>50</v>
      </c>
      <c r="AI248" s="3">
        <v>0</v>
      </c>
      <c r="AJ248" s="3">
        <v>0</v>
      </c>
      <c r="AK248" s="3">
        <v>0</v>
      </c>
      <c r="AL248" s="3" t="s">
        <v>31</v>
      </c>
      <c r="AM248" s="3" t="s">
        <v>48</v>
      </c>
      <c r="AN248" s="3" t="s">
        <v>2056</v>
      </c>
      <c r="AO248" s="3" t="s">
        <v>50</v>
      </c>
      <c r="AP248" s="3">
        <v>60</v>
      </c>
      <c r="AQ248" s="3">
        <v>2.2000000000000002</v>
      </c>
      <c r="AR248">
        <v>1500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3624</v>
      </c>
      <c r="BQ248">
        <v>20</v>
      </c>
      <c r="BR248" s="6" t="s">
        <v>50</v>
      </c>
      <c r="BS248">
        <v>0</v>
      </c>
      <c r="BT248" s="6" t="s">
        <v>50</v>
      </c>
      <c r="BU248">
        <v>0</v>
      </c>
    </row>
    <row r="249" spans="1:73" ht="15.75" customHeight="1" x14ac:dyDescent="0.2">
      <c r="A249" s="3">
        <f t="shared" si="3"/>
        <v>2247</v>
      </c>
      <c r="B249" s="3" t="s">
        <v>2993</v>
      </c>
      <c r="C249" s="3" t="s">
        <v>2062</v>
      </c>
      <c r="D249" s="4" t="s">
        <v>2061</v>
      </c>
      <c r="E249" s="4" t="s">
        <v>2121</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5</v>
      </c>
      <c r="AF249" s="3">
        <v>20</v>
      </c>
      <c r="AG249" s="3">
        <v>5</v>
      </c>
      <c r="AH249" s="3">
        <v>0</v>
      </c>
      <c r="AI249" s="3">
        <v>0</v>
      </c>
      <c r="AJ249" s="3">
        <v>0</v>
      </c>
      <c r="AK249" s="3">
        <v>0</v>
      </c>
      <c r="AL249" s="3" t="s">
        <v>31</v>
      </c>
      <c r="AM249" s="3" t="s">
        <v>48</v>
      </c>
      <c r="AN249" s="3" t="s">
        <v>2841</v>
      </c>
      <c r="AO249" s="3" t="s">
        <v>50</v>
      </c>
      <c r="AP249" s="3">
        <v>60</v>
      </c>
      <c r="AQ249" s="3">
        <v>2.2000000000000002</v>
      </c>
      <c r="AR249">
        <v>1500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3624</v>
      </c>
      <c r="BQ249">
        <v>20</v>
      </c>
      <c r="BR249" s="6" t="s">
        <v>50</v>
      </c>
      <c r="BS249">
        <v>0</v>
      </c>
      <c r="BT249" s="6" t="s">
        <v>50</v>
      </c>
      <c r="BU249">
        <v>0</v>
      </c>
    </row>
    <row r="250" spans="1:73" ht="15.75" customHeight="1" x14ac:dyDescent="0.2">
      <c r="A250" s="3">
        <f t="shared" si="3"/>
        <v>2248</v>
      </c>
      <c r="B250" s="3" t="s">
        <v>2994</v>
      </c>
      <c r="C250" s="3" t="s">
        <v>2119</v>
      </c>
      <c r="D250" s="4" t="s">
        <v>2117</v>
      </c>
      <c r="E250" s="4" t="s">
        <v>2122</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v>
      </c>
      <c r="AF250" s="3">
        <v>5</v>
      </c>
      <c r="AG250" s="3">
        <v>10</v>
      </c>
      <c r="AH250" s="3">
        <v>0</v>
      </c>
      <c r="AI250" s="3">
        <v>0</v>
      </c>
      <c r="AJ250" s="3">
        <v>0</v>
      </c>
      <c r="AK250" s="3">
        <v>0</v>
      </c>
      <c r="AL250" s="3" t="s">
        <v>31</v>
      </c>
      <c r="AM250" s="3" t="s">
        <v>48</v>
      </c>
      <c r="AN250" s="3" t="s">
        <v>2840</v>
      </c>
      <c r="AO250" s="3" t="s">
        <v>50</v>
      </c>
      <c r="AP250" s="3">
        <v>60</v>
      </c>
      <c r="AQ250" s="3">
        <v>2.2000000000000002</v>
      </c>
      <c r="AR250">
        <v>1500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3624</v>
      </c>
      <c r="BQ250">
        <v>20</v>
      </c>
      <c r="BR250" s="6" t="s">
        <v>50</v>
      </c>
      <c r="BS250">
        <v>0</v>
      </c>
      <c r="BT250" s="6" t="s">
        <v>50</v>
      </c>
      <c r="BU250">
        <v>0</v>
      </c>
    </row>
    <row r="251" spans="1:73" s="9" customFormat="1" ht="15.75" customHeight="1" x14ac:dyDescent="0.2">
      <c r="A251" s="7">
        <f t="shared" si="3"/>
        <v>2249</v>
      </c>
      <c r="B251" s="7" t="s">
        <v>2050</v>
      </c>
      <c r="C251" s="7" t="s">
        <v>2120</v>
      </c>
      <c r="D251" s="11" t="s">
        <v>2118</v>
      </c>
      <c r="E251" s="11" t="s">
        <v>2131</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2842</v>
      </c>
      <c r="AO251" s="7" t="s">
        <v>50</v>
      </c>
      <c r="AP251" s="7">
        <v>60</v>
      </c>
      <c r="AQ251" s="7">
        <v>2.2000000000000002</v>
      </c>
      <c r="AR251" s="9">
        <v>1500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row>
    <row r="252" spans="1:73" ht="15.75" customHeight="1" x14ac:dyDescent="0.2">
      <c r="A252" s="3">
        <f t="shared" si="3"/>
        <v>2250</v>
      </c>
      <c r="B252" s="3" t="s">
        <v>2820</v>
      </c>
      <c r="C252" s="3" t="s">
        <v>2820</v>
      </c>
      <c r="D252" s="4" t="s">
        <v>2821</v>
      </c>
      <c r="E252" s="4" t="s">
        <v>2822</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10</v>
      </c>
      <c r="AI252" s="3">
        <v>0</v>
      </c>
      <c r="AJ252" s="3">
        <v>0</v>
      </c>
      <c r="AK252" s="3">
        <v>0</v>
      </c>
      <c r="AL252" s="3" t="s">
        <v>31</v>
      </c>
      <c r="AM252" s="3" t="s">
        <v>48</v>
      </c>
      <c r="AN252" s="3" t="s">
        <v>2839</v>
      </c>
      <c r="AO252" s="3" t="s">
        <v>51</v>
      </c>
      <c r="AP252" s="3">
        <v>60</v>
      </c>
      <c r="AQ252" s="3">
        <v>2.2000000000000002</v>
      </c>
      <c r="AR252">
        <v>1500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3624</v>
      </c>
      <c r="BQ252">
        <v>20</v>
      </c>
      <c r="BR252" s="6" t="s">
        <v>50</v>
      </c>
      <c r="BS252">
        <v>0</v>
      </c>
      <c r="BT252" s="6" t="s">
        <v>50</v>
      </c>
      <c r="BU252">
        <v>0</v>
      </c>
    </row>
    <row r="253" spans="1:73" ht="15.75" customHeight="1" x14ac:dyDescent="0.2">
      <c r="A253" s="3">
        <f t="shared" si="3"/>
        <v>2251</v>
      </c>
      <c r="B253" s="3" t="s">
        <v>2126</v>
      </c>
      <c r="C253" s="3" t="s">
        <v>2126</v>
      </c>
      <c r="D253" s="4" t="s">
        <v>3471</v>
      </c>
      <c r="E253" s="4" t="s">
        <v>2185</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2015</v>
      </c>
      <c r="AO253" s="3" t="s">
        <v>50</v>
      </c>
      <c r="AP253" s="3">
        <v>60</v>
      </c>
      <c r="AQ253" s="3">
        <v>2.2000000000000002</v>
      </c>
      <c r="AR253">
        <v>1500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3624</v>
      </c>
      <c r="BQ253">
        <v>20</v>
      </c>
      <c r="BR253" s="6" t="s">
        <v>50</v>
      </c>
      <c r="BS253">
        <v>0</v>
      </c>
      <c r="BT253" s="6" t="s">
        <v>50</v>
      </c>
      <c r="BU253">
        <v>0</v>
      </c>
    </row>
    <row r="254" spans="1:73" ht="15.75" customHeight="1" x14ac:dyDescent="0.2">
      <c r="A254" s="3">
        <f t="shared" si="3"/>
        <v>2252</v>
      </c>
      <c r="B254" s="3" t="s">
        <v>2997</v>
      </c>
      <c r="C254" s="3" t="s">
        <v>2712</v>
      </c>
      <c r="D254" s="4" t="s">
        <v>3472</v>
      </c>
      <c r="E254" s="4" t="s">
        <v>2125</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50</v>
      </c>
      <c r="AI254" s="3">
        <v>0</v>
      </c>
      <c r="AJ254" s="3">
        <v>0</v>
      </c>
      <c r="AK254" s="3">
        <v>0</v>
      </c>
      <c r="AL254" s="3" t="s">
        <v>31</v>
      </c>
      <c r="AM254" s="3" t="s">
        <v>48</v>
      </c>
      <c r="AN254" s="3" t="s">
        <v>2056</v>
      </c>
      <c r="AO254" s="3" t="s">
        <v>50</v>
      </c>
      <c r="AP254" s="3">
        <v>60</v>
      </c>
      <c r="AQ254" s="3">
        <v>2.2000000000000002</v>
      </c>
      <c r="AR254">
        <v>1500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3624</v>
      </c>
      <c r="BQ254">
        <v>20</v>
      </c>
      <c r="BR254" s="6" t="s">
        <v>50</v>
      </c>
      <c r="BS254">
        <v>0</v>
      </c>
      <c r="BT254" s="6" t="s">
        <v>50</v>
      </c>
      <c r="BU254">
        <v>0</v>
      </c>
    </row>
    <row r="255" spans="1:73" ht="15.75" customHeight="1" x14ac:dyDescent="0.2">
      <c r="A255" s="3">
        <f t="shared" si="3"/>
        <v>2253</v>
      </c>
      <c r="B255" s="3" t="s">
        <v>2995</v>
      </c>
      <c r="C255" s="3" t="s">
        <v>2127</v>
      </c>
      <c r="D255" s="4" t="s">
        <v>3473</v>
      </c>
      <c r="E255" s="4" t="s">
        <v>2121</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2841</v>
      </c>
      <c r="AO255" s="3" t="s">
        <v>50</v>
      </c>
      <c r="AP255" s="3">
        <v>60</v>
      </c>
      <c r="AQ255" s="3">
        <v>2.2000000000000002</v>
      </c>
      <c r="AR255">
        <v>1500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3624</v>
      </c>
      <c r="BQ255">
        <v>20</v>
      </c>
      <c r="BR255" s="6" t="s">
        <v>50</v>
      </c>
      <c r="BS255">
        <v>0</v>
      </c>
      <c r="BT255" s="6" t="s">
        <v>50</v>
      </c>
      <c r="BU255">
        <v>0</v>
      </c>
    </row>
    <row r="256" spans="1:73" ht="15.75" customHeight="1" x14ac:dyDescent="0.2">
      <c r="A256" s="3">
        <f t="shared" si="3"/>
        <v>2254</v>
      </c>
      <c r="B256" s="3" t="s">
        <v>2996</v>
      </c>
      <c r="C256" s="3" t="s">
        <v>2128</v>
      </c>
      <c r="D256" s="4" t="s">
        <v>3474</v>
      </c>
      <c r="E256" s="4" t="s">
        <v>2122</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2840</v>
      </c>
      <c r="AO256" s="3" t="s">
        <v>50</v>
      </c>
      <c r="AP256" s="3">
        <v>60</v>
      </c>
      <c r="AQ256" s="3">
        <v>2.2000000000000002</v>
      </c>
      <c r="AR256">
        <v>1500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3624</v>
      </c>
      <c r="BQ256">
        <v>20</v>
      </c>
      <c r="BR256" s="6" t="s">
        <v>50</v>
      </c>
      <c r="BS256">
        <v>0</v>
      </c>
      <c r="BT256" s="6" t="s">
        <v>50</v>
      </c>
      <c r="BU256">
        <v>0</v>
      </c>
    </row>
    <row r="257" spans="1:73" s="9" customFormat="1" ht="15.75" customHeight="1" x14ac:dyDescent="0.2">
      <c r="A257" s="7">
        <f t="shared" si="3"/>
        <v>2255</v>
      </c>
      <c r="B257" s="7" t="s">
        <v>2126</v>
      </c>
      <c r="C257" s="7" t="s">
        <v>2129</v>
      </c>
      <c r="D257" s="11" t="s">
        <v>2130</v>
      </c>
      <c r="E257" s="11" t="s">
        <v>2131</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2842</v>
      </c>
      <c r="AO257" s="7" t="s">
        <v>50</v>
      </c>
      <c r="AP257" s="7">
        <v>60</v>
      </c>
      <c r="AQ257" s="7">
        <v>2.2000000000000002</v>
      </c>
      <c r="AR257" s="9">
        <v>1500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row>
    <row r="258" spans="1:73" ht="15.75" customHeight="1" x14ac:dyDescent="0.2">
      <c r="A258" s="3">
        <f t="shared" si="3"/>
        <v>2256</v>
      </c>
      <c r="B258" s="3" t="s">
        <v>2823</v>
      </c>
      <c r="C258" s="3" t="s">
        <v>2823</v>
      </c>
      <c r="D258" s="4" t="s">
        <v>3475</v>
      </c>
      <c r="E258" s="4" t="s">
        <v>2822</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10</v>
      </c>
      <c r="AI258" s="3">
        <v>0</v>
      </c>
      <c r="AJ258" s="3">
        <v>0</v>
      </c>
      <c r="AK258" s="3">
        <v>0</v>
      </c>
      <c r="AL258" s="3" t="s">
        <v>31</v>
      </c>
      <c r="AM258" s="3" t="s">
        <v>48</v>
      </c>
      <c r="AN258" s="3" t="s">
        <v>2839</v>
      </c>
      <c r="AO258" s="3" t="s">
        <v>51</v>
      </c>
      <c r="AP258" s="3">
        <v>60</v>
      </c>
      <c r="AQ258" s="3">
        <v>2.2000000000000002</v>
      </c>
      <c r="AR258">
        <v>1500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3624</v>
      </c>
      <c r="BQ258">
        <v>20</v>
      </c>
      <c r="BR258" s="6" t="s">
        <v>50</v>
      </c>
      <c r="BS258">
        <v>0</v>
      </c>
      <c r="BT258" s="6" t="s">
        <v>50</v>
      </c>
      <c r="BU258">
        <v>0</v>
      </c>
    </row>
    <row r="259" spans="1:73" ht="15.75" customHeight="1" x14ac:dyDescent="0.2">
      <c r="A259" s="3">
        <f t="shared" si="3"/>
        <v>2257</v>
      </c>
      <c r="B259" s="3" t="s">
        <v>2140</v>
      </c>
      <c r="C259" s="3" t="s">
        <v>2140</v>
      </c>
      <c r="D259" s="4" t="s">
        <v>2144</v>
      </c>
      <c r="E259" s="4" t="s">
        <v>2722</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2015</v>
      </c>
      <c r="AO259" s="3" t="s">
        <v>50</v>
      </c>
      <c r="AP259" s="3">
        <v>60</v>
      </c>
      <c r="AQ259" s="3">
        <v>2.2000000000000002</v>
      </c>
      <c r="AR259">
        <v>1500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3624</v>
      </c>
      <c r="BQ259">
        <v>20</v>
      </c>
      <c r="BR259" s="6" t="s">
        <v>50</v>
      </c>
      <c r="BS259">
        <v>0</v>
      </c>
      <c r="BT259" s="6" t="s">
        <v>50</v>
      </c>
      <c r="BU259">
        <v>0</v>
      </c>
    </row>
    <row r="260" spans="1:73" ht="15.75" customHeight="1" x14ac:dyDescent="0.2">
      <c r="A260" s="3">
        <f t="shared" ref="A260:A336" si="4">ROW()+1998</f>
        <v>2258</v>
      </c>
      <c r="B260" s="3" t="s">
        <v>3000</v>
      </c>
      <c r="C260" s="3" t="s">
        <v>2713</v>
      </c>
      <c r="D260" s="4" t="s">
        <v>2826</v>
      </c>
      <c r="E260" s="4" t="s">
        <v>2125</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50</v>
      </c>
      <c r="AI260" s="3">
        <v>0</v>
      </c>
      <c r="AJ260" s="3">
        <v>0</v>
      </c>
      <c r="AK260" s="3">
        <v>0</v>
      </c>
      <c r="AL260" s="3" t="s">
        <v>31</v>
      </c>
      <c r="AM260" s="3" t="s">
        <v>48</v>
      </c>
      <c r="AN260" s="3" t="s">
        <v>2056</v>
      </c>
      <c r="AO260" s="3" t="s">
        <v>50</v>
      </c>
      <c r="AP260" s="3">
        <v>60</v>
      </c>
      <c r="AQ260" s="3">
        <v>2.2000000000000002</v>
      </c>
      <c r="AR260">
        <v>1500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3624</v>
      </c>
      <c r="BQ260">
        <v>20</v>
      </c>
      <c r="BR260" s="6" t="s">
        <v>50</v>
      </c>
      <c r="BS260">
        <v>0</v>
      </c>
      <c r="BT260" s="6" t="s">
        <v>50</v>
      </c>
      <c r="BU260">
        <v>0</v>
      </c>
    </row>
    <row r="261" spans="1:73" ht="15.75" customHeight="1" x14ac:dyDescent="0.2">
      <c r="A261" s="3">
        <f t="shared" si="4"/>
        <v>2259</v>
      </c>
      <c r="B261" s="3" t="s">
        <v>2998</v>
      </c>
      <c r="C261" s="3" t="s">
        <v>2141</v>
      </c>
      <c r="D261" s="4" t="s">
        <v>2145</v>
      </c>
      <c r="E261" s="4" t="s">
        <v>2121</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2841</v>
      </c>
      <c r="AO261" s="3" t="s">
        <v>50</v>
      </c>
      <c r="AP261" s="3">
        <v>60</v>
      </c>
      <c r="AQ261" s="3">
        <v>2.2000000000000002</v>
      </c>
      <c r="AR261">
        <v>1500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3624</v>
      </c>
      <c r="BQ261">
        <v>20</v>
      </c>
      <c r="BR261" s="6" t="s">
        <v>50</v>
      </c>
      <c r="BS261">
        <v>0</v>
      </c>
      <c r="BT261" s="6" t="s">
        <v>50</v>
      </c>
      <c r="BU261">
        <v>0</v>
      </c>
    </row>
    <row r="262" spans="1:73" ht="15.75" customHeight="1" x14ac:dyDescent="0.2">
      <c r="A262" s="3">
        <f t="shared" si="4"/>
        <v>2260</v>
      </c>
      <c r="B262" s="3" t="s">
        <v>2999</v>
      </c>
      <c r="C262" s="3" t="s">
        <v>2142</v>
      </c>
      <c r="D262" s="4" t="s">
        <v>2146</v>
      </c>
      <c r="E262" s="4" t="s">
        <v>2122</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2840</v>
      </c>
      <c r="AO262" s="3" t="s">
        <v>50</v>
      </c>
      <c r="AP262" s="3">
        <v>60</v>
      </c>
      <c r="AQ262" s="3">
        <v>2.2000000000000002</v>
      </c>
      <c r="AR262">
        <v>1500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3624</v>
      </c>
      <c r="BQ262">
        <v>20</v>
      </c>
      <c r="BR262" s="6" t="s">
        <v>50</v>
      </c>
      <c r="BS262">
        <v>0</v>
      </c>
      <c r="BT262" s="6" t="s">
        <v>50</v>
      </c>
      <c r="BU262">
        <v>0</v>
      </c>
    </row>
    <row r="263" spans="1:73" s="9" customFormat="1" ht="15.75" customHeight="1" x14ac:dyDescent="0.2">
      <c r="A263" s="7">
        <f t="shared" si="4"/>
        <v>2261</v>
      </c>
      <c r="B263" s="7" t="s">
        <v>2050</v>
      </c>
      <c r="C263" s="7" t="s">
        <v>2143</v>
      </c>
      <c r="D263" s="11" t="s">
        <v>2147</v>
      </c>
      <c r="E263" s="11" t="s">
        <v>2131</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2842</v>
      </c>
      <c r="AO263" s="7" t="s">
        <v>50</v>
      </c>
      <c r="AP263" s="7">
        <v>60</v>
      </c>
      <c r="AQ263" s="7">
        <v>2.2000000000000002</v>
      </c>
      <c r="AR263" s="9">
        <v>1500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row>
    <row r="264" spans="1:73" ht="15.75" customHeight="1" x14ac:dyDescent="0.2">
      <c r="A264" s="3">
        <f t="shared" si="4"/>
        <v>2262</v>
      </c>
      <c r="B264" s="3" t="s">
        <v>2824</v>
      </c>
      <c r="C264" s="3" t="s">
        <v>2824</v>
      </c>
      <c r="D264" s="4" t="s">
        <v>2825</v>
      </c>
      <c r="E264" s="4" t="s">
        <v>2822</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10</v>
      </c>
      <c r="AI264" s="3">
        <v>0</v>
      </c>
      <c r="AJ264" s="3">
        <v>0</v>
      </c>
      <c r="AK264" s="3">
        <v>0</v>
      </c>
      <c r="AL264" s="3" t="s">
        <v>31</v>
      </c>
      <c r="AM264" s="3" t="s">
        <v>48</v>
      </c>
      <c r="AN264" s="3" t="s">
        <v>2839</v>
      </c>
      <c r="AO264" s="3" t="s">
        <v>51</v>
      </c>
      <c r="AP264" s="3">
        <v>60</v>
      </c>
      <c r="AQ264" s="3">
        <v>2.2000000000000002</v>
      </c>
      <c r="AR264">
        <v>1500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3624</v>
      </c>
      <c r="BQ264">
        <v>20</v>
      </c>
      <c r="BR264" s="6" t="s">
        <v>50</v>
      </c>
      <c r="BS264">
        <v>0</v>
      </c>
      <c r="BT264" s="6" t="s">
        <v>50</v>
      </c>
      <c r="BU264">
        <v>0</v>
      </c>
    </row>
    <row r="265" spans="1:73" s="18" customFormat="1" ht="15.75" customHeight="1" x14ac:dyDescent="0.2">
      <c r="A265" s="16">
        <f t="shared" si="4"/>
        <v>2263</v>
      </c>
      <c r="B265" s="16" t="s">
        <v>2140</v>
      </c>
      <c r="C265" s="16" t="s">
        <v>3439</v>
      </c>
      <c r="D265" s="20" t="s">
        <v>3448</v>
      </c>
      <c r="E265" s="20" t="s">
        <v>3463</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70</v>
      </c>
      <c r="Z265" s="16">
        <v>0</v>
      </c>
      <c r="AA265" s="16">
        <v>0</v>
      </c>
      <c r="AB265" s="16">
        <v>0</v>
      </c>
      <c r="AC265" s="16">
        <v>20</v>
      </c>
      <c r="AD265" s="16">
        <v>0</v>
      </c>
      <c r="AE265" s="16">
        <v>10</v>
      </c>
      <c r="AF265" s="16">
        <v>0</v>
      </c>
      <c r="AG265" s="16">
        <v>5</v>
      </c>
      <c r="AH265" s="16">
        <v>0</v>
      </c>
      <c r="AI265" s="16">
        <v>0</v>
      </c>
      <c r="AJ265" s="16">
        <v>0</v>
      </c>
      <c r="AK265" s="16">
        <v>0</v>
      </c>
      <c r="AL265" s="16" t="s">
        <v>31</v>
      </c>
      <c r="AM265" s="16" t="s">
        <v>48</v>
      </c>
      <c r="AN265" s="16" t="s">
        <v>2015</v>
      </c>
      <c r="AO265" s="16" t="s">
        <v>50</v>
      </c>
      <c r="AP265" s="16">
        <v>60</v>
      </c>
      <c r="AQ265" s="16">
        <v>2.2000000000000002</v>
      </c>
      <c r="AR265" s="18">
        <v>1500</v>
      </c>
      <c r="AS265" s="18">
        <v>50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c r="BP265" s="19" t="s">
        <v>3624</v>
      </c>
      <c r="BQ265" s="18">
        <v>20</v>
      </c>
      <c r="BR265" s="19" t="s">
        <v>50</v>
      </c>
      <c r="BS265" s="18">
        <v>0</v>
      </c>
      <c r="BT265" s="19" t="s">
        <v>50</v>
      </c>
      <c r="BU265" s="18">
        <v>0</v>
      </c>
    </row>
    <row r="266" spans="1:73" s="18" customFormat="1" ht="15.75" customHeight="1" x14ac:dyDescent="0.2">
      <c r="A266" s="16">
        <f t="shared" si="4"/>
        <v>2264</v>
      </c>
      <c r="B266" s="16" t="s">
        <v>3000</v>
      </c>
      <c r="C266" s="16" t="s">
        <v>3440</v>
      </c>
      <c r="D266" s="20" t="s">
        <v>3444</v>
      </c>
      <c r="E266" s="20" t="s">
        <v>2125</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120</v>
      </c>
      <c r="Z266" s="16">
        <v>0</v>
      </c>
      <c r="AA266" s="16">
        <v>10</v>
      </c>
      <c r="AB266" s="16">
        <v>0</v>
      </c>
      <c r="AC266" s="16">
        <v>20</v>
      </c>
      <c r="AD266" s="16">
        <v>0</v>
      </c>
      <c r="AE266" s="16">
        <v>10</v>
      </c>
      <c r="AF266" s="16">
        <v>0</v>
      </c>
      <c r="AG266" s="16">
        <v>5</v>
      </c>
      <c r="AH266" s="16">
        <v>50</v>
      </c>
      <c r="AI266" s="16">
        <v>0</v>
      </c>
      <c r="AJ266" s="16">
        <v>0</v>
      </c>
      <c r="AK266" s="16">
        <v>0</v>
      </c>
      <c r="AL266" s="16" t="s">
        <v>31</v>
      </c>
      <c r="AM266" s="16" t="s">
        <v>48</v>
      </c>
      <c r="AN266" s="16" t="s">
        <v>2056</v>
      </c>
      <c r="AO266" s="16" t="s">
        <v>50</v>
      </c>
      <c r="AP266" s="16">
        <v>60</v>
      </c>
      <c r="AQ266" s="16">
        <v>2.2000000000000002</v>
      </c>
      <c r="AR266" s="18">
        <v>1500</v>
      </c>
      <c r="AS266" s="18">
        <v>50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c r="BP266" s="19" t="s">
        <v>3624</v>
      </c>
      <c r="BQ266" s="18">
        <v>20</v>
      </c>
      <c r="BR266" s="19" t="s">
        <v>50</v>
      </c>
      <c r="BS266" s="18">
        <v>0</v>
      </c>
      <c r="BT266" s="19" t="s">
        <v>50</v>
      </c>
      <c r="BU266" s="18">
        <v>0</v>
      </c>
    </row>
    <row r="267" spans="1:73" s="18" customFormat="1" ht="15.75" customHeight="1" x14ac:dyDescent="0.2">
      <c r="A267" s="16">
        <f t="shared" si="4"/>
        <v>2265</v>
      </c>
      <c r="B267" s="16" t="s">
        <v>2998</v>
      </c>
      <c r="C267" s="16" t="s">
        <v>3441</v>
      </c>
      <c r="D267" s="20" t="s">
        <v>3445</v>
      </c>
      <c r="E267" s="20" t="s">
        <v>2121</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70</v>
      </c>
      <c r="Z267" s="16">
        <v>0</v>
      </c>
      <c r="AA267" s="16">
        <v>0</v>
      </c>
      <c r="AB267" s="16">
        <v>0</v>
      </c>
      <c r="AC267" s="16">
        <v>20</v>
      </c>
      <c r="AD267" s="16">
        <v>0</v>
      </c>
      <c r="AE267" s="16">
        <v>1</v>
      </c>
      <c r="AF267" s="16">
        <v>20</v>
      </c>
      <c r="AG267" s="16">
        <v>5</v>
      </c>
      <c r="AH267" s="16">
        <v>0</v>
      </c>
      <c r="AI267" s="16">
        <v>0</v>
      </c>
      <c r="AJ267" s="16">
        <v>0</v>
      </c>
      <c r="AK267" s="16">
        <v>0</v>
      </c>
      <c r="AL267" s="16" t="s">
        <v>31</v>
      </c>
      <c r="AM267" s="16" t="s">
        <v>48</v>
      </c>
      <c r="AN267" s="16" t="s">
        <v>2841</v>
      </c>
      <c r="AO267" s="16" t="s">
        <v>50</v>
      </c>
      <c r="AP267" s="16">
        <v>60</v>
      </c>
      <c r="AQ267" s="16">
        <v>2.2000000000000002</v>
      </c>
      <c r="AR267" s="18">
        <v>1500</v>
      </c>
      <c r="AS267" s="18">
        <v>50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c r="BP267" s="19" t="s">
        <v>3624</v>
      </c>
      <c r="BQ267" s="18">
        <v>20</v>
      </c>
      <c r="BR267" s="19" t="s">
        <v>50</v>
      </c>
      <c r="BS267" s="18">
        <v>0</v>
      </c>
      <c r="BT267" s="19" t="s">
        <v>50</v>
      </c>
      <c r="BU267" s="18">
        <v>0</v>
      </c>
    </row>
    <row r="268" spans="1:73" s="18" customFormat="1" ht="15.75" customHeight="1" x14ac:dyDescent="0.2">
      <c r="A268" s="16">
        <f t="shared" si="4"/>
        <v>2266</v>
      </c>
      <c r="B268" s="16" t="s">
        <v>2999</v>
      </c>
      <c r="C268" s="16" t="s">
        <v>3442</v>
      </c>
      <c r="D268" s="20" t="s">
        <v>3446</v>
      </c>
      <c r="E268" s="20" t="s">
        <v>2122</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100</v>
      </c>
      <c r="Z268" s="16">
        <v>0</v>
      </c>
      <c r="AA268" s="16">
        <v>0</v>
      </c>
      <c r="AB268" s="16">
        <v>0</v>
      </c>
      <c r="AC268" s="16">
        <v>70</v>
      </c>
      <c r="AD268" s="16">
        <v>0</v>
      </c>
      <c r="AE268" s="16">
        <v>1</v>
      </c>
      <c r="AF268" s="16">
        <v>5</v>
      </c>
      <c r="AG268" s="16">
        <v>30</v>
      </c>
      <c r="AH268" s="16">
        <v>0</v>
      </c>
      <c r="AI268" s="16">
        <v>0</v>
      </c>
      <c r="AJ268" s="16">
        <v>0</v>
      </c>
      <c r="AK268" s="16">
        <v>0</v>
      </c>
      <c r="AL268" s="16" t="s">
        <v>31</v>
      </c>
      <c r="AM268" s="16" t="s">
        <v>48</v>
      </c>
      <c r="AN268" s="16" t="s">
        <v>2840</v>
      </c>
      <c r="AO268" s="16" t="s">
        <v>50</v>
      </c>
      <c r="AP268" s="16">
        <v>60</v>
      </c>
      <c r="AQ268" s="16">
        <v>2.2000000000000002</v>
      </c>
      <c r="AR268" s="18">
        <v>1500</v>
      </c>
      <c r="AS268" s="18">
        <v>50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c r="BP268" s="19" t="s">
        <v>3624</v>
      </c>
      <c r="BQ268" s="18">
        <v>20</v>
      </c>
      <c r="BR268" s="19" t="s">
        <v>50</v>
      </c>
      <c r="BS268" s="18">
        <v>0</v>
      </c>
      <c r="BT268" s="19" t="s">
        <v>50</v>
      </c>
      <c r="BU268" s="18">
        <v>0</v>
      </c>
    </row>
    <row r="269" spans="1:73" s="9" customFormat="1" ht="15.75" customHeight="1" x14ac:dyDescent="0.2">
      <c r="A269" s="7">
        <f t="shared" si="4"/>
        <v>2267</v>
      </c>
      <c r="B269" s="7" t="s">
        <v>2050</v>
      </c>
      <c r="C269" s="7" t="s">
        <v>3455</v>
      </c>
      <c r="D269" s="11" t="s">
        <v>3461</v>
      </c>
      <c r="E269" s="11" t="s">
        <v>2131</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2842</v>
      </c>
      <c r="AO269" s="7" t="s">
        <v>50</v>
      </c>
      <c r="AP269" s="7">
        <v>60</v>
      </c>
      <c r="AQ269" s="7">
        <v>2.2000000000000002</v>
      </c>
      <c r="AR269" s="9">
        <v>1500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row>
    <row r="270" spans="1:73" s="18" customFormat="1" ht="15.75" customHeight="1" x14ac:dyDescent="0.2">
      <c r="A270" s="16">
        <f t="shared" si="4"/>
        <v>2268</v>
      </c>
      <c r="B270" s="16" t="s">
        <v>2824</v>
      </c>
      <c r="C270" s="16" t="s">
        <v>3443</v>
      </c>
      <c r="D270" s="20" t="s">
        <v>3447</v>
      </c>
      <c r="E270" s="20" t="s">
        <v>2822</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60</v>
      </c>
      <c r="Z270" s="16">
        <v>0</v>
      </c>
      <c r="AA270" s="16">
        <v>0</v>
      </c>
      <c r="AB270" s="16">
        <v>0</v>
      </c>
      <c r="AC270" s="16">
        <v>20</v>
      </c>
      <c r="AD270" s="16">
        <v>0</v>
      </c>
      <c r="AE270" s="16">
        <v>5</v>
      </c>
      <c r="AF270" s="16">
        <v>20</v>
      </c>
      <c r="AG270" s="16">
        <v>10</v>
      </c>
      <c r="AH270" s="16">
        <v>10</v>
      </c>
      <c r="AI270" s="16">
        <v>0</v>
      </c>
      <c r="AJ270" s="16">
        <v>0</v>
      </c>
      <c r="AK270" s="16">
        <v>0</v>
      </c>
      <c r="AL270" s="16" t="s">
        <v>31</v>
      </c>
      <c r="AM270" s="16" t="s">
        <v>48</v>
      </c>
      <c r="AN270" s="16" t="s">
        <v>2839</v>
      </c>
      <c r="AO270" s="16" t="s">
        <v>51</v>
      </c>
      <c r="AP270" s="16">
        <v>60</v>
      </c>
      <c r="AQ270" s="16">
        <v>2.2000000000000002</v>
      </c>
      <c r="AR270" s="18">
        <v>1500</v>
      </c>
      <c r="AS270" s="18">
        <v>50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c r="BP270" s="19" t="s">
        <v>3624</v>
      </c>
      <c r="BQ270" s="18">
        <v>20</v>
      </c>
      <c r="BR270" s="19" t="s">
        <v>50</v>
      </c>
      <c r="BS270" s="18">
        <v>0</v>
      </c>
      <c r="BT270" s="19" t="s">
        <v>50</v>
      </c>
      <c r="BU270" s="18">
        <v>0</v>
      </c>
    </row>
    <row r="271" spans="1:73" ht="15.75" customHeight="1" x14ac:dyDescent="0.2">
      <c r="A271" s="3">
        <f t="shared" si="4"/>
        <v>2269</v>
      </c>
      <c r="B271" s="3" t="s">
        <v>3449</v>
      </c>
      <c r="C271" s="3" t="s">
        <v>3449</v>
      </c>
      <c r="D271" s="4" t="s">
        <v>3456</v>
      </c>
      <c r="E271" s="4" t="s">
        <v>3462</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2015</v>
      </c>
      <c r="AO271" s="3" t="s">
        <v>50</v>
      </c>
      <c r="AP271" s="3">
        <v>60</v>
      </c>
      <c r="AQ271" s="3">
        <v>2.2000000000000002</v>
      </c>
      <c r="AR271">
        <v>1500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c r="BP271" s="6" t="s">
        <v>3624</v>
      </c>
      <c r="BQ271">
        <v>20</v>
      </c>
      <c r="BR271" s="6" t="s">
        <v>50</v>
      </c>
      <c r="BS271">
        <v>0</v>
      </c>
      <c r="BT271" s="6" t="s">
        <v>50</v>
      </c>
      <c r="BU271">
        <v>0</v>
      </c>
    </row>
    <row r="272" spans="1:73" s="9" customFormat="1" ht="15.75" customHeight="1" x14ac:dyDescent="0.2">
      <c r="A272" s="7">
        <f t="shared" si="4"/>
        <v>2270</v>
      </c>
      <c r="B272" s="7" t="s">
        <v>3000</v>
      </c>
      <c r="C272" s="7" t="s">
        <v>3450</v>
      </c>
      <c r="D272" s="11" t="s">
        <v>3457</v>
      </c>
      <c r="E272" s="11" t="s">
        <v>2125</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2056</v>
      </c>
      <c r="AO272" s="7" t="s">
        <v>50</v>
      </c>
      <c r="AP272" s="7">
        <v>60</v>
      </c>
      <c r="AQ272" s="7">
        <v>2.2000000000000002</v>
      </c>
      <c r="AR272" s="9">
        <v>1500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row>
    <row r="273" spans="1:73" s="9" customFormat="1" ht="15.75" customHeight="1" x14ac:dyDescent="0.2">
      <c r="A273" s="7">
        <f t="shared" si="4"/>
        <v>2271</v>
      </c>
      <c r="B273" s="7" t="s">
        <v>2998</v>
      </c>
      <c r="C273" s="7" t="s">
        <v>3451</v>
      </c>
      <c r="D273" s="11" t="s">
        <v>3604</v>
      </c>
      <c r="E273" s="11" t="s">
        <v>2121</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2841</v>
      </c>
      <c r="AO273" s="7" t="s">
        <v>50</v>
      </c>
      <c r="AP273" s="7">
        <v>60</v>
      </c>
      <c r="AQ273" s="7">
        <v>2.2000000000000002</v>
      </c>
      <c r="AR273" s="9">
        <v>1500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row>
    <row r="274" spans="1:73" s="9" customFormat="1" ht="15.75" customHeight="1" x14ac:dyDescent="0.2">
      <c r="A274" s="7">
        <f t="shared" si="4"/>
        <v>2272</v>
      </c>
      <c r="B274" s="7" t="s">
        <v>2999</v>
      </c>
      <c r="C274" s="7" t="s">
        <v>3452</v>
      </c>
      <c r="D274" s="11" t="s">
        <v>3458</v>
      </c>
      <c r="E274" s="11" t="s">
        <v>2122</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2840</v>
      </c>
      <c r="AO274" s="7" t="s">
        <v>50</v>
      </c>
      <c r="AP274" s="7">
        <v>60</v>
      </c>
      <c r="AQ274" s="7">
        <v>2.2000000000000002</v>
      </c>
      <c r="AR274" s="9">
        <v>1500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row>
    <row r="275" spans="1:73" s="9" customFormat="1" ht="15.75" customHeight="1" x14ac:dyDescent="0.2">
      <c r="A275" s="7">
        <f t="shared" si="4"/>
        <v>2273</v>
      </c>
      <c r="B275" s="7" t="s">
        <v>2050</v>
      </c>
      <c r="C275" s="7" t="s">
        <v>3454</v>
      </c>
      <c r="D275" s="11" t="s">
        <v>3460</v>
      </c>
      <c r="E275" s="11" t="s">
        <v>2131</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2842</v>
      </c>
      <c r="AO275" s="7" t="s">
        <v>50</v>
      </c>
      <c r="AP275" s="7">
        <v>60</v>
      </c>
      <c r="AQ275" s="7">
        <v>2.2000000000000002</v>
      </c>
      <c r="AR275" s="9">
        <v>1500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row>
    <row r="276" spans="1:73" s="9" customFormat="1" ht="15.75" customHeight="1" x14ac:dyDescent="0.2">
      <c r="A276" s="7">
        <f t="shared" si="4"/>
        <v>2274</v>
      </c>
      <c r="B276" s="7" t="s">
        <v>2824</v>
      </c>
      <c r="C276" s="7" t="s">
        <v>3453</v>
      </c>
      <c r="D276" s="11" t="s">
        <v>3459</v>
      </c>
      <c r="E276" s="11" t="s">
        <v>2822</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2839</v>
      </c>
      <c r="AO276" s="7" t="s">
        <v>51</v>
      </c>
      <c r="AP276" s="7">
        <v>60</v>
      </c>
      <c r="AQ276" s="7">
        <v>2.2000000000000002</v>
      </c>
      <c r="AR276" s="9">
        <v>1500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row>
    <row r="277" spans="1:73"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2015</v>
      </c>
      <c r="AO277" s="7" t="s">
        <v>1850</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c r="BP277" s="10" t="s">
        <v>50</v>
      </c>
      <c r="BQ277" s="9">
        <v>0</v>
      </c>
      <c r="BR277" s="10" t="s">
        <v>50</v>
      </c>
      <c r="BS277" s="9">
        <v>0</v>
      </c>
      <c r="BT277" s="10" t="s">
        <v>50</v>
      </c>
      <c r="BU277" s="9">
        <v>0</v>
      </c>
    </row>
    <row r="278" spans="1:73" s="37" customFormat="1" ht="15.75" customHeight="1" x14ac:dyDescent="0.2">
      <c r="A278" s="34">
        <f t="shared" si="4"/>
        <v>2276</v>
      </c>
      <c r="B278" s="34" t="s">
        <v>249</v>
      </c>
      <c r="C278" s="34" t="s">
        <v>249</v>
      </c>
      <c r="D278" s="36" t="s">
        <v>2344</v>
      </c>
      <c r="E278" s="36" t="s">
        <v>3413</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2015</v>
      </c>
      <c r="AO278" s="34" t="s">
        <v>1850</v>
      </c>
      <c r="AP278" s="34">
        <v>60</v>
      </c>
      <c r="AQ278" s="34">
        <v>3</v>
      </c>
      <c r="AR278" s="37">
        <v>99999</v>
      </c>
      <c r="AS278" s="37">
        <v>50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c r="BP278" s="38" t="s">
        <v>3624</v>
      </c>
      <c r="BQ278" s="37">
        <v>20</v>
      </c>
      <c r="BR278" s="38" t="s">
        <v>50</v>
      </c>
      <c r="BS278" s="37">
        <v>0</v>
      </c>
      <c r="BT278" s="38" t="s">
        <v>50</v>
      </c>
      <c r="BU278" s="37">
        <v>0</v>
      </c>
    </row>
    <row r="279" spans="1:73" ht="15.75" customHeight="1" x14ac:dyDescent="0.2">
      <c r="A279" s="3">
        <f t="shared" si="4"/>
        <v>2277</v>
      </c>
      <c r="B279" s="3" t="s">
        <v>3382</v>
      </c>
      <c r="C279" s="3" t="s">
        <v>2148</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2015</v>
      </c>
      <c r="AO279" s="3" t="s">
        <v>1850</v>
      </c>
      <c r="AP279" s="3">
        <v>70</v>
      </c>
      <c r="AQ279" s="3">
        <v>2.5</v>
      </c>
      <c r="AR279">
        <v>2000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c r="BP279" s="6" t="s">
        <v>3624</v>
      </c>
      <c r="BQ279">
        <v>20</v>
      </c>
      <c r="BR279" s="6" t="s">
        <v>50</v>
      </c>
      <c r="BS279">
        <v>0</v>
      </c>
      <c r="BT279" s="6" t="s">
        <v>50</v>
      </c>
      <c r="BU279">
        <v>0</v>
      </c>
    </row>
    <row r="280" spans="1:73" s="43" customFormat="1" ht="15.75" customHeight="1" x14ac:dyDescent="0.2">
      <c r="A280" s="40">
        <f t="shared" si="4"/>
        <v>2278</v>
      </c>
      <c r="B280" s="40" t="s">
        <v>2050</v>
      </c>
      <c r="C280" s="40" t="s">
        <v>2366</v>
      </c>
      <c r="D280" s="45" t="s">
        <v>2522</v>
      </c>
      <c r="E280" s="45" t="s">
        <v>2367</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2015</v>
      </c>
      <c r="AO280" s="40" t="s">
        <v>50</v>
      </c>
      <c r="AP280" s="40">
        <v>60</v>
      </c>
      <c r="AQ280" s="40">
        <v>2.7</v>
      </c>
      <c r="AR280" s="43">
        <v>2000</v>
      </c>
      <c r="AS280" s="43">
        <v>50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c r="BP280" s="44" t="s">
        <v>50</v>
      </c>
      <c r="BQ280" s="43">
        <v>0</v>
      </c>
      <c r="BR280" s="44" t="s">
        <v>50</v>
      </c>
      <c r="BS280" s="43">
        <v>0</v>
      </c>
      <c r="BT280" s="44" t="s">
        <v>50</v>
      </c>
      <c r="BU280" s="43">
        <v>0</v>
      </c>
    </row>
    <row r="281" spans="1:73" ht="15.75" customHeight="1" x14ac:dyDescent="0.2">
      <c r="A281" s="3">
        <f t="shared" si="4"/>
        <v>2279</v>
      </c>
      <c r="B281" s="3" t="s">
        <v>2300</v>
      </c>
      <c r="C281" s="3" t="s">
        <v>2300</v>
      </c>
      <c r="D281" s="4" t="s">
        <v>2298</v>
      </c>
      <c r="E281" s="4" t="s">
        <v>2299</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3437</v>
      </c>
      <c r="AO281" s="3" t="s">
        <v>50</v>
      </c>
      <c r="AP281" s="3">
        <v>60</v>
      </c>
      <c r="AQ281" s="3">
        <v>1.4</v>
      </c>
      <c r="AR281">
        <v>1500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c r="BP281" s="6" t="s">
        <v>3624</v>
      </c>
      <c r="BQ281">
        <v>30</v>
      </c>
      <c r="BR281" s="6" t="s">
        <v>50</v>
      </c>
      <c r="BS281">
        <v>0</v>
      </c>
      <c r="BT281" s="6" t="s">
        <v>50</v>
      </c>
      <c r="BU281">
        <v>0</v>
      </c>
    </row>
    <row r="282" spans="1:73" ht="15.75" customHeight="1" x14ac:dyDescent="0.2">
      <c r="A282" s="3">
        <f t="shared" si="4"/>
        <v>2280</v>
      </c>
      <c r="B282" s="3" t="s">
        <v>2302</v>
      </c>
      <c r="C282" s="3" t="s">
        <v>2302</v>
      </c>
      <c r="D282" s="4" t="s">
        <v>2301</v>
      </c>
      <c r="E282" s="4" t="s">
        <v>2303</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3437</v>
      </c>
      <c r="AO282" s="3" t="s">
        <v>50</v>
      </c>
      <c r="AP282" s="3">
        <v>60</v>
      </c>
      <c r="AQ282" s="3">
        <v>1.4</v>
      </c>
      <c r="AR282">
        <v>1500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c r="BP282" s="6" t="s">
        <v>3624</v>
      </c>
      <c r="BQ282">
        <v>30</v>
      </c>
      <c r="BR282" s="6" t="s">
        <v>50</v>
      </c>
      <c r="BS282">
        <v>0</v>
      </c>
      <c r="BT282" s="6" t="s">
        <v>50</v>
      </c>
      <c r="BU282">
        <v>0</v>
      </c>
    </row>
    <row r="283" spans="1:73" s="9" customFormat="1" ht="15.75" customHeight="1" x14ac:dyDescent="0.2">
      <c r="A283" s="3">
        <f t="shared" si="4"/>
        <v>2281</v>
      </c>
      <c r="B283" s="7" t="s">
        <v>2050</v>
      </c>
      <c r="C283" s="7" t="s">
        <v>2116</v>
      </c>
      <c r="D283" s="11" t="s">
        <v>2115</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2015</v>
      </c>
      <c r="AO283" s="7" t="s">
        <v>1850</v>
      </c>
      <c r="AP283" s="7">
        <v>60</v>
      </c>
      <c r="AQ283" s="7">
        <v>2</v>
      </c>
      <c r="AR283" s="9">
        <v>3000</v>
      </c>
      <c r="AS283" s="9">
        <v>50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c r="BP283" s="10" t="s">
        <v>50</v>
      </c>
      <c r="BQ283" s="9">
        <v>0</v>
      </c>
      <c r="BR283" s="10" t="s">
        <v>50</v>
      </c>
      <c r="BS283" s="9">
        <v>0</v>
      </c>
      <c r="BT283" s="10" t="s">
        <v>50</v>
      </c>
      <c r="BU283" s="9">
        <v>0</v>
      </c>
    </row>
    <row r="284" spans="1:73" s="9" customFormat="1" ht="15.75" customHeight="1" x14ac:dyDescent="0.2">
      <c r="A284" s="3">
        <f t="shared" si="4"/>
        <v>2282</v>
      </c>
      <c r="B284" s="7" t="s">
        <v>2050</v>
      </c>
      <c r="C284" s="7" t="s">
        <v>583</v>
      </c>
      <c r="D284" s="28" t="s">
        <v>582</v>
      </c>
      <c r="E284" s="8" t="s">
        <v>2965</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2015</v>
      </c>
      <c r="AO284" s="7" t="s">
        <v>1850</v>
      </c>
      <c r="AP284" s="7">
        <v>60</v>
      </c>
      <c r="AQ284" s="7">
        <v>2</v>
      </c>
      <c r="AR284" s="9">
        <v>10000</v>
      </c>
      <c r="AS284" s="9">
        <v>50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c r="BP284" s="10" t="s">
        <v>50</v>
      </c>
      <c r="BQ284" s="9">
        <v>0</v>
      </c>
      <c r="BR284" s="10" t="s">
        <v>50</v>
      </c>
      <c r="BS284" s="9">
        <v>0</v>
      </c>
      <c r="BT284" s="10" t="s">
        <v>50</v>
      </c>
      <c r="BU284" s="9">
        <v>0</v>
      </c>
    </row>
    <row r="285" spans="1:73"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2014</v>
      </c>
      <c r="AO285" s="7" t="s">
        <v>1850</v>
      </c>
      <c r="AP285" s="7">
        <v>60</v>
      </c>
      <c r="AQ285" s="7">
        <v>2</v>
      </c>
      <c r="AR285" s="9">
        <v>800</v>
      </c>
      <c r="AS285" s="7">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c r="BP285" s="10" t="s">
        <v>50</v>
      </c>
      <c r="BQ285" s="9">
        <v>0</v>
      </c>
      <c r="BR285" s="10" t="s">
        <v>50</v>
      </c>
      <c r="BS285" s="9">
        <v>0</v>
      </c>
      <c r="BT285" s="10" t="s">
        <v>50</v>
      </c>
      <c r="BU285" s="9">
        <v>0</v>
      </c>
    </row>
    <row r="286" spans="1:73" s="23" customFormat="1" ht="15.75" customHeight="1" x14ac:dyDescent="0.2">
      <c r="A286" s="21">
        <f t="shared" si="4"/>
        <v>2284</v>
      </c>
      <c r="B286" s="21" t="s">
        <v>373</v>
      </c>
      <c r="C286" s="21" t="s">
        <v>2751</v>
      </c>
      <c r="D286" s="22" t="s">
        <v>2752</v>
      </c>
      <c r="E286" s="22" t="s">
        <v>2282</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405</v>
      </c>
      <c r="AN286" s="21" t="s">
        <v>2016</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c r="BP286" s="24" t="s">
        <v>50</v>
      </c>
      <c r="BQ286" s="23">
        <v>0</v>
      </c>
      <c r="BR286" s="24" t="s">
        <v>50</v>
      </c>
      <c r="BS286" s="23">
        <v>0</v>
      </c>
      <c r="BT286" s="24" t="s">
        <v>50</v>
      </c>
      <c r="BU286" s="23">
        <v>0</v>
      </c>
    </row>
    <row r="287" spans="1:73" ht="15.75" customHeight="1" x14ac:dyDescent="0.2">
      <c r="A287" s="3">
        <f t="shared" si="4"/>
        <v>2285</v>
      </c>
      <c r="B287" s="3" t="s">
        <v>2391</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10</v>
      </c>
      <c r="AG287" s="3">
        <v>0</v>
      </c>
      <c r="AH287" s="3">
        <v>0</v>
      </c>
      <c r="AI287" s="3">
        <v>0</v>
      </c>
      <c r="AJ287" s="3">
        <v>0</v>
      </c>
      <c r="AK287" s="3">
        <v>30</v>
      </c>
      <c r="AL287" s="3" t="s">
        <v>31</v>
      </c>
      <c r="AM287" s="3" t="s">
        <v>121</v>
      </c>
      <c r="AN287" s="3" t="s">
        <v>2881</v>
      </c>
      <c r="AO287" s="3" t="s">
        <v>1850</v>
      </c>
      <c r="AP287" s="3">
        <v>50</v>
      </c>
      <c r="AQ287" s="3">
        <v>2</v>
      </c>
      <c r="AR287">
        <v>2000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c r="BP287" s="6" t="s">
        <v>3624</v>
      </c>
      <c r="BQ287">
        <v>15</v>
      </c>
      <c r="BR287" s="6" t="s">
        <v>50</v>
      </c>
      <c r="BS287">
        <v>0</v>
      </c>
      <c r="BT287" s="6" t="s">
        <v>50</v>
      </c>
      <c r="BU287">
        <v>0</v>
      </c>
    </row>
    <row r="288" spans="1:73" ht="15.75" customHeight="1" x14ac:dyDescent="0.2">
      <c r="A288" s="3">
        <f t="shared" si="4"/>
        <v>2286</v>
      </c>
      <c r="B288" s="3" t="s">
        <v>2753</v>
      </c>
      <c r="C288" s="3" t="s">
        <v>2753</v>
      </c>
      <c r="D288" s="4" t="s">
        <v>2758</v>
      </c>
      <c r="E288" s="4" t="s">
        <v>2759</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10</v>
      </c>
      <c r="AG288" s="3">
        <v>0</v>
      </c>
      <c r="AH288" s="3">
        <v>0</v>
      </c>
      <c r="AI288" s="3">
        <v>0</v>
      </c>
      <c r="AJ288" s="3">
        <v>0</v>
      </c>
      <c r="AK288" s="3">
        <v>140</v>
      </c>
      <c r="AL288" s="3" t="s">
        <v>31</v>
      </c>
      <c r="AM288" s="3" t="s">
        <v>121</v>
      </c>
      <c r="AN288" s="3" t="s">
        <v>2025</v>
      </c>
      <c r="AO288" s="3" t="s">
        <v>50</v>
      </c>
      <c r="AP288" s="3">
        <v>50</v>
      </c>
      <c r="AQ288" s="3">
        <v>1</v>
      </c>
      <c r="AR288">
        <v>2000</v>
      </c>
      <c r="AS288" s="3">
        <v>10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c r="BP288" s="6" t="s">
        <v>3624</v>
      </c>
      <c r="BQ288">
        <v>10</v>
      </c>
      <c r="BR288" s="6" t="s">
        <v>50</v>
      </c>
      <c r="BS288">
        <v>0</v>
      </c>
      <c r="BT288" s="6" t="s">
        <v>50</v>
      </c>
      <c r="BU288">
        <v>0</v>
      </c>
    </row>
    <row r="289" spans="1:73" s="23" customFormat="1" ht="15.75" customHeight="1" x14ac:dyDescent="0.2">
      <c r="A289" s="21">
        <f t="shared" si="4"/>
        <v>2287</v>
      </c>
      <c r="B289" s="21" t="s">
        <v>373</v>
      </c>
      <c r="C289" s="21" t="s">
        <v>2304</v>
      </c>
      <c r="D289" s="22" t="s">
        <v>2305</v>
      </c>
      <c r="E289" s="22" t="s">
        <v>2282</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405</v>
      </c>
      <c r="AN289" s="21" t="s">
        <v>2016</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c r="BP289" s="24" t="s">
        <v>50</v>
      </c>
      <c r="BQ289" s="23">
        <v>0</v>
      </c>
      <c r="BR289" s="24" t="s">
        <v>50</v>
      </c>
      <c r="BS289" s="23">
        <v>0</v>
      </c>
      <c r="BT289" s="24" t="s">
        <v>50</v>
      </c>
      <c r="BU289" s="23">
        <v>0</v>
      </c>
    </row>
    <row r="290" spans="1:73" ht="15.75" customHeight="1" x14ac:dyDescent="0.2">
      <c r="A290" s="3">
        <f t="shared" si="4"/>
        <v>2288</v>
      </c>
      <c r="B290" s="3" t="s">
        <v>373</v>
      </c>
      <c r="C290" s="3" t="s">
        <v>373</v>
      </c>
      <c r="D290" s="27" t="s">
        <v>372</v>
      </c>
      <c r="E290" s="5" t="s">
        <v>378</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405</v>
      </c>
      <c r="AN290" s="3" t="s">
        <v>2016</v>
      </c>
      <c r="AO290" s="3" t="s">
        <v>1851</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c r="BP290" s="6" t="s">
        <v>50</v>
      </c>
      <c r="BQ290">
        <v>0</v>
      </c>
      <c r="BR290" s="6" t="s">
        <v>50</v>
      </c>
      <c r="BS290">
        <v>0</v>
      </c>
      <c r="BT290" s="6" t="s">
        <v>50</v>
      </c>
      <c r="BU290">
        <v>0</v>
      </c>
    </row>
    <row r="291" spans="1:73" ht="15.75" customHeight="1" x14ac:dyDescent="0.2">
      <c r="A291" s="3">
        <f t="shared" si="4"/>
        <v>2289</v>
      </c>
      <c r="B291" s="3" t="s">
        <v>373</v>
      </c>
      <c r="C291" s="3" t="s">
        <v>2295</v>
      </c>
      <c r="D291" s="27" t="s">
        <v>2296</v>
      </c>
      <c r="E291" s="5" t="s">
        <v>2297</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405</v>
      </c>
      <c r="AN291" s="3" t="s">
        <v>2016</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c r="BP291" s="6" t="s">
        <v>50</v>
      </c>
      <c r="BQ291">
        <v>0</v>
      </c>
      <c r="BR291" s="6" t="s">
        <v>50</v>
      </c>
      <c r="BS291">
        <v>0</v>
      </c>
      <c r="BT291" s="6" t="s">
        <v>50</v>
      </c>
      <c r="BU291">
        <v>0</v>
      </c>
    </row>
    <row r="292" spans="1:73" ht="15.75" customHeight="1" x14ac:dyDescent="0.2">
      <c r="A292" s="3">
        <f t="shared" si="4"/>
        <v>2290</v>
      </c>
      <c r="B292" s="3" t="s">
        <v>373</v>
      </c>
      <c r="C292" s="3" t="s">
        <v>489</v>
      </c>
      <c r="D292" s="27"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405</v>
      </c>
      <c r="AN292" s="3" t="s">
        <v>2016</v>
      </c>
      <c r="AO292" s="3" t="s">
        <v>1851</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row>
    <row r="293" spans="1:73" s="9" customFormat="1" ht="15.75" customHeight="1" x14ac:dyDescent="0.2">
      <c r="A293" s="3">
        <f t="shared" si="4"/>
        <v>2291</v>
      </c>
      <c r="B293" s="7" t="s">
        <v>373</v>
      </c>
      <c r="C293" s="7" t="s">
        <v>476</v>
      </c>
      <c r="D293" s="28"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2016</v>
      </c>
      <c r="AO293" s="7" t="s">
        <v>1850</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c r="BP293" s="10" t="s">
        <v>50</v>
      </c>
      <c r="BQ293" s="9">
        <v>0</v>
      </c>
      <c r="BR293" s="10" t="s">
        <v>50</v>
      </c>
      <c r="BS293" s="9">
        <v>0</v>
      </c>
      <c r="BT293" s="10" t="s">
        <v>50</v>
      </c>
      <c r="BU293" s="9">
        <v>0</v>
      </c>
    </row>
    <row r="294" spans="1:73" s="9" customFormat="1" ht="15.75" customHeight="1" x14ac:dyDescent="0.2">
      <c r="A294" s="3">
        <f t="shared" si="4"/>
        <v>2292</v>
      </c>
      <c r="B294" s="7" t="s">
        <v>373</v>
      </c>
      <c r="C294" s="7" t="s">
        <v>643</v>
      </c>
      <c r="D294" s="28"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2016</v>
      </c>
      <c r="AO294" s="7" t="s">
        <v>1850</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c r="BP294" s="10" t="s">
        <v>50</v>
      </c>
      <c r="BQ294" s="9">
        <v>0</v>
      </c>
      <c r="BR294" s="10" t="s">
        <v>50</v>
      </c>
      <c r="BS294" s="9">
        <v>0</v>
      </c>
      <c r="BT294" s="10" t="s">
        <v>50</v>
      </c>
      <c r="BU294" s="9">
        <v>0</v>
      </c>
    </row>
    <row r="295" spans="1:73" ht="15.75" customHeight="1" x14ac:dyDescent="0.2">
      <c r="A295" s="3">
        <f t="shared" si="4"/>
        <v>2293</v>
      </c>
      <c r="B295" s="3" t="s">
        <v>449</v>
      </c>
      <c r="C295" s="3" t="s">
        <v>449</v>
      </c>
      <c r="D295" s="27" t="s">
        <v>447</v>
      </c>
      <c r="E295" s="5" t="s">
        <v>448</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1522</v>
      </c>
      <c r="AN295" s="3" t="s">
        <v>2017</v>
      </c>
      <c r="AO295" s="3" t="s">
        <v>1851</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c r="BP295" s="6" t="s">
        <v>50</v>
      </c>
      <c r="BQ295">
        <v>0</v>
      </c>
      <c r="BR295" s="6" t="s">
        <v>50</v>
      </c>
      <c r="BS295">
        <v>0</v>
      </c>
      <c r="BT295" s="6" t="s">
        <v>50</v>
      </c>
      <c r="BU295">
        <v>0</v>
      </c>
    </row>
    <row r="296" spans="1:73" s="9" customFormat="1" ht="15.75" customHeight="1" x14ac:dyDescent="0.2">
      <c r="A296" s="3">
        <f t="shared" si="4"/>
        <v>2294</v>
      </c>
      <c r="B296" s="7" t="s">
        <v>449</v>
      </c>
      <c r="C296" s="7" t="s">
        <v>478</v>
      </c>
      <c r="D296" s="28"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1522</v>
      </c>
      <c r="AN296" s="7" t="s">
        <v>2017</v>
      </c>
      <c r="AO296" s="7" t="s">
        <v>1850</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c r="BP296" s="10" t="s">
        <v>50</v>
      </c>
      <c r="BQ296" s="9">
        <v>0</v>
      </c>
      <c r="BR296" s="10" t="s">
        <v>50</v>
      </c>
      <c r="BS296" s="9">
        <v>0</v>
      </c>
      <c r="BT296" s="10" t="s">
        <v>50</v>
      </c>
      <c r="BU296" s="9">
        <v>0</v>
      </c>
    </row>
    <row r="297" spans="1:73" s="9" customFormat="1" ht="15.75" customHeight="1" x14ac:dyDescent="0.2">
      <c r="A297" s="3">
        <f t="shared" si="4"/>
        <v>2295</v>
      </c>
      <c r="B297" s="7" t="s">
        <v>449</v>
      </c>
      <c r="C297" s="7" t="s">
        <v>647</v>
      </c>
      <c r="D297" s="28"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1522</v>
      </c>
      <c r="AN297" s="7" t="s">
        <v>2017</v>
      </c>
      <c r="AO297" s="7" t="s">
        <v>1850</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c r="BP297" s="10" t="s">
        <v>50</v>
      </c>
      <c r="BQ297" s="9">
        <v>0</v>
      </c>
      <c r="BR297" s="10" t="s">
        <v>50</v>
      </c>
      <c r="BS297" s="9">
        <v>0</v>
      </c>
      <c r="BT297" s="10" t="s">
        <v>50</v>
      </c>
      <c r="BU297" s="9">
        <v>0</v>
      </c>
    </row>
    <row r="298" spans="1:73" s="9" customFormat="1" ht="15.75" customHeight="1" x14ac:dyDescent="0.2">
      <c r="A298" s="3">
        <f t="shared" si="4"/>
        <v>2296</v>
      </c>
      <c r="B298" s="7" t="s">
        <v>449</v>
      </c>
      <c r="C298" s="7" t="s">
        <v>666</v>
      </c>
      <c r="D298" s="28"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2016</v>
      </c>
      <c r="AO298" s="7" t="s">
        <v>1850</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c r="BP298" s="10" t="s">
        <v>50</v>
      </c>
      <c r="BQ298" s="9">
        <v>0</v>
      </c>
      <c r="BR298" s="10" t="s">
        <v>50</v>
      </c>
      <c r="BS298" s="9">
        <v>0</v>
      </c>
      <c r="BT298" s="10" t="s">
        <v>50</v>
      </c>
      <c r="BU298" s="9">
        <v>0</v>
      </c>
    </row>
    <row r="299" spans="1:73" s="9" customFormat="1" ht="15.75" customHeight="1" x14ac:dyDescent="0.2">
      <c r="A299" s="3">
        <f t="shared" si="4"/>
        <v>2297</v>
      </c>
      <c r="B299" s="7" t="s">
        <v>449</v>
      </c>
      <c r="C299" s="7" t="s">
        <v>668</v>
      </c>
      <c r="D299" s="28"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2016</v>
      </c>
      <c r="AO299" s="7" t="s">
        <v>1850</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c r="BP299" s="10" t="s">
        <v>50</v>
      </c>
      <c r="BQ299" s="9">
        <v>0</v>
      </c>
      <c r="BR299" s="10" t="s">
        <v>50</v>
      </c>
      <c r="BS299" s="9">
        <v>0</v>
      </c>
      <c r="BT299" s="10" t="s">
        <v>50</v>
      </c>
      <c r="BU299" s="9">
        <v>0</v>
      </c>
    </row>
    <row r="300" spans="1:73" ht="15.75" customHeight="1" x14ac:dyDescent="0.2">
      <c r="A300" s="3">
        <f t="shared" si="4"/>
        <v>2298</v>
      </c>
      <c r="B300" s="3" t="s">
        <v>2721</v>
      </c>
      <c r="C300" s="3" t="s">
        <v>2721</v>
      </c>
      <c r="D300" s="27" t="s">
        <v>2720</v>
      </c>
      <c r="E300" s="5" t="s">
        <v>3373</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99</v>
      </c>
      <c r="AN300" s="3" t="s">
        <v>2003</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c r="BP300" s="6" t="s">
        <v>50</v>
      </c>
      <c r="BQ300">
        <v>0</v>
      </c>
      <c r="BR300" s="6" t="s">
        <v>50</v>
      </c>
      <c r="BS300">
        <v>0</v>
      </c>
      <c r="BT300" s="6" t="s">
        <v>50</v>
      </c>
      <c r="BU300">
        <v>0</v>
      </c>
    </row>
    <row r="301" spans="1:73" ht="15.75" customHeight="1" x14ac:dyDescent="0.2">
      <c r="A301" s="3">
        <f t="shared" si="4"/>
        <v>2299</v>
      </c>
      <c r="B301" s="3" t="s">
        <v>2358</v>
      </c>
      <c r="C301" s="3" t="s">
        <v>2358</v>
      </c>
      <c r="D301" s="27" t="s">
        <v>2357</v>
      </c>
      <c r="E301" s="5" t="s">
        <v>2359</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0</v>
      </c>
      <c r="AH301" s="3">
        <v>0</v>
      </c>
      <c r="AI301" s="3">
        <v>0</v>
      </c>
      <c r="AJ301" s="3">
        <v>0</v>
      </c>
      <c r="AK301" s="3">
        <v>0</v>
      </c>
      <c r="AL301" s="3" t="s">
        <v>31</v>
      </c>
      <c r="AM301" s="3" t="s">
        <v>99</v>
      </c>
      <c r="AN301" s="3" t="s">
        <v>2003</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c r="BP301" s="6" t="s">
        <v>50</v>
      </c>
      <c r="BQ301">
        <v>0</v>
      </c>
      <c r="BR301" s="6" t="s">
        <v>50</v>
      </c>
      <c r="BS301">
        <v>0</v>
      </c>
      <c r="BT301" s="6" t="s">
        <v>50</v>
      </c>
      <c r="BU301">
        <v>0</v>
      </c>
    </row>
    <row r="302" spans="1:73" s="9" customFormat="1" ht="15.75" customHeight="1" x14ac:dyDescent="0.2">
      <c r="A302" s="7">
        <f t="shared" si="4"/>
        <v>2300</v>
      </c>
      <c r="B302" s="7" t="s">
        <v>2369</v>
      </c>
      <c r="C302" s="7" t="s">
        <v>2369</v>
      </c>
      <c r="D302" s="28" t="s">
        <v>2368</v>
      </c>
      <c r="E302" s="8" t="s">
        <v>2523</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2016</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c r="BP302" s="10" t="s">
        <v>50</v>
      </c>
      <c r="BQ302" s="9">
        <v>0</v>
      </c>
      <c r="BR302" s="10" t="s">
        <v>50</v>
      </c>
      <c r="BS302" s="9">
        <v>0</v>
      </c>
      <c r="BT302" s="10" t="s">
        <v>50</v>
      </c>
      <c r="BU302" s="9">
        <v>0</v>
      </c>
    </row>
    <row r="303" spans="1:73" s="23" customFormat="1" ht="15.75" customHeight="1" x14ac:dyDescent="0.2">
      <c r="A303" s="21">
        <f t="shared" si="4"/>
        <v>2301</v>
      </c>
      <c r="B303" s="21" t="s">
        <v>348</v>
      </c>
      <c r="C303" s="21" t="s">
        <v>2287</v>
      </c>
      <c r="D303" s="22" t="s">
        <v>2288</v>
      </c>
      <c r="E303" s="22" t="s">
        <v>2282</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2015</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c r="BP303" s="24" t="s">
        <v>50</v>
      </c>
      <c r="BQ303" s="23">
        <v>0</v>
      </c>
      <c r="BR303" s="24" t="s">
        <v>50</v>
      </c>
      <c r="BS303" s="23">
        <v>0</v>
      </c>
      <c r="BT303" s="24" t="s">
        <v>50</v>
      </c>
      <c r="BU303" s="23">
        <v>0</v>
      </c>
    </row>
    <row r="304" spans="1:73" ht="15.75" customHeight="1" x14ac:dyDescent="0.2">
      <c r="A304" s="3">
        <f t="shared" si="4"/>
        <v>2302</v>
      </c>
      <c r="B304" s="3" t="s">
        <v>348</v>
      </c>
      <c r="C304" s="3" t="s">
        <v>336</v>
      </c>
      <c r="D304" s="4" t="s">
        <v>337</v>
      </c>
      <c r="E304" s="4" t="s">
        <v>736</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2018</v>
      </c>
      <c r="AO304" s="3" t="s">
        <v>1851</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c r="BP304" s="6" t="s">
        <v>3624</v>
      </c>
      <c r="BQ304">
        <v>15</v>
      </c>
      <c r="BR304" s="6" t="s">
        <v>50</v>
      </c>
      <c r="BS304">
        <v>0</v>
      </c>
      <c r="BT304" s="6" t="s">
        <v>50</v>
      </c>
      <c r="BU304">
        <v>0</v>
      </c>
    </row>
    <row r="305" spans="1:73" ht="15.75" customHeight="1" x14ac:dyDescent="0.2">
      <c r="A305" s="3">
        <f t="shared" si="4"/>
        <v>2303</v>
      </c>
      <c r="B305" s="3" t="s">
        <v>1274</v>
      </c>
      <c r="C305" s="3" t="s">
        <v>780</v>
      </c>
      <c r="D305" s="4" t="s">
        <v>779</v>
      </c>
      <c r="E305" s="4" t="s">
        <v>781</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2018</v>
      </c>
      <c r="AO305" s="3" t="s">
        <v>1851</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1225</v>
      </c>
      <c r="BE305" s="6" t="s">
        <v>50</v>
      </c>
      <c r="BF305" s="6" t="s">
        <v>50</v>
      </c>
      <c r="BG305" s="6" t="s">
        <v>50</v>
      </c>
      <c r="BH305" s="6" t="s">
        <v>50</v>
      </c>
      <c r="BI305">
        <v>1</v>
      </c>
      <c r="BJ305">
        <v>870</v>
      </c>
      <c r="BK305">
        <v>1</v>
      </c>
      <c r="BL305">
        <v>30</v>
      </c>
      <c r="BM305">
        <v>0</v>
      </c>
      <c r="BN305">
        <v>0</v>
      </c>
      <c r="BO305">
        <v>0</v>
      </c>
      <c r="BP305" s="6" t="s">
        <v>3624</v>
      </c>
      <c r="BQ305">
        <v>15</v>
      </c>
      <c r="BR305" s="6" t="s">
        <v>50</v>
      </c>
      <c r="BS305">
        <v>0</v>
      </c>
      <c r="BT305" s="6" t="s">
        <v>50</v>
      </c>
      <c r="BU305">
        <v>0</v>
      </c>
    </row>
    <row r="306" spans="1:73" ht="15.75" customHeight="1" x14ac:dyDescent="0.2">
      <c r="A306" s="3">
        <f t="shared" si="4"/>
        <v>2304</v>
      </c>
      <c r="B306" s="3" t="s">
        <v>1275</v>
      </c>
      <c r="C306" s="3" t="s">
        <v>1247</v>
      </c>
      <c r="D306" s="4" t="s">
        <v>1248</v>
      </c>
      <c r="E306" s="4" t="s">
        <v>1249</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2018</v>
      </c>
      <c r="AO306" s="3" t="s">
        <v>1851</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1252</v>
      </c>
      <c r="BE306" s="6" t="s">
        <v>50</v>
      </c>
      <c r="BF306" s="6" t="s">
        <v>50</v>
      </c>
      <c r="BG306" s="6" t="s">
        <v>50</v>
      </c>
      <c r="BH306" s="6" t="s">
        <v>50</v>
      </c>
      <c r="BI306">
        <v>1</v>
      </c>
      <c r="BJ306">
        <v>874</v>
      </c>
      <c r="BK306">
        <v>1</v>
      </c>
      <c r="BL306">
        <v>30</v>
      </c>
      <c r="BM306">
        <v>0</v>
      </c>
      <c r="BN306">
        <v>0</v>
      </c>
      <c r="BO306">
        <v>0</v>
      </c>
      <c r="BP306" s="6" t="s">
        <v>3624</v>
      </c>
      <c r="BQ306">
        <v>15</v>
      </c>
      <c r="BR306" s="6" t="s">
        <v>50</v>
      </c>
      <c r="BS306">
        <v>0</v>
      </c>
      <c r="BT306" s="6" t="s">
        <v>50</v>
      </c>
      <c r="BU306">
        <v>0</v>
      </c>
    </row>
    <row r="307" spans="1:73" ht="15.75" customHeight="1" x14ac:dyDescent="0.2">
      <c r="A307" s="3">
        <f t="shared" si="4"/>
        <v>2305</v>
      </c>
      <c r="B307" s="3" t="s">
        <v>1123</v>
      </c>
      <c r="C307" s="3" t="s">
        <v>789</v>
      </c>
      <c r="D307" s="4" t="s">
        <v>787</v>
      </c>
      <c r="E307" s="4" t="s">
        <v>788</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2018</v>
      </c>
      <c r="AO307" s="3" t="s">
        <v>1851</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1226</v>
      </c>
      <c r="BE307" s="6" t="s">
        <v>50</v>
      </c>
      <c r="BF307" s="6" t="s">
        <v>50</v>
      </c>
      <c r="BG307" s="6" t="s">
        <v>50</v>
      </c>
      <c r="BH307" s="6" t="s">
        <v>50</v>
      </c>
      <c r="BI307">
        <v>1</v>
      </c>
      <c r="BJ307">
        <v>871</v>
      </c>
      <c r="BK307">
        <v>1</v>
      </c>
      <c r="BL307">
        <v>30</v>
      </c>
      <c r="BM307">
        <v>0</v>
      </c>
      <c r="BN307">
        <v>0</v>
      </c>
      <c r="BO307">
        <v>0</v>
      </c>
      <c r="BP307" s="6" t="s">
        <v>3624</v>
      </c>
      <c r="BQ307">
        <v>15</v>
      </c>
      <c r="BR307" s="6" t="s">
        <v>50</v>
      </c>
      <c r="BS307">
        <v>0</v>
      </c>
      <c r="BT307" s="6" t="s">
        <v>50</v>
      </c>
      <c r="BU307">
        <v>0</v>
      </c>
    </row>
    <row r="308" spans="1:73" ht="15.75" customHeight="1" x14ac:dyDescent="0.2">
      <c r="A308" s="3">
        <f t="shared" si="4"/>
        <v>2306</v>
      </c>
      <c r="B308" s="3" t="s">
        <v>1276</v>
      </c>
      <c r="C308" s="3" t="s">
        <v>1244</v>
      </c>
      <c r="D308" s="4" t="s">
        <v>1245</v>
      </c>
      <c r="E308" s="4" t="s">
        <v>1246</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2018</v>
      </c>
      <c r="AO308" s="3" t="s">
        <v>1851</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1253</v>
      </c>
      <c r="BE308" s="6" t="s">
        <v>50</v>
      </c>
      <c r="BF308" s="6" t="s">
        <v>50</v>
      </c>
      <c r="BG308" s="6" t="s">
        <v>50</v>
      </c>
      <c r="BH308" s="6" t="s">
        <v>50</v>
      </c>
      <c r="BI308">
        <v>1</v>
      </c>
      <c r="BJ308">
        <v>875</v>
      </c>
      <c r="BK308">
        <v>1</v>
      </c>
      <c r="BL308">
        <v>30</v>
      </c>
      <c r="BM308">
        <v>0</v>
      </c>
      <c r="BN308">
        <v>0</v>
      </c>
      <c r="BO308">
        <v>0</v>
      </c>
      <c r="BP308" s="6" t="s">
        <v>3624</v>
      </c>
      <c r="BQ308">
        <v>15</v>
      </c>
      <c r="BR308" s="6" t="s">
        <v>50</v>
      </c>
      <c r="BS308">
        <v>0</v>
      </c>
      <c r="BT308" s="6" t="s">
        <v>50</v>
      </c>
      <c r="BU308">
        <v>0</v>
      </c>
    </row>
    <row r="309" spans="1:73" ht="15.75" customHeight="1" x14ac:dyDescent="0.2">
      <c r="A309" s="3">
        <f t="shared" si="4"/>
        <v>2307</v>
      </c>
      <c r="B309" s="3" t="s">
        <v>1151</v>
      </c>
      <c r="C309" s="3" t="s">
        <v>796</v>
      </c>
      <c r="D309" s="4" t="s">
        <v>795</v>
      </c>
      <c r="E309" s="4" t="s">
        <v>797</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70</v>
      </c>
      <c r="Z309" s="3">
        <v>0</v>
      </c>
      <c r="AA309" s="3">
        <v>0</v>
      </c>
      <c r="AB309" s="3">
        <v>0</v>
      </c>
      <c r="AC309" s="3">
        <v>0</v>
      </c>
      <c r="AD309" s="3">
        <v>0</v>
      </c>
      <c r="AE309" s="3">
        <v>0</v>
      </c>
      <c r="AF309" s="3">
        <v>5</v>
      </c>
      <c r="AG309" s="3">
        <v>0</v>
      </c>
      <c r="AH309" s="3">
        <v>0</v>
      </c>
      <c r="AI309" s="3">
        <v>0</v>
      </c>
      <c r="AJ309" s="3">
        <v>0</v>
      </c>
      <c r="AK309" s="3">
        <v>0</v>
      </c>
      <c r="AL309" s="3" t="s">
        <v>31</v>
      </c>
      <c r="AM309" s="3" t="s">
        <v>347</v>
      </c>
      <c r="AN309" s="3" t="s">
        <v>2018</v>
      </c>
      <c r="AO309" s="3" t="s">
        <v>1851</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1227</v>
      </c>
      <c r="BE309" s="6" t="s">
        <v>50</v>
      </c>
      <c r="BF309" s="6" t="s">
        <v>50</v>
      </c>
      <c r="BG309" s="6" t="s">
        <v>50</v>
      </c>
      <c r="BH309" s="6" t="s">
        <v>50</v>
      </c>
      <c r="BI309">
        <v>1</v>
      </c>
      <c r="BJ309">
        <v>872</v>
      </c>
      <c r="BK309">
        <v>1</v>
      </c>
      <c r="BL309">
        <v>30</v>
      </c>
      <c r="BM309">
        <v>0</v>
      </c>
      <c r="BN309">
        <v>0</v>
      </c>
      <c r="BO309">
        <v>0</v>
      </c>
      <c r="BP309" s="6" t="s">
        <v>3624</v>
      </c>
      <c r="BQ309">
        <v>15</v>
      </c>
      <c r="BR309" s="6" t="s">
        <v>50</v>
      </c>
      <c r="BS309">
        <v>0</v>
      </c>
      <c r="BT309" s="6" t="s">
        <v>50</v>
      </c>
      <c r="BU309">
        <v>0</v>
      </c>
    </row>
    <row r="310" spans="1:73" ht="15.75" customHeight="1" x14ac:dyDescent="0.2">
      <c r="A310" s="3">
        <f t="shared" si="4"/>
        <v>2308</v>
      </c>
      <c r="B310" s="3" t="s">
        <v>1374</v>
      </c>
      <c r="C310" s="3" t="s">
        <v>1365</v>
      </c>
      <c r="D310" s="4" t="s">
        <v>1364</v>
      </c>
      <c r="E310" s="4" t="s">
        <v>1366</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5</v>
      </c>
      <c r="AG310" s="3">
        <v>0</v>
      </c>
      <c r="AH310" s="3">
        <v>0</v>
      </c>
      <c r="AI310" s="3">
        <v>0</v>
      </c>
      <c r="AJ310" s="3">
        <v>0</v>
      </c>
      <c r="AK310" s="3">
        <v>0</v>
      </c>
      <c r="AL310" s="3" t="s">
        <v>31</v>
      </c>
      <c r="AM310" s="3" t="s">
        <v>347</v>
      </c>
      <c r="AN310" s="3" t="s">
        <v>2018</v>
      </c>
      <c r="AO310" s="3" t="s">
        <v>1851</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1370</v>
      </c>
      <c r="BE310" s="6" t="s">
        <v>50</v>
      </c>
      <c r="BF310" s="6" t="s">
        <v>50</v>
      </c>
      <c r="BG310" s="6" t="s">
        <v>50</v>
      </c>
      <c r="BH310" s="6" t="s">
        <v>50</v>
      </c>
      <c r="BI310">
        <v>1</v>
      </c>
      <c r="BJ310">
        <v>877</v>
      </c>
      <c r="BK310">
        <v>1</v>
      </c>
      <c r="BL310">
        <v>30</v>
      </c>
      <c r="BM310">
        <v>0</v>
      </c>
      <c r="BN310">
        <v>0</v>
      </c>
      <c r="BO310">
        <v>0</v>
      </c>
      <c r="BP310" s="6" t="s">
        <v>3624</v>
      </c>
      <c r="BQ310">
        <v>15</v>
      </c>
      <c r="BR310" s="6" t="s">
        <v>50</v>
      </c>
      <c r="BS310">
        <v>0</v>
      </c>
      <c r="BT310" s="6" t="s">
        <v>50</v>
      </c>
      <c r="BU310">
        <v>0</v>
      </c>
    </row>
    <row r="311" spans="1:73" ht="15.75" customHeight="1" x14ac:dyDescent="0.2">
      <c r="A311" s="3">
        <f t="shared" si="4"/>
        <v>2309</v>
      </c>
      <c r="B311" s="3" t="s">
        <v>1277</v>
      </c>
      <c r="C311" s="3" t="s">
        <v>1251</v>
      </c>
      <c r="D311" s="4" t="s">
        <v>1250</v>
      </c>
      <c r="E311" s="4" t="s">
        <v>1357</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5</v>
      </c>
      <c r="AG311" s="3">
        <v>0</v>
      </c>
      <c r="AH311" s="3">
        <v>0</v>
      </c>
      <c r="AI311" s="3">
        <v>0</v>
      </c>
      <c r="AJ311" s="3">
        <v>0</v>
      </c>
      <c r="AK311" s="3">
        <v>0</v>
      </c>
      <c r="AL311" s="3" t="s">
        <v>31</v>
      </c>
      <c r="AM311" s="3" t="s">
        <v>347</v>
      </c>
      <c r="AN311" s="3" t="s">
        <v>2018</v>
      </c>
      <c r="AO311" s="3" t="s">
        <v>1851</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1254</v>
      </c>
      <c r="BE311" s="6" t="s">
        <v>50</v>
      </c>
      <c r="BF311" s="6" t="s">
        <v>50</v>
      </c>
      <c r="BG311" s="6" t="s">
        <v>50</v>
      </c>
      <c r="BH311" s="6" t="s">
        <v>50</v>
      </c>
      <c r="BI311">
        <v>1</v>
      </c>
      <c r="BJ311">
        <v>876</v>
      </c>
      <c r="BK311">
        <v>4</v>
      </c>
      <c r="BL311">
        <v>30</v>
      </c>
      <c r="BM311">
        <v>0</v>
      </c>
      <c r="BN311">
        <v>0</v>
      </c>
      <c r="BO311">
        <v>0</v>
      </c>
      <c r="BP311" s="6" t="s">
        <v>3624</v>
      </c>
      <c r="BQ311">
        <v>15</v>
      </c>
      <c r="BR311" s="6" t="s">
        <v>50</v>
      </c>
      <c r="BS311">
        <v>0</v>
      </c>
      <c r="BT311" s="6" t="s">
        <v>50</v>
      </c>
      <c r="BU311">
        <v>0</v>
      </c>
    </row>
    <row r="312" spans="1:73" ht="15.75" customHeight="1" x14ac:dyDescent="0.2">
      <c r="A312" s="3">
        <f t="shared" si="4"/>
        <v>2310</v>
      </c>
      <c r="B312" s="3" t="s">
        <v>3383</v>
      </c>
      <c r="C312" s="3" t="s">
        <v>791</v>
      </c>
      <c r="D312" s="4" t="s">
        <v>3561</v>
      </c>
      <c r="E312" s="4" t="s">
        <v>790</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5</v>
      </c>
      <c r="AG312" s="3">
        <v>0</v>
      </c>
      <c r="AH312" s="3">
        <v>0</v>
      </c>
      <c r="AI312" s="3">
        <v>0</v>
      </c>
      <c r="AJ312" s="3">
        <v>0</v>
      </c>
      <c r="AK312" s="3">
        <v>0</v>
      </c>
      <c r="AL312" s="3" t="s">
        <v>31</v>
      </c>
      <c r="AM312" s="3" t="s">
        <v>347</v>
      </c>
      <c r="AN312" s="3" t="s">
        <v>2018</v>
      </c>
      <c r="AO312" s="3" t="s">
        <v>1850</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c r="BP312" s="6" t="s">
        <v>3624</v>
      </c>
      <c r="BQ312">
        <v>15</v>
      </c>
      <c r="BR312" s="6" t="s">
        <v>50</v>
      </c>
      <c r="BS312">
        <v>0</v>
      </c>
      <c r="BT312" s="6" t="s">
        <v>50</v>
      </c>
      <c r="BU312">
        <v>0</v>
      </c>
    </row>
    <row r="313" spans="1:73" s="9" customFormat="1" ht="15.75" customHeight="1" x14ac:dyDescent="0.2">
      <c r="A313" s="3">
        <f t="shared" si="4"/>
        <v>2311</v>
      </c>
      <c r="B313" s="7" t="s">
        <v>348</v>
      </c>
      <c r="C313" s="7" t="s">
        <v>800</v>
      </c>
      <c r="D313" s="11" t="s">
        <v>798</v>
      </c>
      <c r="E313" s="11" t="s">
        <v>799</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2018</v>
      </c>
      <c r="AO313" s="7" t="s">
        <v>1850</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v>0</v>
      </c>
      <c r="BN313">
        <v>0</v>
      </c>
      <c r="BO313" s="9">
        <v>0</v>
      </c>
      <c r="BP313" s="10" t="s">
        <v>50</v>
      </c>
      <c r="BQ313" s="9">
        <v>0</v>
      </c>
      <c r="BR313" s="10" t="s">
        <v>50</v>
      </c>
      <c r="BS313" s="9">
        <v>0</v>
      </c>
      <c r="BT313" s="10" t="s">
        <v>50</v>
      </c>
      <c r="BU313" s="9">
        <v>0</v>
      </c>
    </row>
    <row r="314" spans="1:73" s="9" customFormat="1" ht="15.75" customHeight="1" x14ac:dyDescent="0.2">
      <c r="A314" s="3">
        <f t="shared" si="4"/>
        <v>2312</v>
      </c>
      <c r="B314" s="7" t="s">
        <v>1278</v>
      </c>
      <c r="C314" s="7" t="s">
        <v>794</v>
      </c>
      <c r="D314" s="11" t="s">
        <v>792</v>
      </c>
      <c r="E314" s="11" t="s">
        <v>793</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2018</v>
      </c>
      <c r="AO314" s="7" t="s">
        <v>1850</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1228</v>
      </c>
      <c r="BE314" s="10" t="s">
        <v>50</v>
      </c>
      <c r="BF314" s="10" t="s">
        <v>50</v>
      </c>
      <c r="BG314" s="10" t="s">
        <v>50</v>
      </c>
      <c r="BH314" s="10" t="s">
        <v>50</v>
      </c>
      <c r="BI314" s="9">
        <v>0</v>
      </c>
      <c r="BJ314" s="9">
        <v>873</v>
      </c>
      <c r="BK314" s="9">
        <v>1</v>
      </c>
      <c r="BL314" s="9">
        <v>30</v>
      </c>
      <c r="BM314">
        <v>0</v>
      </c>
      <c r="BN314">
        <v>0</v>
      </c>
      <c r="BO314" s="9">
        <v>0</v>
      </c>
      <c r="BP314" s="10" t="s">
        <v>50</v>
      </c>
      <c r="BQ314" s="9">
        <v>0</v>
      </c>
      <c r="BR314" s="10" t="s">
        <v>50</v>
      </c>
      <c r="BS314" s="9">
        <v>0</v>
      </c>
      <c r="BT314" s="10" t="s">
        <v>50</v>
      </c>
      <c r="BU314" s="9">
        <v>0</v>
      </c>
    </row>
    <row r="315" spans="1:73" ht="15.75" customHeight="1" x14ac:dyDescent="0.2">
      <c r="A315" s="3">
        <f t="shared" si="4"/>
        <v>2313</v>
      </c>
      <c r="B315" s="3" t="s">
        <v>2896</v>
      </c>
      <c r="C315" s="3" t="s">
        <v>2896</v>
      </c>
      <c r="D315" s="4" t="s">
        <v>2895</v>
      </c>
      <c r="E315" s="4" t="s">
        <v>2948</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100</v>
      </c>
      <c r="Z315" s="3">
        <v>0</v>
      </c>
      <c r="AA315" s="3">
        <v>0</v>
      </c>
      <c r="AB315" s="3">
        <v>0</v>
      </c>
      <c r="AC315" s="3">
        <v>0</v>
      </c>
      <c r="AD315" s="3">
        <v>0</v>
      </c>
      <c r="AE315" s="3">
        <v>0</v>
      </c>
      <c r="AF315" s="3">
        <v>5</v>
      </c>
      <c r="AG315" s="3">
        <v>0</v>
      </c>
      <c r="AH315" s="3">
        <v>0</v>
      </c>
      <c r="AI315" s="3">
        <v>0</v>
      </c>
      <c r="AJ315" s="3">
        <v>0</v>
      </c>
      <c r="AK315" s="3">
        <v>0</v>
      </c>
      <c r="AL315" s="3" t="s">
        <v>31</v>
      </c>
      <c r="AM315" s="3" t="s">
        <v>347</v>
      </c>
      <c r="AN315" s="3" t="s">
        <v>3470</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c r="BP315" s="6" t="s">
        <v>3624</v>
      </c>
      <c r="BQ315">
        <v>20</v>
      </c>
      <c r="BR315" s="6" t="s">
        <v>50</v>
      </c>
      <c r="BS315">
        <v>0</v>
      </c>
      <c r="BT315" s="6" t="s">
        <v>50</v>
      </c>
      <c r="BU315">
        <v>0</v>
      </c>
    </row>
    <row r="316" spans="1:73" ht="15.75" customHeight="1" x14ac:dyDescent="0.2">
      <c r="A316" s="3">
        <f t="shared" si="4"/>
        <v>2314</v>
      </c>
      <c r="B316" s="3" t="s">
        <v>2075</v>
      </c>
      <c r="C316" s="3" t="s">
        <v>2075</v>
      </c>
      <c r="D316" s="4" t="s">
        <v>2071</v>
      </c>
      <c r="E316" s="4" t="s">
        <v>2719</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347</v>
      </c>
      <c r="AN316" s="3" t="s">
        <v>2018</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1</v>
      </c>
      <c r="BO316">
        <v>0</v>
      </c>
      <c r="BP316" s="6" t="s">
        <v>50</v>
      </c>
      <c r="BQ316">
        <v>0</v>
      </c>
      <c r="BR316" s="6" t="s">
        <v>50</v>
      </c>
      <c r="BS316">
        <v>0</v>
      </c>
      <c r="BT316" s="6" t="s">
        <v>50</v>
      </c>
      <c r="BU316">
        <v>0</v>
      </c>
    </row>
    <row r="317" spans="1:73" s="43" customFormat="1" ht="15.75" customHeight="1" x14ac:dyDescent="0.2">
      <c r="A317" s="40">
        <f t="shared" si="4"/>
        <v>2315</v>
      </c>
      <c r="B317" s="40" t="s">
        <v>2082</v>
      </c>
      <c r="C317" s="40" t="s">
        <v>3580</v>
      </c>
      <c r="D317" s="45" t="s">
        <v>3578</v>
      </c>
      <c r="E317" s="45" t="s">
        <v>3579</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20</v>
      </c>
      <c r="AB317" s="40">
        <v>0</v>
      </c>
      <c r="AC317" s="40">
        <v>0</v>
      </c>
      <c r="AD317" s="40">
        <v>0</v>
      </c>
      <c r="AE317" s="40">
        <v>-100</v>
      </c>
      <c r="AF317" s="40">
        <v>40</v>
      </c>
      <c r="AG317" s="40">
        <v>30</v>
      </c>
      <c r="AH317" s="40">
        <v>40</v>
      </c>
      <c r="AI317" s="40">
        <v>0</v>
      </c>
      <c r="AJ317" s="40">
        <v>0</v>
      </c>
      <c r="AK317" s="40">
        <v>0</v>
      </c>
      <c r="AL317" s="40" t="s">
        <v>31</v>
      </c>
      <c r="AM317" s="40" t="s">
        <v>347</v>
      </c>
      <c r="AN317" s="40" t="s">
        <v>3497</v>
      </c>
      <c r="AO317" s="40" t="s">
        <v>2149</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c r="BP317" s="44" t="s">
        <v>3624</v>
      </c>
      <c r="BQ317" s="43">
        <v>30</v>
      </c>
      <c r="BR317" s="44" t="s">
        <v>50</v>
      </c>
      <c r="BS317" s="43">
        <v>0</v>
      </c>
      <c r="BT317" s="44" t="s">
        <v>50</v>
      </c>
      <c r="BU317" s="43">
        <v>0</v>
      </c>
    </row>
    <row r="318" spans="1:73" s="43" customFormat="1" ht="15.75" customHeight="1" x14ac:dyDescent="0.2">
      <c r="A318" s="40">
        <f t="shared" si="4"/>
        <v>2316</v>
      </c>
      <c r="B318" s="40" t="s">
        <v>2082</v>
      </c>
      <c r="C318" s="40" t="s">
        <v>2718</v>
      </c>
      <c r="D318" s="45" t="s">
        <v>2076</v>
      </c>
      <c r="E318" s="45" t="s">
        <v>2077</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130</v>
      </c>
      <c r="Z318" s="40">
        <v>0</v>
      </c>
      <c r="AA318" s="40">
        <v>20</v>
      </c>
      <c r="AB318" s="40">
        <v>0</v>
      </c>
      <c r="AC318" s="40">
        <v>0</v>
      </c>
      <c r="AD318" s="40">
        <v>0</v>
      </c>
      <c r="AE318" s="40">
        <v>0</v>
      </c>
      <c r="AF318" s="40">
        <v>10</v>
      </c>
      <c r="AG318" s="40">
        <v>-30</v>
      </c>
      <c r="AH318" s="40">
        <v>65</v>
      </c>
      <c r="AI318" s="40">
        <v>0</v>
      </c>
      <c r="AJ318" s="40">
        <v>0</v>
      </c>
      <c r="AK318" s="40">
        <v>0</v>
      </c>
      <c r="AL318" s="40" t="s">
        <v>31</v>
      </c>
      <c r="AM318" s="40" t="s">
        <v>347</v>
      </c>
      <c r="AN318" s="40" t="s">
        <v>3497</v>
      </c>
      <c r="AO318" s="40" t="s">
        <v>2149</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c r="BP318" s="44" t="s">
        <v>3624</v>
      </c>
      <c r="BQ318" s="43">
        <v>30</v>
      </c>
      <c r="BR318" s="44" t="s">
        <v>50</v>
      </c>
      <c r="BS318" s="43">
        <v>0</v>
      </c>
      <c r="BT318" s="44" t="s">
        <v>50</v>
      </c>
      <c r="BU318" s="43">
        <v>0</v>
      </c>
    </row>
    <row r="319" spans="1:73" ht="15.75" customHeight="1" x14ac:dyDescent="0.2">
      <c r="A319" s="3">
        <f t="shared" si="4"/>
        <v>2317</v>
      </c>
      <c r="B319" s="3" t="s">
        <v>2073</v>
      </c>
      <c r="C319" s="3" t="s">
        <v>2073</v>
      </c>
      <c r="D319" s="4" t="s">
        <v>2074</v>
      </c>
      <c r="E319" s="4" t="s">
        <v>3491</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20</v>
      </c>
      <c r="AG319" s="3">
        <v>0</v>
      </c>
      <c r="AH319" s="3">
        <v>0</v>
      </c>
      <c r="AI319" s="3">
        <v>0</v>
      </c>
      <c r="AJ319" s="3">
        <v>0</v>
      </c>
      <c r="AK319" s="3">
        <v>0</v>
      </c>
      <c r="AL319" s="3" t="s">
        <v>31</v>
      </c>
      <c r="AM319" s="3" t="s">
        <v>347</v>
      </c>
      <c r="AN319" s="3" t="s">
        <v>3468</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c r="BP319" s="6" t="s">
        <v>50</v>
      </c>
      <c r="BQ319">
        <v>0</v>
      </c>
      <c r="BR319" s="6" t="s">
        <v>50</v>
      </c>
      <c r="BS319">
        <v>0</v>
      </c>
      <c r="BT319" s="6" t="s">
        <v>50</v>
      </c>
      <c r="BU319">
        <v>0</v>
      </c>
    </row>
    <row r="320" spans="1:73" ht="15.75" customHeight="1" x14ac:dyDescent="0.2">
      <c r="A320" s="3">
        <f t="shared" si="4"/>
        <v>2318</v>
      </c>
      <c r="B320" s="3" t="s">
        <v>3490</v>
      </c>
      <c r="C320" s="3" t="s">
        <v>3490</v>
      </c>
      <c r="D320" s="4" t="s">
        <v>3489</v>
      </c>
      <c r="E320" s="4" t="s">
        <v>2524</v>
      </c>
      <c r="F320" s="3">
        <v>0</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0</v>
      </c>
      <c r="Y320" s="3">
        <v>80</v>
      </c>
      <c r="Z320" s="3">
        <v>0</v>
      </c>
      <c r="AA320" s="3">
        <v>0</v>
      </c>
      <c r="AB320" s="3">
        <v>0</v>
      </c>
      <c r="AC320" s="3">
        <v>0</v>
      </c>
      <c r="AD320" s="3">
        <v>0</v>
      </c>
      <c r="AE320" s="3">
        <v>0</v>
      </c>
      <c r="AF320" s="3">
        <v>20</v>
      </c>
      <c r="AG320" s="3">
        <v>0</v>
      </c>
      <c r="AH320" s="3">
        <v>0</v>
      </c>
      <c r="AI320" s="3">
        <v>0</v>
      </c>
      <c r="AJ320" s="3">
        <v>0</v>
      </c>
      <c r="AK320" s="3">
        <v>0</v>
      </c>
      <c r="AL320" s="3" t="s">
        <v>31</v>
      </c>
      <c r="AM320" s="3" t="s">
        <v>347</v>
      </c>
      <c r="AN320" s="3" t="s">
        <v>3468</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c r="BP320" s="6" t="s">
        <v>50</v>
      </c>
      <c r="BQ320">
        <v>0</v>
      </c>
      <c r="BR320" s="6" t="s">
        <v>50</v>
      </c>
      <c r="BS320">
        <v>0</v>
      </c>
      <c r="BT320" s="6" t="s">
        <v>50</v>
      </c>
      <c r="BU320">
        <v>0</v>
      </c>
    </row>
    <row r="321" spans="1:73" s="43" customFormat="1" ht="15.75" customHeight="1" x14ac:dyDescent="0.2">
      <c r="A321" s="40">
        <f t="shared" si="4"/>
        <v>2319</v>
      </c>
      <c r="B321" s="40" t="s">
        <v>2082</v>
      </c>
      <c r="C321" s="40" t="s">
        <v>2714</v>
      </c>
      <c r="D321" s="45" t="s">
        <v>2072</v>
      </c>
      <c r="E321" s="45" t="s">
        <v>2525</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130</v>
      </c>
      <c r="Z321" s="40">
        <v>0</v>
      </c>
      <c r="AA321" s="40">
        <v>20</v>
      </c>
      <c r="AB321" s="40">
        <v>0</v>
      </c>
      <c r="AC321" s="40">
        <v>0</v>
      </c>
      <c r="AD321" s="40">
        <v>0</v>
      </c>
      <c r="AE321" s="40">
        <v>-100</v>
      </c>
      <c r="AF321" s="40">
        <v>50</v>
      </c>
      <c r="AG321" s="40">
        <v>30</v>
      </c>
      <c r="AH321" s="40">
        <v>50</v>
      </c>
      <c r="AI321" s="40">
        <v>0</v>
      </c>
      <c r="AJ321" s="40">
        <v>0</v>
      </c>
      <c r="AK321" s="40">
        <v>0</v>
      </c>
      <c r="AL321" s="40" t="s">
        <v>31</v>
      </c>
      <c r="AM321" s="40" t="s">
        <v>347</v>
      </c>
      <c r="AN321" s="40" t="s">
        <v>3469</v>
      </c>
      <c r="AO321" s="40" t="s">
        <v>2149</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c r="BP321" s="44" t="s">
        <v>3624</v>
      </c>
      <c r="BQ321" s="43">
        <v>30</v>
      </c>
      <c r="BR321" s="44" t="s">
        <v>50</v>
      </c>
      <c r="BS321" s="43">
        <v>0</v>
      </c>
      <c r="BT321" s="44" t="s">
        <v>50</v>
      </c>
      <c r="BU321" s="43">
        <v>0</v>
      </c>
    </row>
    <row r="322" spans="1:73" ht="15.75" customHeight="1" x14ac:dyDescent="0.2">
      <c r="A322" s="3">
        <f t="shared" si="4"/>
        <v>2320</v>
      </c>
      <c r="B322" s="3" t="s">
        <v>2789</v>
      </c>
      <c r="C322" s="3" t="s">
        <v>2789</v>
      </c>
      <c r="D322" s="27" t="s">
        <v>2693</v>
      </c>
      <c r="E322" s="5" t="s">
        <v>2356</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0</v>
      </c>
      <c r="AF322" s="3">
        <v>0</v>
      </c>
      <c r="AG322" s="3">
        <v>0</v>
      </c>
      <c r="AH322" s="3">
        <v>0</v>
      </c>
      <c r="AI322" s="3">
        <v>0</v>
      </c>
      <c r="AJ322" s="3">
        <v>0</v>
      </c>
      <c r="AK322" s="3">
        <v>0</v>
      </c>
      <c r="AL322" s="3" t="s">
        <v>31</v>
      </c>
      <c r="AM322" s="3" t="s">
        <v>347</v>
      </c>
      <c r="AN322" s="3" t="s">
        <v>2018</v>
      </c>
      <c r="AO322" s="3" t="s">
        <v>50</v>
      </c>
      <c r="AP322" s="3">
        <v>50</v>
      </c>
      <c r="AQ322" s="3">
        <v>2.1</v>
      </c>
      <c r="AR322">
        <v>3000</v>
      </c>
      <c r="AS322">
        <v>50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c r="BP322" s="6" t="s">
        <v>50</v>
      </c>
      <c r="BQ322">
        <v>0</v>
      </c>
      <c r="BR322" s="6" t="s">
        <v>50</v>
      </c>
      <c r="BS322">
        <v>0</v>
      </c>
      <c r="BT322" s="6" t="s">
        <v>50</v>
      </c>
      <c r="BU322">
        <v>0</v>
      </c>
    </row>
    <row r="323" spans="1:73" s="9" customFormat="1" ht="15.75" customHeight="1" x14ac:dyDescent="0.2">
      <c r="A323" s="7">
        <f t="shared" si="4"/>
        <v>2321</v>
      </c>
      <c r="B323" s="7" t="s">
        <v>348</v>
      </c>
      <c r="C323" s="7" t="s">
        <v>432</v>
      </c>
      <c r="D323" s="28" t="s">
        <v>2355</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2018</v>
      </c>
      <c r="AO323" s="7" t="s">
        <v>1850</v>
      </c>
      <c r="AP323" s="7">
        <v>30</v>
      </c>
      <c r="AQ323" s="7">
        <v>3</v>
      </c>
      <c r="AR323" s="9">
        <v>3000</v>
      </c>
      <c r="AS323" s="9">
        <v>50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c r="BP323" s="10" t="s">
        <v>50</v>
      </c>
      <c r="BQ323" s="9">
        <v>0</v>
      </c>
      <c r="BR323" s="10" t="s">
        <v>50</v>
      </c>
      <c r="BS323" s="9">
        <v>0</v>
      </c>
      <c r="BT323" s="10" t="s">
        <v>50</v>
      </c>
      <c r="BU323" s="9">
        <v>0</v>
      </c>
    </row>
    <row r="324" spans="1:73" s="23" customFormat="1" ht="15.75" customHeight="1" x14ac:dyDescent="0.2">
      <c r="A324" s="21">
        <f t="shared" si="4"/>
        <v>2322</v>
      </c>
      <c r="B324" s="21" t="s">
        <v>1358</v>
      </c>
      <c r="C324" s="21" t="s">
        <v>2289</v>
      </c>
      <c r="D324" s="22" t="s">
        <v>2290</v>
      </c>
      <c r="E324" s="22" t="s">
        <v>2282</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2015</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c r="BP324" s="24" t="s">
        <v>50</v>
      </c>
      <c r="BQ324" s="23">
        <v>0</v>
      </c>
      <c r="BR324" s="24" t="s">
        <v>50</v>
      </c>
      <c r="BS324" s="23">
        <v>0</v>
      </c>
      <c r="BT324" s="24" t="s">
        <v>50</v>
      </c>
      <c r="BU324" s="23">
        <v>0</v>
      </c>
    </row>
    <row r="325" spans="1:73" ht="15.75" customHeight="1" x14ac:dyDescent="0.2">
      <c r="A325" s="3">
        <f t="shared" si="4"/>
        <v>2323</v>
      </c>
      <c r="B325" s="3" t="s">
        <v>1358</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0</v>
      </c>
      <c r="AF325" s="3">
        <v>0</v>
      </c>
      <c r="AG325" s="3">
        <v>0</v>
      </c>
      <c r="AH325" s="3">
        <v>0</v>
      </c>
      <c r="AI325" s="3">
        <v>0</v>
      </c>
      <c r="AJ325" s="3">
        <v>0</v>
      </c>
      <c r="AK325" s="3">
        <v>0</v>
      </c>
      <c r="AL325" s="3" t="s">
        <v>31</v>
      </c>
      <c r="AM325" s="3" t="s">
        <v>341</v>
      </c>
      <c r="AN325" s="3" t="s">
        <v>2019</v>
      </c>
      <c r="AO325" s="3" t="s">
        <v>1850</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c r="BP325" s="6" t="s">
        <v>3624</v>
      </c>
      <c r="BQ325">
        <v>20</v>
      </c>
      <c r="BR325" s="6" t="s">
        <v>50</v>
      </c>
      <c r="BS325">
        <v>0</v>
      </c>
      <c r="BT325" s="6" t="s">
        <v>50</v>
      </c>
      <c r="BU325">
        <v>0</v>
      </c>
    </row>
    <row r="326" spans="1:73" ht="15.75" customHeight="1" x14ac:dyDescent="0.2">
      <c r="A326" s="3">
        <f t="shared" si="4"/>
        <v>2324</v>
      </c>
      <c r="B326" s="3" t="s">
        <v>1279</v>
      </c>
      <c r="C326" s="3" t="s">
        <v>360</v>
      </c>
      <c r="D326" s="4" t="s">
        <v>1280</v>
      </c>
      <c r="E326" s="4" t="s">
        <v>1070</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0</v>
      </c>
      <c r="AF326" s="3">
        <v>0</v>
      </c>
      <c r="AG326" s="3">
        <v>0</v>
      </c>
      <c r="AH326" s="3">
        <v>0</v>
      </c>
      <c r="AI326" s="3">
        <v>0</v>
      </c>
      <c r="AJ326" s="3">
        <v>0</v>
      </c>
      <c r="AK326" s="3">
        <v>0</v>
      </c>
      <c r="AL326" s="3" t="s">
        <v>31</v>
      </c>
      <c r="AM326" s="3" t="s">
        <v>341</v>
      </c>
      <c r="AN326" s="3" t="s">
        <v>2019</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c r="BP326" s="6" t="s">
        <v>3624</v>
      </c>
      <c r="BQ326">
        <v>20</v>
      </c>
      <c r="BR326" s="6" t="s">
        <v>50</v>
      </c>
      <c r="BS326">
        <v>0</v>
      </c>
      <c r="BT326" s="6" t="s">
        <v>50</v>
      </c>
      <c r="BU326">
        <v>0</v>
      </c>
    </row>
    <row r="327" spans="1:73" s="37" customFormat="1" ht="15.75" customHeight="1" x14ac:dyDescent="0.2">
      <c r="A327" s="34">
        <f t="shared" si="4"/>
        <v>2325</v>
      </c>
      <c r="B327" s="34" t="s">
        <v>3425</v>
      </c>
      <c r="C327" s="34" t="s">
        <v>340</v>
      </c>
      <c r="D327" s="36" t="s">
        <v>3374</v>
      </c>
      <c r="E327" s="36" t="s">
        <v>3598</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-20</v>
      </c>
      <c r="Y327" s="34">
        <v>120</v>
      </c>
      <c r="Z327" s="34">
        <v>0</v>
      </c>
      <c r="AA327" s="34">
        <v>0</v>
      </c>
      <c r="AB327" s="34">
        <v>0</v>
      </c>
      <c r="AC327" s="34">
        <v>0</v>
      </c>
      <c r="AD327" s="34">
        <v>0</v>
      </c>
      <c r="AE327" s="34">
        <v>10</v>
      </c>
      <c r="AF327" s="34">
        <v>0</v>
      </c>
      <c r="AG327" s="34">
        <v>0</v>
      </c>
      <c r="AH327" s="34">
        <v>0</v>
      </c>
      <c r="AI327" s="34">
        <v>0</v>
      </c>
      <c r="AJ327" s="34">
        <v>0</v>
      </c>
      <c r="AK327" s="34">
        <v>0</v>
      </c>
      <c r="AL327" s="34" t="s">
        <v>31</v>
      </c>
      <c r="AM327" s="34" t="s">
        <v>341</v>
      </c>
      <c r="AN327" s="34" t="s">
        <v>2019</v>
      </c>
      <c r="AO327" s="34" t="s">
        <v>1850</v>
      </c>
      <c r="AP327" s="34">
        <v>40</v>
      </c>
      <c r="AQ327" s="34">
        <v>2.5</v>
      </c>
      <c r="AR327" s="37">
        <v>4000</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c r="BP327" s="38" t="s">
        <v>3624</v>
      </c>
      <c r="BQ327" s="37">
        <v>20</v>
      </c>
      <c r="BR327" s="38" t="s">
        <v>50</v>
      </c>
      <c r="BS327" s="37">
        <v>0</v>
      </c>
      <c r="BT327" s="38" t="s">
        <v>50</v>
      </c>
      <c r="BU327" s="37">
        <v>0</v>
      </c>
    </row>
    <row r="328" spans="1:73" s="23" customFormat="1" ht="15.75" customHeight="1" x14ac:dyDescent="0.2">
      <c r="A328" s="21">
        <f t="shared" si="4"/>
        <v>2326</v>
      </c>
      <c r="B328" s="21" t="s">
        <v>74</v>
      </c>
      <c r="C328" s="21" t="s">
        <v>2291</v>
      </c>
      <c r="D328" s="22" t="s">
        <v>2292</v>
      </c>
      <c r="E328" s="22" t="s">
        <v>2282</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2015</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c r="BP328" s="24" t="s">
        <v>50</v>
      </c>
      <c r="BQ328" s="23">
        <v>0</v>
      </c>
      <c r="BR328" s="24" t="s">
        <v>50</v>
      </c>
      <c r="BS328" s="23">
        <v>0</v>
      </c>
      <c r="BT328" s="24" t="s">
        <v>50</v>
      </c>
      <c r="BU328" s="23">
        <v>0</v>
      </c>
    </row>
    <row r="329" spans="1:73"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2020</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c r="BP329" s="6" t="s">
        <v>50</v>
      </c>
      <c r="BQ329">
        <v>0</v>
      </c>
      <c r="BR329" s="6" t="s">
        <v>50</v>
      </c>
      <c r="BS329">
        <v>0</v>
      </c>
      <c r="BT329" s="6" t="s">
        <v>3635</v>
      </c>
      <c r="BU329">
        <v>10</v>
      </c>
    </row>
    <row r="330" spans="1:73" ht="15.75" customHeight="1" x14ac:dyDescent="0.2">
      <c r="A330" s="3">
        <f t="shared" si="4"/>
        <v>2328</v>
      </c>
      <c r="B330" s="3" t="s">
        <v>950</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2020</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c r="BP330" s="6" t="s">
        <v>50</v>
      </c>
      <c r="BQ330">
        <v>0</v>
      </c>
      <c r="BR330" s="6" t="s">
        <v>50</v>
      </c>
      <c r="BS330">
        <v>0</v>
      </c>
      <c r="BT330" s="6" t="s">
        <v>3635</v>
      </c>
      <c r="BU330">
        <v>10</v>
      </c>
    </row>
    <row r="331" spans="1:73" ht="15.75" customHeight="1" x14ac:dyDescent="0.2">
      <c r="A331" s="3">
        <f t="shared" si="4"/>
        <v>2329</v>
      </c>
      <c r="B331" s="3" t="s">
        <v>1375</v>
      </c>
      <c r="C331" s="3" t="s">
        <v>1324</v>
      </c>
      <c r="D331" s="4" t="s">
        <v>1322</v>
      </c>
      <c r="E331" s="4" t="s">
        <v>1323</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2020</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c r="BP331" s="6" t="s">
        <v>50</v>
      </c>
      <c r="BQ331">
        <v>0</v>
      </c>
      <c r="BR331" s="6" t="s">
        <v>50</v>
      </c>
      <c r="BS331">
        <v>0</v>
      </c>
      <c r="BT331" s="6" t="s">
        <v>3635</v>
      </c>
      <c r="BU331">
        <v>10</v>
      </c>
    </row>
    <row r="332" spans="1:73" ht="15.75" customHeight="1" x14ac:dyDescent="0.2">
      <c r="A332" s="3">
        <f t="shared" si="4"/>
        <v>2330</v>
      </c>
      <c r="B332" s="3" t="s">
        <v>1288</v>
      </c>
      <c r="C332" s="3" t="s">
        <v>1255</v>
      </c>
      <c r="D332" s="4" t="s">
        <v>1264</v>
      </c>
      <c r="E332" s="4" t="s">
        <v>1281</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2020</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c r="BP332" s="6" t="s">
        <v>50</v>
      </c>
      <c r="BQ332">
        <v>0</v>
      </c>
      <c r="BR332" s="6" t="s">
        <v>50</v>
      </c>
      <c r="BS332">
        <v>0</v>
      </c>
      <c r="BT332" s="6" t="s">
        <v>3635</v>
      </c>
      <c r="BU332">
        <v>10</v>
      </c>
    </row>
    <row r="333" spans="1:73" ht="15.75" customHeight="1" x14ac:dyDescent="0.2">
      <c r="A333" s="3">
        <f t="shared" si="4"/>
        <v>2331</v>
      </c>
      <c r="B333" s="3" t="s">
        <v>1289</v>
      </c>
      <c r="C333" s="3" t="s">
        <v>1256</v>
      </c>
      <c r="D333" s="4" t="s">
        <v>1265</v>
      </c>
      <c r="E333" s="4" t="s">
        <v>1282</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2020</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c r="BP333" s="6" t="s">
        <v>50</v>
      </c>
      <c r="BQ333">
        <v>0</v>
      </c>
      <c r="BR333" s="6" t="s">
        <v>50</v>
      </c>
      <c r="BS333">
        <v>0</v>
      </c>
      <c r="BT333" s="6" t="s">
        <v>3635</v>
      </c>
      <c r="BU333">
        <v>10</v>
      </c>
    </row>
    <row r="334" spans="1:73" ht="15.75" customHeight="1" x14ac:dyDescent="0.2">
      <c r="A334" s="3">
        <f t="shared" si="4"/>
        <v>2332</v>
      </c>
      <c r="B334" s="3" t="s">
        <v>1285</v>
      </c>
      <c r="C334" s="3" t="s">
        <v>1257</v>
      </c>
      <c r="D334" s="4" t="s">
        <v>1266</v>
      </c>
      <c r="E334" s="4" t="s">
        <v>1283</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2020</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c r="BP334" s="6" t="s">
        <v>50</v>
      </c>
      <c r="BQ334">
        <v>0</v>
      </c>
      <c r="BR334" s="6" t="s">
        <v>50</v>
      </c>
      <c r="BS334">
        <v>0</v>
      </c>
      <c r="BT334" s="6" t="s">
        <v>3635</v>
      </c>
      <c r="BU334">
        <v>10</v>
      </c>
    </row>
    <row r="335" spans="1:73" ht="15.75" customHeight="1" x14ac:dyDescent="0.2">
      <c r="A335" s="3">
        <f t="shared" si="4"/>
        <v>2333</v>
      </c>
      <c r="B335" s="3" t="s">
        <v>1287</v>
      </c>
      <c r="C335" s="3" t="s">
        <v>1258</v>
      </c>
      <c r="D335" s="4" t="s">
        <v>1267</v>
      </c>
      <c r="E335" s="4" t="s">
        <v>1284</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2020</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c r="BP335" s="6" t="s">
        <v>50</v>
      </c>
      <c r="BQ335">
        <v>0</v>
      </c>
      <c r="BR335" s="6" t="s">
        <v>50</v>
      </c>
      <c r="BS335">
        <v>0</v>
      </c>
      <c r="BT335" s="6" t="s">
        <v>3635</v>
      </c>
      <c r="BU335">
        <v>10</v>
      </c>
    </row>
    <row r="336" spans="1:73" ht="15.75" customHeight="1" x14ac:dyDescent="0.2">
      <c r="A336" s="3">
        <f t="shared" si="4"/>
        <v>2334</v>
      </c>
      <c r="B336" s="3" t="s">
        <v>1420</v>
      </c>
      <c r="C336" s="3" t="s">
        <v>1327</v>
      </c>
      <c r="D336" s="4" t="s">
        <v>1325</v>
      </c>
      <c r="E336" s="4" t="s">
        <v>1326</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2020</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c r="BP336" s="6" t="s">
        <v>50</v>
      </c>
      <c r="BQ336">
        <v>0</v>
      </c>
      <c r="BR336" s="6" t="s">
        <v>50</v>
      </c>
      <c r="BS336">
        <v>0</v>
      </c>
      <c r="BT336" s="6" t="s">
        <v>3635</v>
      </c>
      <c r="BU336">
        <v>10</v>
      </c>
    </row>
    <row r="337" spans="1:73" ht="15.75" customHeight="1" x14ac:dyDescent="0.2">
      <c r="A337" s="3">
        <f t="shared" ref="A337:A391" si="5">ROW()+1998</f>
        <v>2335</v>
      </c>
      <c r="B337" s="3" t="s">
        <v>1603</v>
      </c>
      <c r="C337" s="3" t="s">
        <v>1604</v>
      </c>
      <c r="D337" s="4" t="s">
        <v>1605</v>
      </c>
      <c r="E337" s="4" t="s">
        <v>1606</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2020</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c r="BP337" s="6" t="s">
        <v>50</v>
      </c>
      <c r="BQ337">
        <v>0</v>
      </c>
      <c r="BR337" s="6" t="s">
        <v>50</v>
      </c>
      <c r="BS337">
        <v>0</v>
      </c>
      <c r="BT337" s="6" t="s">
        <v>3635</v>
      </c>
      <c r="BU337">
        <v>10</v>
      </c>
    </row>
    <row r="338" spans="1:73" ht="15.75" customHeight="1" x14ac:dyDescent="0.2">
      <c r="A338" s="3">
        <f t="shared" si="5"/>
        <v>2336</v>
      </c>
      <c r="B338" s="3" t="s">
        <v>1103</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2020</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c r="BP338" s="6" t="s">
        <v>3624</v>
      </c>
      <c r="BQ338">
        <v>5</v>
      </c>
      <c r="BR338" s="6" t="s">
        <v>50</v>
      </c>
      <c r="BS338">
        <v>0</v>
      </c>
      <c r="BT338" s="6" t="s">
        <v>3635</v>
      </c>
      <c r="BU338">
        <v>10</v>
      </c>
    </row>
    <row r="339" spans="1:73" ht="15.75" customHeight="1" x14ac:dyDescent="0.2">
      <c r="A339" s="3">
        <f t="shared" si="5"/>
        <v>2337</v>
      </c>
      <c r="B339" s="3" t="s">
        <v>1104</v>
      </c>
      <c r="C339" s="3" t="s">
        <v>170</v>
      </c>
      <c r="D339" s="4" t="s">
        <v>3110</v>
      </c>
      <c r="E339" s="4" t="s">
        <v>1079</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2020</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c r="BP339" s="6" t="s">
        <v>3624</v>
      </c>
      <c r="BQ339">
        <v>10</v>
      </c>
      <c r="BR339" s="6" t="s">
        <v>50</v>
      </c>
      <c r="BS339">
        <v>0</v>
      </c>
      <c r="BT339" s="6" t="s">
        <v>3635</v>
      </c>
      <c r="BU339">
        <v>30</v>
      </c>
    </row>
    <row r="340" spans="1:73" ht="15.75" customHeight="1" x14ac:dyDescent="0.2">
      <c r="A340" s="3">
        <f t="shared" si="5"/>
        <v>2338</v>
      </c>
      <c r="B340" s="3" t="s">
        <v>1286</v>
      </c>
      <c r="C340" s="3" t="s">
        <v>1040</v>
      </c>
      <c r="D340" s="4" t="s">
        <v>1041</v>
      </c>
      <c r="E340" s="4" t="s">
        <v>1080</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2020</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c r="BP340" s="6" t="s">
        <v>3624</v>
      </c>
      <c r="BQ340">
        <v>10</v>
      </c>
      <c r="BR340" s="6" t="s">
        <v>50</v>
      </c>
      <c r="BS340">
        <v>0</v>
      </c>
      <c r="BT340" s="6" t="s">
        <v>3635</v>
      </c>
      <c r="BU340">
        <v>10</v>
      </c>
    </row>
    <row r="341" spans="1:73" ht="15.75" customHeight="1" x14ac:dyDescent="0.2">
      <c r="A341" s="3">
        <f t="shared" si="5"/>
        <v>2339</v>
      </c>
      <c r="B341" s="3" t="s">
        <v>1050</v>
      </c>
      <c r="C341" s="3" t="s">
        <v>1050</v>
      </c>
      <c r="D341" s="4" t="s">
        <v>1049</v>
      </c>
      <c r="E341" s="4" t="s">
        <v>1051</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2021</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c r="BP341" s="6" t="s">
        <v>3624</v>
      </c>
      <c r="BQ341">
        <v>10</v>
      </c>
      <c r="BR341" s="6" t="s">
        <v>50</v>
      </c>
      <c r="BS341">
        <v>0</v>
      </c>
      <c r="BT341" s="6" t="s">
        <v>3635</v>
      </c>
      <c r="BU341">
        <v>15</v>
      </c>
    </row>
    <row r="342" spans="1:73" ht="15.75" customHeight="1" x14ac:dyDescent="0.2">
      <c r="A342" s="3">
        <f t="shared" si="5"/>
        <v>2340</v>
      </c>
      <c r="B342" s="3" t="s">
        <v>3060</v>
      </c>
      <c r="C342" s="3" t="s">
        <v>3060</v>
      </c>
      <c r="D342" s="4" t="s">
        <v>3120</v>
      </c>
      <c r="E342" s="4" t="s">
        <v>3061</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10</v>
      </c>
      <c r="AG342" s="3">
        <v>0</v>
      </c>
      <c r="AH342" s="3">
        <v>0</v>
      </c>
      <c r="AI342" s="3">
        <v>0</v>
      </c>
      <c r="AJ342" s="3">
        <v>0</v>
      </c>
      <c r="AK342" s="3">
        <v>0</v>
      </c>
      <c r="AL342" s="3" t="s">
        <v>31</v>
      </c>
      <c r="AM342" s="3" t="s">
        <v>77</v>
      </c>
      <c r="AN342" s="3" t="s">
        <v>3104</v>
      </c>
      <c r="AO342" s="3" t="s">
        <v>50</v>
      </c>
      <c r="AP342" s="3">
        <v>30</v>
      </c>
      <c r="AQ342" s="3">
        <v>1.4</v>
      </c>
      <c r="AR342">
        <v>300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c r="BP342" s="6" t="s">
        <v>3624</v>
      </c>
      <c r="BQ342">
        <v>10</v>
      </c>
      <c r="BR342" s="6" t="s">
        <v>50</v>
      </c>
      <c r="BS342">
        <v>0</v>
      </c>
      <c r="BT342" s="6" t="s">
        <v>3635</v>
      </c>
      <c r="BU342">
        <v>10</v>
      </c>
    </row>
    <row r="343" spans="1:73" ht="15.75" customHeight="1" x14ac:dyDescent="0.2">
      <c r="A343" s="3">
        <f t="shared" si="5"/>
        <v>2341</v>
      </c>
      <c r="B343" s="3" t="s">
        <v>3062</v>
      </c>
      <c r="C343" s="3" t="s">
        <v>3062</v>
      </c>
      <c r="D343" s="4" t="s">
        <v>3121</v>
      </c>
      <c r="E343" s="4" t="s">
        <v>3063</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10</v>
      </c>
      <c r="AG343" s="3">
        <v>0</v>
      </c>
      <c r="AH343" s="3">
        <v>0</v>
      </c>
      <c r="AI343" s="3">
        <v>0</v>
      </c>
      <c r="AJ343" s="3">
        <v>0</v>
      </c>
      <c r="AK343" s="3">
        <v>0</v>
      </c>
      <c r="AL343" s="3" t="s">
        <v>31</v>
      </c>
      <c r="AM343" s="3" t="s">
        <v>77</v>
      </c>
      <c r="AN343" s="3" t="s">
        <v>3104</v>
      </c>
      <c r="AO343" s="3" t="s">
        <v>50</v>
      </c>
      <c r="AP343" s="3">
        <v>30</v>
      </c>
      <c r="AQ343" s="3">
        <v>1.4</v>
      </c>
      <c r="AR343">
        <v>300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c r="BP343" s="6" t="s">
        <v>3624</v>
      </c>
      <c r="BQ343">
        <v>10</v>
      </c>
      <c r="BR343" s="6" t="s">
        <v>50</v>
      </c>
      <c r="BS343">
        <v>0</v>
      </c>
      <c r="BT343" s="6" t="s">
        <v>3635</v>
      </c>
      <c r="BU343">
        <v>10</v>
      </c>
    </row>
    <row r="344" spans="1:73" ht="15.75" customHeight="1" x14ac:dyDescent="0.2">
      <c r="A344" s="3">
        <f t="shared" si="5"/>
        <v>2342</v>
      </c>
      <c r="B344" s="3" t="s">
        <v>3064</v>
      </c>
      <c r="C344" s="3" t="s">
        <v>3064</v>
      </c>
      <c r="D344" s="4" t="s">
        <v>3122</v>
      </c>
      <c r="E344" s="4" t="s">
        <v>3107</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10</v>
      </c>
      <c r="AG344" s="3">
        <v>0</v>
      </c>
      <c r="AH344" s="3">
        <v>0</v>
      </c>
      <c r="AI344" s="3">
        <v>0</v>
      </c>
      <c r="AJ344" s="3">
        <v>0</v>
      </c>
      <c r="AK344" s="3">
        <v>0</v>
      </c>
      <c r="AL344" s="3" t="s">
        <v>31</v>
      </c>
      <c r="AM344" s="3" t="s">
        <v>77</v>
      </c>
      <c r="AN344" s="3" t="s">
        <v>3104</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c r="BP344" s="6" t="s">
        <v>3624</v>
      </c>
      <c r="BQ344">
        <v>10</v>
      </c>
      <c r="BR344" s="6" t="s">
        <v>50</v>
      </c>
      <c r="BS344">
        <v>0</v>
      </c>
      <c r="BT344" s="6" t="s">
        <v>3635</v>
      </c>
      <c r="BU344">
        <v>10</v>
      </c>
    </row>
    <row r="345" spans="1:73" ht="15.75" customHeight="1" x14ac:dyDescent="0.2">
      <c r="A345" s="3">
        <f t="shared" si="5"/>
        <v>2343</v>
      </c>
      <c r="B345" s="3" t="s">
        <v>3065</v>
      </c>
      <c r="C345" s="3" t="s">
        <v>3065</v>
      </c>
      <c r="D345" s="4" t="s">
        <v>3124</v>
      </c>
      <c r="E345" s="4" t="s">
        <v>3108</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10</v>
      </c>
      <c r="AG345" s="3">
        <v>0</v>
      </c>
      <c r="AH345" s="3">
        <v>0</v>
      </c>
      <c r="AI345" s="3">
        <v>0</v>
      </c>
      <c r="AJ345" s="3">
        <v>0</v>
      </c>
      <c r="AK345" s="3">
        <v>0</v>
      </c>
      <c r="AL345" s="3" t="s">
        <v>31</v>
      </c>
      <c r="AM345" s="3" t="s">
        <v>77</v>
      </c>
      <c r="AN345" s="3" t="s">
        <v>3104</v>
      </c>
      <c r="AO345" s="3" t="s">
        <v>50</v>
      </c>
      <c r="AP345" s="3">
        <v>30</v>
      </c>
      <c r="AQ345" s="3">
        <v>1.4</v>
      </c>
      <c r="AR345">
        <v>300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c r="BP345" s="6" t="s">
        <v>3624</v>
      </c>
      <c r="BQ345">
        <v>10</v>
      </c>
      <c r="BR345" s="6" t="s">
        <v>50</v>
      </c>
      <c r="BS345">
        <v>0</v>
      </c>
      <c r="BT345" s="6" t="s">
        <v>3635</v>
      </c>
      <c r="BU345">
        <v>10</v>
      </c>
    </row>
    <row r="346" spans="1:73" ht="15.75" customHeight="1" x14ac:dyDescent="0.2">
      <c r="A346" s="3">
        <f t="shared" si="5"/>
        <v>2344</v>
      </c>
      <c r="B346" s="3" t="s">
        <v>3066</v>
      </c>
      <c r="C346" s="3" t="s">
        <v>3066</v>
      </c>
      <c r="D346" s="4" t="s">
        <v>3377</v>
      </c>
      <c r="E346" s="4" t="s">
        <v>3109</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10</v>
      </c>
      <c r="AG346" s="3">
        <v>0</v>
      </c>
      <c r="AH346" s="3">
        <v>0</v>
      </c>
      <c r="AI346" s="3">
        <v>0</v>
      </c>
      <c r="AJ346" s="3">
        <v>0</v>
      </c>
      <c r="AK346" s="3">
        <v>0</v>
      </c>
      <c r="AL346" s="3" t="s">
        <v>31</v>
      </c>
      <c r="AM346" s="3" t="s">
        <v>77</v>
      </c>
      <c r="AN346" s="3" t="s">
        <v>3104</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c r="BP346" s="6" t="s">
        <v>3624</v>
      </c>
      <c r="BQ346">
        <v>10</v>
      </c>
      <c r="BR346" s="6" t="s">
        <v>50</v>
      </c>
      <c r="BS346">
        <v>0</v>
      </c>
      <c r="BT346" s="6" t="s">
        <v>3635</v>
      </c>
      <c r="BU346">
        <v>10</v>
      </c>
    </row>
    <row r="347" spans="1:73" ht="15.75" customHeight="1" x14ac:dyDescent="0.2">
      <c r="A347" s="3">
        <f t="shared" si="5"/>
        <v>2345</v>
      </c>
      <c r="B347" s="3" t="s">
        <v>3111</v>
      </c>
      <c r="C347" s="3" t="s">
        <v>3067</v>
      </c>
      <c r="D347" s="4" t="s">
        <v>3123</v>
      </c>
      <c r="E347" s="4" t="s">
        <v>3068</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10</v>
      </c>
      <c r="AG347" s="3">
        <v>0</v>
      </c>
      <c r="AH347" s="3">
        <v>0</v>
      </c>
      <c r="AI347" s="3">
        <v>0</v>
      </c>
      <c r="AJ347" s="3">
        <v>0</v>
      </c>
      <c r="AK347" s="3">
        <v>0</v>
      </c>
      <c r="AL347" s="3" t="s">
        <v>31</v>
      </c>
      <c r="AM347" s="3" t="s">
        <v>77</v>
      </c>
      <c r="AN347" s="3" t="s">
        <v>3104</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c r="BP347" s="6" t="s">
        <v>3624</v>
      </c>
      <c r="BQ347">
        <v>10</v>
      </c>
      <c r="BR347" s="6" t="s">
        <v>50</v>
      </c>
      <c r="BS347">
        <v>0</v>
      </c>
      <c r="BT347" s="6" t="s">
        <v>3635</v>
      </c>
      <c r="BU347">
        <v>10</v>
      </c>
    </row>
    <row r="348" spans="1:73" ht="15.75" customHeight="1" x14ac:dyDescent="0.2">
      <c r="A348" s="3">
        <f t="shared" si="5"/>
        <v>2346</v>
      </c>
      <c r="B348" s="3" t="s">
        <v>1599</v>
      </c>
      <c r="C348" s="3" t="s">
        <v>1595</v>
      </c>
      <c r="D348" s="4" t="s">
        <v>1638</v>
      </c>
      <c r="E348" s="4" t="s">
        <v>1597</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20</v>
      </c>
      <c r="AG348" s="3">
        <v>0</v>
      </c>
      <c r="AH348" s="3">
        <v>0</v>
      </c>
      <c r="AI348" s="3">
        <v>0</v>
      </c>
      <c r="AJ348" s="3">
        <v>0</v>
      </c>
      <c r="AK348" s="3">
        <v>0</v>
      </c>
      <c r="AL348" s="3" t="s">
        <v>31</v>
      </c>
      <c r="AM348" s="3" t="s">
        <v>77</v>
      </c>
      <c r="AN348" s="3" t="s">
        <v>2020</v>
      </c>
      <c r="AO348" s="3" t="s">
        <v>50</v>
      </c>
      <c r="AP348" s="3">
        <v>30</v>
      </c>
      <c r="AQ348" s="3">
        <v>1.5</v>
      </c>
      <c r="AR348">
        <v>350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c r="BP348" s="6" t="s">
        <v>50</v>
      </c>
      <c r="BQ348">
        <v>0</v>
      </c>
      <c r="BR348" s="6" t="s">
        <v>50</v>
      </c>
      <c r="BS348">
        <v>0</v>
      </c>
      <c r="BT348" s="6" t="s">
        <v>3635</v>
      </c>
      <c r="BU348">
        <v>20</v>
      </c>
    </row>
    <row r="349" spans="1:73" ht="15.75" customHeight="1" x14ac:dyDescent="0.2">
      <c r="A349" s="3">
        <f t="shared" si="5"/>
        <v>2347</v>
      </c>
      <c r="B349" s="3" t="s">
        <v>1600</v>
      </c>
      <c r="C349" s="3" t="s">
        <v>1596</v>
      </c>
      <c r="D349" s="4" t="s">
        <v>1637</v>
      </c>
      <c r="E349" s="4" t="s">
        <v>1598</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20</v>
      </c>
      <c r="AG349" s="3">
        <v>0</v>
      </c>
      <c r="AH349" s="3">
        <v>0</v>
      </c>
      <c r="AI349" s="3">
        <v>0</v>
      </c>
      <c r="AJ349" s="3">
        <v>0</v>
      </c>
      <c r="AK349" s="3">
        <v>0</v>
      </c>
      <c r="AL349" s="3" t="s">
        <v>31</v>
      </c>
      <c r="AM349" s="3" t="s">
        <v>77</v>
      </c>
      <c r="AN349" s="3" t="s">
        <v>2020</v>
      </c>
      <c r="AO349" s="3" t="s">
        <v>50</v>
      </c>
      <c r="AP349" s="3">
        <v>30</v>
      </c>
      <c r="AQ349" s="3">
        <v>1.7</v>
      </c>
      <c r="AR349">
        <v>350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c r="BP349" s="6" t="s">
        <v>50</v>
      </c>
      <c r="BQ349">
        <v>0</v>
      </c>
      <c r="BR349" s="6" t="s">
        <v>50</v>
      </c>
      <c r="BS349">
        <v>0</v>
      </c>
      <c r="BT349" s="6" t="s">
        <v>3635</v>
      </c>
      <c r="BU349">
        <v>20</v>
      </c>
    </row>
    <row r="350" spans="1:73" s="23" customFormat="1" ht="15.75" customHeight="1" x14ac:dyDescent="0.2">
      <c r="A350" s="21">
        <f t="shared" si="5"/>
        <v>2348</v>
      </c>
      <c r="B350" s="21" t="s">
        <v>97</v>
      </c>
      <c r="C350" s="21" t="s">
        <v>3376</v>
      </c>
      <c r="D350" s="22" t="s">
        <v>3375</v>
      </c>
      <c r="E350" s="22" t="s">
        <v>2282</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2631</v>
      </c>
      <c r="AN350" s="21" t="s">
        <v>2632</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c r="BP350" s="24" t="s">
        <v>50</v>
      </c>
      <c r="BQ350" s="23">
        <v>0</v>
      </c>
      <c r="BR350" s="24" t="s">
        <v>50</v>
      </c>
      <c r="BS350" s="23">
        <v>0</v>
      </c>
      <c r="BT350" s="24" t="s">
        <v>50</v>
      </c>
      <c r="BU350" s="23">
        <v>0</v>
      </c>
    </row>
    <row r="351" spans="1:73" ht="15.75" customHeight="1" x14ac:dyDescent="0.2">
      <c r="A351" s="3">
        <f t="shared" si="5"/>
        <v>2349</v>
      </c>
      <c r="B351" s="3" t="s">
        <v>2630</v>
      </c>
      <c r="C351" s="3" t="s">
        <v>2630</v>
      </c>
      <c r="D351" s="4" t="s">
        <v>2662</v>
      </c>
      <c r="E351" s="4" t="s">
        <v>2629</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10</v>
      </c>
      <c r="AG351" s="3">
        <v>0</v>
      </c>
      <c r="AH351" s="3">
        <v>0</v>
      </c>
      <c r="AI351" s="3">
        <v>0</v>
      </c>
      <c r="AJ351" s="3">
        <v>0</v>
      </c>
      <c r="AK351" s="3">
        <v>0</v>
      </c>
      <c r="AL351" s="3" t="s">
        <v>31</v>
      </c>
      <c r="AM351" s="3" t="s">
        <v>2631</v>
      </c>
      <c r="AN351" s="3" t="s">
        <v>2632</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c r="BP351" s="6" t="s">
        <v>3623</v>
      </c>
      <c r="BQ351">
        <v>30</v>
      </c>
      <c r="BR351" s="6" t="s">
        <v>3624</v>
      </c>
      <c r="BS351">
        <v>5</v>
      </c>
      <c r="BT351" s="6" t="s">
        <v>3635</v>
      </c>
      <c r="BU351">
        <v>5</v>
      </c>
    </row>
    <row r="352" spans="1:73" ht="15.75" customHeight="1" x14ac:dyDescent="0.2">
      <c r="A352" s="3">
        <f t="shared" si="5"/>
        <v>2350</v>
      </c>
      <c r="B352" s="3" t="s">
        <v>2665</v>
      </c>
      <c r="C352" s="3" t="s">
        <v>2665</v>
      </c>
      <c r="D352" s="4" t="s">
        <v>2663</v>
      </c>
      <c r="E352" s="4" t="s">
        <v>2664</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10</v>
      </c>
      <c r="AG352" s="3">
        <v>0</v>
      </c>
      <c r="AH352" s="3">
        <v>0</v>
      </c>
      <c r="AI352" s="3">
        <v>0</v>
      </c>
      <c r="AJ352" s="3">
        <v>0</v>
      </c>
      <c r="AK352" s="3">
        <v>0</v>
      </c>
      <c r="AL352" s="3" t="s">
        <v>31</v>
      </c>
      <c r="AM352" s="3" t="s">
        <v>2631</v>
      </c>
      <c r="AN352" s="3" t="s">
        <v>2632</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c r="BP352" s="6" t="s">
        <v>3623</v>
      </c>
      <c r="BQ352">
        <v>30</v>
      </c>
      <c r="BR352" s="6" t="s">
        <v>3624</v>
      </c>
      <c r="BS352">
        <v>5</v>
      </c>
      <c r="BT352" s="6" t="s">
        <v>3635</v>
      </c>
      <c r="BU352">
        <v>10</v>
      </c>
    </row>
    <row r="353" spans="1:73" ht="15.75" customHeight="1" x14ac:dyDescent="0.2">
      <c r="A353" s="3">
        <f t="shared" si="5"/>
        <v>2351</v>
      </c>
      <c r="B353" s="3" t="s">
        <v>2676</v>
      </c>
      <c r="C353" s="3" t="s">
        <v>2676</v>
      </c>
      <c r="D353" s="4" t="s">
        <v>2675</v>
      </c>
      <c r="E353" s="4" t="s">
        <v>2677</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10</v>
      </c>
      <c r="AG353" s="3">
        <v>0</v>
      </c>
      <c r="AH353" s="3">
        <v>0</v>
      </c>
      <c r="AI353" s="3">
        <v>0</v>
      </c>
      <c r="AJ353" s="3">
        <v>0</v>
      </c>
      <c r="AK353" s="3">
        <v>0</v>
      </c>
      <c r="AL353" s="3" t="s">
        <v>31</v>
      </c>
      <c r="AM353" s="3" t="s">
        <v>2631</v>
      </c>
      <c r="AN353" s="3" t="s">
        <v>2632</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c r="BP353" s="6" t="s">
        <v>3623</v>
      </c>
      <c r="BQ353">
        <v>30</v>
      </c>
      <c r="BR353" s="6" t="s">
        <v>3624</v>
      </c>
      <c r="BS353">
        <v>5</v>
      </c>
      <c r="BT353" s="6" t="s">
        <v>3635</v>
      </c>
      <c r="BU353">
        <v>10</v>
      </c>
    </row>
    <row r="354" spans="1:73" ht="15.75" customHeight="1" x14ac:dyDescent="0.2">
      <c r="A354" s="3">
        <f t="shared" si="5"/>
        <v>2352</v>
      </c>
      <c r="B354" s="3" t="s">
        <v>2668</v>
      </c>
      <c r="C354" s="3" t="s">
        <v>2668</v>
      </c>
      <c r="D354" s="4" t="s">
        <v>2666</v>
      </c>
      <c r="E354" s="4" t="s">
        <v>2667</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10</v>
      </c>
      <c r="AG354" s="3">
        <v>0</v>
      </c>
      <c r="AH354" s="3">
        <v>0</v>
      </c>
      <c r="AI354" s="3">
        <v>0</v>
      </c>
      <c r="AJ354" s="3">
        <v>0</v>
      </c>
      <c r="AK354" s="3">
        <v>0</v>
      </c>
      <c r="AL354" s="3" t="s">
        <v>31</v>
      </c>
      <c r="AM354" s="3" t="s">
        <v>2631</v>
      </c>
      <c r="AN354" s="3" t="s">
        <v>2632</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c r="BP354" s="6" t="s">
        <v>3623</v>
      </c>
      <c r="BQ354">
        <v>30</v>
      </c>
      <c r="BR354" s="6" t="s">
        <v>3624</v>
      </c>
      <c r="BS354">
        <v>5</v>
      </c>
      <c r="BT354" s="6" t="s">
        <v>3635</v>
      </c>
      <c r="BU354">
        <v>10</v>
      </c>
    </row>
    <row r="355" spans="1:73" ht="15.75" customHeight="1" x14ac:dyDescent="0.2">
      <c r="A355" s="3">
        <f t="shared" si="5"/>
        <v>2353</v>
      </c>
      <c r="B355" s="3" t="s">
        <v>2671</v>
      </c>
      <c r="C355" s="3" t="s">
        <v>2671</v>
      </c>
      <c r="D355" s="4" t="s">
        <v>2669</v>
      </c>
      <c r="E355" s="4" t="s">
        <v>2670</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10</v>
      </c>
      <c r="AG355" s="3">
        <v>0</v>
      </c>
      <c r="AH355" s="3">
        <v>0</v>
      </c>
      <c r="AI355" s="3">
        <v>0</v>
      </c>
      <c r="AJ355" s="3">
        <v>0</v>
      </c>
      <c r="AK355" s="3">
        <v>0</v>
      </c>
      <c r="AL355" s="3" t="s">
        <v>31</v>
      </c>
      <c r="AM355" s="3" t="s">
        <v>2631</v>
      </c>
      <c r="AN355" s="3" t="s">
        <v>2632</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c r="BP355" s="6" t="s">
        <v>3623</v>
      </c>
      <c r="BQ355">
        <v>30</v>
      </c>
      <c r="BR355" s="6" t="s">
        <v>3624</v>
      </c>
      <c r="BS355">
        <v>5</v>
      </c>
      <c r="BT355" s="6" t="s">
        <v>3635</v>
      </c>
      <c r="BU355">
        <v>10</v>
      </c>
    </row>
    <row r="356" spans="1:73" ht="15.75" customHeight="1" x14ac:dyDescent="0.2">
      <c r="A356" s="3">
        <f t="shared" si="5"/>
        <v>2354</v>
      </c>
      <c r="B356" s="3" t="s">
        <v>2674</v>
      </c>
      <c r="C356" s="3" t="s">
        <v>2674</v>
      </c>
      <c r="D356" s="4" t="s">
        <v>2672</v>
      </c>
      <c r="E356" s="4" t="s">
        <v>2673</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10</v>
      </c>
      <c r="AG356" s="3">
        <v>0</v>
      </c>
      <c r="AH356" s="3">
        <v>0</v>
      </c>
      <c r="AI356" s="3">
        <v>0</v>
      </c>
      <c r="AJ356" s="3">
        <v>0</v>
      </c>
      <c r="AK356" s="3">
        <v>0</v>
      </c>
      <c r="AL356" s="3" t="s">
        <v>31</v>
      </c>
      <c r="AM356" s="3" t="s">
        <v>2631</v>
      </c>
      <c r="AN356" s="3" t="s">
        <v>2632</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c r="BP356" s="6" t="s">
        <v>3623</v>
      </c>
      <c r="BQ356">
        <v>30</v>
      </c>
      <c r="BR356" s="6" t="s">
        <v>3624</v>
      </c>
      <c r="BS356">
        <v>5</v>
      </c>
      <c r="BT356" s="6" t="s">
        <v>3635</v>
      </c>
      <c r="BU356">
        <v>10</v>
      </c>
    </row>
    <row r="357" spans="1:73" ht="15.75" customHeight="1" x14ac:dyDescent="0.2">
      <c r="A357" s="3">
        <f t="shared" si="5"/>
        <v>2355</v>
      </c>
      <c r="B357" s="3" t="s">
        <v>2684</v>
      </c>
      <c r="C357" s="3" t="s">
        <v>2684</v>
      </c>
      <c r="D357" s="4" t="s">
        <v>2680</v>
      </c>
      <c r="E357" s="4" t="s">
        <v>2682</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10</v>
      </c>
      <c r="AG357" s="3">
        <v>0</v>
      </c>
      <c r="AH357" s="3">
        <v>0</v>
      </c>
      <c r="AI357" s="3">
        <v>0</v>
      </c>
      <c r="AJ357" s="3">
        <v>0</v>
      </c>
      <c r="AK357" s="3">
        <v>0</v>
      </c>
      <c r="AL357" s="3" t="s">
        <v>31</v>
      </c>
      <c r="AM357" s="3" t="s">
        <v>2631</v>
      </c>
      <c r="AN357" s="3" t="s">
        <v>2632</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c r="BP357" s="6" t="s">
        <v>3623</v>
      </c>
      <c r="BQ357">
        <v>30</v>
      </c>
      <c r="BR357" s="6" t="s">
        <v>3624</v>
      </c>
      <c r="BS357">
        <v>5</v>
      </c>
      <c r="BT357" s="6" t="s">
        <v>3635</v>
      </c>
      <c r="BU357">
        <v>10</v>
      </c>
    </row>
    <row r="358" spans="1:73" ht="15.75" customHeight="1" x14ac:dyDescent="0.2">
      <c r="A358" s="3">
        <f t="shared" si="5"/>
        <v>2356</v>
      </c>
      <c r="B358" s="3" t="s">
        <v>2685</v>
      </c>
      <c r="C358" s="3" t="s">
        <v>2685</v>
      </c>
      <c r="D358" s="4" t="s">
        <v>2681</v>
      </c>
      <c r="E358" s="4" t="s">
        <v>2683</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10</v>
      </c>
      <c r="AG358" s="3">
        <v>0</v>
      </c>
      <c r="AH358" s="3">
        <v>0</v>
      </c>
      <c r="AI358" s="3">
        <v>0</v>
      </c>
      <c r="AJ358" s="3">
        <v>0</v>
      </c>
      <c r="AK358" s="3">
        <v>0</v>
      </c>
      <c r="AL358" s="3" t="s">
        <v>31</v>
      </c>
      <c r="AM358" s="3" t="s">
        <v>2631</v>
      </c>
      <c r="AN358" s="3" t="s">
        <v>2632</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c r="BP358" s="6" t="s">
        <v>3623</v>
      </c>
      <c r="BQ358">
        <v>30</v>
      </c>
      <c r="BR358" s="6" t="s">
        <v>3624</v>
      </c>
      <c r="BS358">
        <v>5</v>
      </c>
      <c r="BT358" s="6" t="s">
        <v>3635</v>
      </c>
      <c r="BU358">
        <v>10</v>
      </c>
    </row>
    <row r="359" spans="1:73" ht="15.75" customHeight="1" x14ac:dyDescent="0.2">
      <c r="A359" s="3">
        <f t="shared" si="5"/>
        <v>2357</v>
      </c>
      <c r="B359" s="3" t="s">
        <v>2678</v>
      </c>
      <c r="C359" s="3" t="s">
        <v>2678</v>
      </c>
      <c r="D359" s="4" t="s">
        <v>2686</v>
      </c>
      <c r="E359" s="4" t="s">
        <v>2679</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0</v>
      </c>
      <c r="AF359" s="3">
        <v>10</v>
      </c>
      <c r="AG359" s="3">
        <v>0</v>
      </c>
      <c r="AH359" s="3">
        <v>0</v>
      </c>
      <c r="AI359" s="3">
        <v>0</v>
      </c>
      <c r="AJ359" s="3">
        <v>0</v>
      </c>
      <c r="AK359" s="3">
        <v>0</v>
      </c>
      <c r="AL359" s="3" t="s">
        <v>31</v>
      </c>
      <c r="AM359" s="3" t="s">
        <v>2631</v>
      </c>
      <c r="AN359" s="3" t="s">
        <v>2632</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c r="BP359" s="6" t="s">
        <v>3623</v>
      </c>
      <c r="BQ359">
        <v>30</v>
      </c>
      <c r="BR359" s="6" t="s">
        <v>3624</v>
      </c>
      <c r="BS359">
        <v>5</v>
      </c>
      <c r="BT359" s="6" t="s">
        <v>3635</v>
      </c>
      <c r="BU359">
        <v>10</v>
      </c>
    </row>
    <row r="360" spans="1:73" s="9" customFormat="1" ht="15.75" customHeight="1" x14ac:dyDescent="0.2">
      <c r="A360" s="7">
        <f t="shared" si="5"/>
        <v>2358</v>
      </c>
      <c r="B360" s="7" t="s">
        <v>2689</v>
      </c>
      <c r="C360" s="7" t="s">
        <v>2689</v>
      </c>
      <c r="D360" s="11" t="s">
        <v>2687</v>
      </c>
      <c r="E360" s="11" t="s">
        <v>2688</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0</v>
      </c>
      <c r="AF360" s="7">
        <v>0</v>
      </c>
      <c r="AG360" s="7">
        <v>0</v>
      </c>
      <c r="AH360" s="7">
        <v>0</v>
      </c>
      <c r="AI360" s="7">
        <v>0</v>
      </c>
      <c r="AJ360" s="7">
        <v>0</v>
      </c>
      <c r="AK360" s="7">
        <v>0</v>
      </c>
      <c r="AL360" s="7" t="s">
        <v>31</v>
      </c>
      <c r="AM360" s="7" t="s">
        <v>2631</v>
      </c>
      <c r="AN360" s="7" t="s">
        <v>2632</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c r="BP360" s="10" t="s">
        <v>3623</v>
      </c>
      <c r="BQ360" s="9">
        <v>30</v>
      </c>
      <c r="BR360" s="10" t="s">
        <v>50</v>
      </c>
      <c r="BS360" s="9">
        <v>0</v>
      </c>
      <c r="BT360" s="10" t="s">
        <v>50</v>
      </c>
      <c r="BU360" s="9">
        <v>0</v>
      </c>
    </row>
    <row r="361" spans="1:73" s="9" customFormat="1" ht="15.75" customHeight="1" x14ac:dyDescent="0.2">
      <c r="A361" s="7">
        <f t="shared" si="5"/>
        <v>2359</v>
      </c>
      <c r="B361" s="7" t="s">
        <v>2690</v>
      </c>
      <c r="C361" s="7" t="s">
        <v>2690</v>
      </c>
      <c r="D361" s="11" t="s">
        <v>2691</v>
      </c>
      <c r="E361" s="11" t="s">
        <v>2692</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0</v>
      </c>
      <c r="AF361" s="7">
        <v>0</v>
      </c>
      <c r="AG361" s="7">
        <v>0</v>
      </c>
      <c r="AH361" s="7">
        <v>0</v>
      </c>
      <c r="AI361" s="7">
        <v>0</v>
      </c>
      <c r="AJ361" s="7">
        <v>0</v>
      </c>
      <c r="AK361" s="7">
        <v>0</v>
      </c>
      <c r="AL361" s="7" t="s">
        <v>31</v>
      </c>
      <c r="AM361" s="7" t="s">
        <v>2631</v>
      </c>
      <c r="AN361" s="7" t="s">
        <v>2632</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c r="BP361" s="10" t="s">
        <v>3623</v>
      </c>
      <c r="BQ361" s="9">
        <v>30</v>
      </c>
      <c r="BR361" s="10" t="s">
        <v>50</v>
      </c>
      <c r="BS361" s="9">
        <v>0</v>
      </c>
      <c r="BT361" s="10" t="s">
        <v>50</v>
      </c>
      <c r="BU361" s="9">
        <v>0</v>
      </c>
    </row>
    <row r="362" spans="1:73" ht="15.75" customHeight="1" x14ac:dyDescent="0.2">
      <c r="A362" s="3">
        <f t="shared" si="5"/>
        <v>2360</v>
      </c>
      <c r="B362" s="3" t="s">
        <v>2633</v>
      </c>
      <c r="C362" s="3" t="s">
        <v>2633</v>
      </c>
      <c r="D362" s="4" t="s">
        <v>2638</v>
      </c>
      <c r="E362" s="4" t="s">
        <v>2634</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0</v>
      </c>
      <c r="AF362" s="3">
        <v>20</v>
      </c>
      <c r="AG362" s="3">
        <v>0</v>
      </c>
      <c r="AH362" s="3">
        <v>0</v>
      </c>
      <c r="AI362" s="3">
        <v>0</v>
      </c>
      <c r="AJ362" s="3">
        <v>0</v>
      </c>
      <c r="AK362" s="3">
        <v>0</v>
      </c>
      <c r="AL362" s="3" t="s">
        <v>31</v>
      </c>
      <c r="AM362" s="3" t="s">
        <v>2631</v>
      </c>
      <c r="AN362" s="3" t="s">
        <v>2632</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c r="BP362" s="6" t="s">
        <v>3623</v>
      </c>
      <c r="BQ362">
        <v>40</v>
      </c>
      <c r="BR362" s="6" t="s">
        <v>3624</v>
      </c>
      <c r="BS362">
        <v>7</v>
      </c>
      <c r="BT362" s="6" t="s">
        <v>3635</v>
      </c>
      <c r="BU362">
        <v>20</v>
      </c>
    </row>
    <row r="363" spans="1:73" s="23" customFormat="1" ht="15.75" customHeight="1" x14ac:dyDescent="0.2">
      <c r="A363" s="21">
        <f t="shared" si="5"/>
        <v>2361</v>
      </c>
      <c r="B363" s="21" t="s">
        <v>97</v>
      </c>
      <c r="C363" s="21" t="s">
        <v>3174</v>
      </c>
      <c r="D363" s="22" t="s">
        <v>3175</v>
      </c>
      <c r="E363" s="22" t="s">
        <v>2282</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2631</v>
      </c>
      <c r="AN363" s="21" t="s">
        <v>2632</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c r="BP363" s="24" t="s">
        <v>50</v>
      </c>
      <c r="BQ363" s="23">
        <v>0</v>
      </c>
      <c r="BR363" s="24" t="s">
        <v>50</v>
      </c>
      <c r="BS363" s="23">
        <v>0</v>
      </c>
      <c r="BT363" s="24" t="s">
        <v>50</v>
      </c>
      <c r="BU363" s="23">
        <v>0</v>
      </c>
    </row>
    <row r="364" spans="1:73" ht="15.75" customHeight="1" x14ac:dyDescent="0.2">
      <c r="A364" s="3">
        <f t="shared" si="5"/>
        <v>2362</v>
      </c>
      <c r="B364" s="3" t="s">
        <v>3160</v>
      </c>
      <c r="C364" s="3" t="s">
        <v>3160</v>
      </c>
      <c r="D364" s="4" t="s">
        <v>3159</v>
      </c>
      <c r="E364" s="4" t="s">
        <v>3549</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0</v>
      </c>
      <c r="AF364" s="3">
        <v>30</v>
      </c>
      <c r="AG364" s="3">
        <v>0</v>
      </c>
      <c r="AH364" s="3">
        <v>0</v>
      </c>
      <c r="AI364" s="3">
        <v>0</v>
      </c>
      <c r="AJ364" s="3">
        <v>0</v>
      </c>
      <c r="AK364" s="3">
        <v>0</v>
      </c>
      <c r="AL364" s="3" t="s">
        <v>31</v>
      </c>
      <c r="AM364" s="3" t="s">
        <v>2631</v>
      </c>
      <c r="AN364" s="3" t="s">
        <v>3385</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c r="BP364" s="6" t="s">
        <v>3623</v>
      </c>
      <c r="BQ364">
        <v>30</v>
      </c>
      <c r="BR364" s="6" t="s">
        <v>3624</v>
      </c>
      <c r="BS364">
        <v>30</v>
      </c>
      <c r="BT364" s="6" t="s">
        <v>3635</v>
      </c>
      <c r="BU364">
        <v>10</v>
      </c>
    </row>
    <row r="365" spans="1:73" s="43" customFormat="1" ht="15.75" customHeight="1" x14ac:dyDescent="0.2">
      <c r="A365" s="40">
        <f t="shared" si="5"/>
        <v>2363</v>
      </c>
      <c r="B365" s="40" t="s">
        <v>2684</v>
      </c>
      <c r="C365" s="40" t="s">
        <v>3173</v>
      </c>
      <c r="D365" s="45" t="s">
        <v>3172</v>
      </c>
      <c r="E365" s="45" t="s">
        <v>3548</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40</v>
      </c>
      <c r="AG365" s="40">
        <v>0</v>
      </c>
      <c r="AH365" s="40">
        <v>0</v>
      </c>
      <c r="AI365" s="40">
        <v>0</v>
      </c>
      <c r="AJ365" s="40">
        <v>0</v>
      </c>
      <c r="AK365" s="40">
        <v>0</v>
      </c>
      <c r="AL365" s="40" t="s">
        <v>31</v>
      </c>
      <c r="AM365" s="40" t="s">
        <v>2631</v>
      </c>
      <c r="AN365" s="40" t="s">
        <v>3385</v>
      </c>
      <c r="AO365" s="40" t="s">
        <v>50</v>
      </c>
      <c r="AP365" s="40">
        <v>50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c r="BP365" s="44" t="s">
        <v>3623</v>
      </c>
      <c r="BQ365" s="43">
        <v>30</v>
      </c>
      <c r="BR365" s="44" t="s">
        <v>3624</v>
      </c>
      <c r="BS365" s="43">
        <v>30</v>
      </c>
      <c r="BT365" s="44" t="s">
        <v>3635</v>
      </c>
      <c r="BU365" s="43">
        <v>30</v>
      </c>
    </row>
    <row r="366" spans="1:73" ht="15.75" customHeight="1" x14ac:dyDescent="0.2">
      <c r="A366" s="3">
        <f t="shared" si="5"/>
        <v>2364</v>
      </c>
      <c r="B366" s="3" t="s">
        <v>3543</v>
      </c>
      <c r="C366" s="3" t="s">
        <v>3161</v>
      </c>
      <c r="D366" s="4" t="s">
        <v>3343</v>
      </c>
      <c r="E366" s="4" t="s">
        <v>3344</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0</v>
      </c>
      <c r="AF366" s="3">
        <v>0</v>
      </c>
      <c r="AG366" s="3">
        <v>0</v>
      </c>
      <c r="AH366" s="3">
        <v>0</v>
      </c>
      <c r="AI366" s="3">
        <v>0</v>
      </c>
      <c r="AJ366" s="3">
        <v>0</v>
      </c>
      <c r="AK366" s="3">
        <v>0</v>
      </c>
      <c r="AL366" s="3" t="s">
        <v>31</v>
      </c>
      <c r="AM366" s="3" t="s">
        <v>2631</v>
      </c>
      <c r="AN366" s="3" t="s">
        <v>3385</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c r="BP366" s="6" t="s">
        <v>3623</v>
      </c>
      <c r="BQ366">
        <v>30</v>
      </c>
      <c r="BR366" s="6" t="s">
        <v>3624</v>
      </c>
      <c r="BS366">
        <v>30</v>
      </c>
      <c r="BT366" s="6" t="s">
        <v>3635</v>
      </c>
      <c r="BU366">
        <v>3</v>
      </c>
    </row>
    <row r="367" spans="1:73" ht="15.75" customHeight="1" x14ac:dyDescent="0.2">
      <c r="A367" s="3">
        <f t="shared" si="5"/>
        <v>2365</v>
      </c>
      <c r="B367" s="3" t="s">
        <v>3544</v>
      </c>
      <c r="C367" s="3" t="s">
        <v>3163</v>
      </c>
      <c r="D367" s="4" t="s">
        <v>3165</v>
      </c>
      <c r="E367" s="4" t="s">
        <v>3166</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0</v>
      </c>
      <c r="AF367" s="3">
        <v>0</v>
      </c>
      <c r="AG367" s="3">
        <v>0</v>
      </c>
      <c r="AH367" s="3">
        <v>0</v>
      </c>
      <c r="AI367" s="3">
        <v>0</v>
      </c>
      <c r="AJ367" s="3">
        <v>0</v>
      </c>
      <c r="AK367" s="3">
        <v>0</v>
      </c>
      <c r="AL367" s="3" t="s">
        <v>31</v>
      </c>
      <c r="AM367" s="3" t="s">
        <v>2631</v>
      </c>
      <c r="AN367" s="3" t="s">
        <v>3385</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c r="BP367" s="6" t="s">
        <v>3623</v>
      </c>
      <c r="BQ367">
        <v>30</v>
      </c>
      <c r="BR367" s="6" t="s">
        <v>3624</v>
      </c>
      <c r="BS367">
        <v>30</v>
      </c>
      <c r="BT367" s="6" t="s">
        <v>3635</v>
      </c>
      <c r="BU367">
        <v>5</v>
      </c>
    </row>
    <row r="368" spans="1:73" ht="15.75" customHeight="1" x14ac:dyDescent="0.2">
      <c r="A368" s="3">
        <f t="shared" si="5"/>
        <v>2366</v>
      </c>
      <c r="B368" s="3" t="s">
        <v>3545</v>
      </c>
      <c r="C368" s="3" t="s">
        <v>3162</v>
      </c>
      <c r="D368" s="4" t="s">
        <v>3342</v>
      </c>
      <c r="E368" s="4" t="s">
        <v>3597</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0</v>
      </c>
      <c r="AF368" s="3">
        <v>0</v>
      </c>
      <c r="AG368" s="3">
        <v>0</v>
      </c>
      <c r="AH368" s="3">
        <v>0</v>
      </c>
      <c r="AI368" s="3">
        <v>0</v>
      </c>
      <c r="AJ368" s="3">
        <v>0</v>
      </c>
      <c r="AK368" s="3">
        <v>0</v>
      </c>
      <c r="AL368" s="3" t="s">
        <v>31</v>
      </c>
      <c r="AM368" s="3" t="s">
        <v>2631</v>
      </c>
      <c r="AN368" s="3" t="s">
        <v>3385</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c r="BP368" s="6" t="s">
        <v>3623</v>
      </c>
      <c r="BQ368">
        <v>30</v>
      </c>
      <c r="BR368" s="6" t="s">
        <v>3624</v>
      </c>
      <c r="BS368">
        <v>30</v>
      </c>
      <c r="BT368" s="6" t="s">
        <v>3635</v>
      </c>
      <c r="BU368">
        <v>15</v>
      </c>
    </row>
    <row r="369" spans="1:73" ht="15.75" customHeight="1" x14ac:dyDescent="0.2">
      <c r="A369" s="3">
        <f t="shared" si="5"/>
        <v>2367</v>
      </c>
      <c r="B369" s="3" t="s">
        <v>3546</v>
      </c>
      <c r="C369" s="3" t="s">
        <v>3171</v>
      </c>
      <c r="D369" s="4" t="s">
        <v>3169</v>
      </c>
      <c r="E369" s="4" t="s">
        <v>3170</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0</v>
      </c>
      <c r="AF369" s="3">
        <v>0</v>
      </c>
      <c r="AG369" s="3">
        <v>0</v>
      </c>
      <c r="AH369" s="3">
        <v>0</v>
      </c>
      <c r="AI369" s="3">
        <v>0</v>
      </c>
      <c r="AJ369" s="3">
        <v>0</v>
      </c>
      <c r="AK369" s="3">
        <v>0</v>
      </c>
      <c r="AL369" s="3" t="s">
        <v>31</v>
      </c>
      <c r="AM369" s="3" t="s">
        <v>2631</v>
      </c>
      <c r="AN369" s="3" t="s">
        <v>3385</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c r="BP369" s="6" t="s">
        <v>3623</v>
      </c>
      <c r="BQ369">
        <v>30</v>
      </c>
      <c r="BR369" s="6" t="s">
        <v>3624</v>
      </c>
      <c r="BS369">
        <v>30</v>
      </c>
      <c r="BT369" s="6" t="s">
        <v>3635</v>
      </c>
      <c r="BU369">
        <v>25</v>
      </c>
    </row>
    <row r="370" spans="1:73" ht="15.75" customHeight="1" x14ac:dyDescent="0.2">
      <c r="A370" s="3">
        <f t="shared" si="5"/>
        <v>2368</v>
      </c>
      <c r="B370" s="3" t="s">
        <v>3547</v>
      </c>
      <c r="C370" s="3" t="s">
        <v>3164</v>
      </c>
      <c r="D370" s="4" t="s">
        <v>3167</v>
      </c>
      <c r="E370" s="4" t="s">
        <v>3168</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0</v>
      </c>
      <c r="AF370" s="3">
        <v>0</v>
      </c>
      <c r="AG370" s="3">
        <v>0</v>
      </c>
      <c r="AH370" s="3">
        <v>0</v>
      </c>
      <c r="AI370" s="3">
        <v>0</v>
      </c>
      <c r="AJ370" s="3">
        <v>0</v>
      </c>
      <c r="AK370" s="3">
        <v>0</v>
      </c>
      <c r="AL370" s="3" t="s">
        <v>31</v>
      </c>
      <c r="AM370" s="3" t="s">
        <v>2631</v>
      </c>
      <c r="AN370" s="3" t="s">
        <v>3385</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c r="BP370" s="6" t="s">
        <v>3623</v>
      </c>
      <c r="BQ370">
        <v>30</v>
      </c>
      <c r="BR370" s="6" t="s">
        <v>3624</v>
      </c>
      <c r="BS370">
        <v>30</v>
      </c>
      <c r="BT370" s="6" t="s">
        <v>3635</v>
      </c>
      <c r="BU370">
        <v>30</v>
      </c>
    </row>
    <row r="371" spans="1:73" s="23" customFormat="1" ht="15.75" customHeight="1" x14ac:dyDescent="0.2">
      <c r="A371" s="21">
        <f t="shared" si="5"/>
        <v>2369</v>
      </c>
      <c r="B371" s="21" t="s">
        <v>97</v>
      </c>
      <c r="C371" s="21" t="s">
        <v>2293</v>
      </c>
      <c r="D371" s="22" t="s">
        <v>2294</v>
      </c>
      <c r="E371" s="22" t="s">
        <v>2282</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2015</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c r="BP371" s="24" t="s">
        <v>50</v>
      </c>
      <c r="BQ371" s="23">
        <v>0</v>
      </c>
      <c r="BR371" s="24" t="s">
        <v>50</v>
      </c>
      <c r="BS371" s="23">
        <v>0</v>
      </c>
      <c r="BT371" s="24" t="s">
        <v>50</v>
      </c>
      <c r="BU371" s="23">
        <v>0</v>
      </c>
    </row>
    <row r="372" spans="1:73" ht="15.75" customHeight="1" x14ac:dyDescent="0.2">
      <c r="A372" s="3">
        <f t="shared" si="5"/>
        <v>2370</v>
      </c>
      <c r="B372" s="3" t="s">
        <v>97</v>
      </c>
      <c r="C372" s="3" t="s">
        <v>943</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2022</v>
      </c>
      <c r="AO372" s="3" t="s">
        <v>1851</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993</v>
      </c>
      <c r="BE372" s="6" t="s">
        <v>50</v>
      </c>
      <c r="BF372" s="6" t="s">
        <v>50</v>
      </c>
      <c r="BG372" s="6" t="s">
        <v>50</v>
      </c>
      <c r="BH372" s="6" t="s">
        <v>50</v>
      </c>
      <c r="BI372">
        <v>1</v>
      </c>
      <c r="BJ372">
        <v>601</v>
      </c>
      <c r="BK372">
        <v>3</v>
      </c>
      <c r="BL372">
        <v>10</v>
      </c>
      <c r="BM372">
        <v>0</v>
      </c>
      <c r="BN372">
        <v>0</v>
      </c>
      <c r="BO372">
        <v>0</v>
      </c>
      <c r="BP372" s="6" t="s">
        <v>50</v>
      </c>
      <c r="BQ372">
        <v>0</v>
      </c>
      <c r="BR372" s="6" t="s">
        <v>50</v>
      </c>
      <c r="BS372">
        <v>0</v>
      </c>
      <c r="BT372" s="6" t="s">
        <v>50</v>
      </c>
      <c r="BU372">
        <v>0</v>
      </c>
    </row>
    <row r="373" spans="1:73" ht="15.75" customHeight="1" x14ac:dyDescent="0.2">
      <c r="A373" s="3">
        <f t="shared" si="5"/>
        <v>2371</v>
      </c>
      <c r="B373" s="3" t="s">
        <v>949</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2022</v>
      </c>
      <c r="AO373" s="3" t="s">
        <v>1850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c r="BP373" s="6" t="s">
        <v>50</v>
      </c>
      <c r="BQ373">
        <v>0</v>
      </c>
      <c r="BR373" s="6" t="s">
        <v>50</v>
      </c>
      <c r="BS373">
        <v>0</v>
      </c>
      <c r="BT373" s="6" t="s">
        <v>50</v>
      </c>
      <c r="BU373">
        <v>0</v>
      </c>
    </row>
    <row r="374" spans="1:73" ht="15.75" customHeight="1" x14ac:dyDescent="0.2">
      <c r="A374" s="3">
        <f t="shared" si="5"/>
        <v>2372</v>
      </c>
      <c r="B374" s="3" t="s">
        <v>1292</v>
      </c>
      <c r="C374" s="3" t="s">
        <v>847</v>
      </c>
      <c r="D374" s="4" t="s">
        <v>1518</v>
      </c>
      <c r="E374" s="4" t="s">
        <v>1475</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2022</v>
      </c>
      <c r="AO374" s="3" t="s">
        <v>1850</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1263</v>
      </c>
      <c r="BE374" s="6" t="s">
        <v>50</v>
      </c>
      <c r="BF374" s="6" t="s">
        <v>50</v>
      </c>
      <c r="BG374" s="6" t="s">
        <v>50</v>
      </c>
      <c r="BH374" s="6" t="s">
        <v>50</v>
      </c>
      <c r="BI374">
        <v>1</v>
      </c>
      <c r="BJ374">
        <v>602</v>
      </c>
      <c r="BK374">
        <v>4</v>
      </c>
      <c r="BL374">
        <v>10</v>
      </c>
      <c r="BM374">
        <v>0</v>
      </c>
      <c r="BN374">
        <v>0</v>
      </c>
      <c r="BO374">
        <v>0</v>
      </c>
      <c r="BP374" s="6" t="s">
        <v>50</v>
      </c>
      <c r="BQ374">
        <v>0</v>
      </c>
      <c r="BR374" s="6" t="s">
        <v>50</v>
      </c>
      <c r="BS374">
        <v>0</v>
      </c>
      <c r="BT374" s="6" t="s">
        <v>50</v>
      </c>
      <c r="BU374">
        <v>0</v>
      </c>
    </row>
    <row r="375" spans="1:73" ht="15.75" customHeight="1" x14ac:dyDescent="0.2">
      <c r="A375" s="3">
        <f t="shared" si="5"/>
        <v>2373</v>
      </c>
      <c r="B375" s="3" t="s">
        <v>947</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2022</v>
      </c>
      <c r="AO375" s="3" t="s">
        <v>1850</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c r="BP375" s="6" t="s">
        <v>50</v>
      </c>
      <c r="BQ375">
        <v>0</v>
      </c>
      <c r="BR375" s="6" t="s">
        <v>50</v>
      </c>
      <c r="BS375">
        <v>0</v>
      </c>
      <c r="BT375" s="6" t="s">
        <v>50</v>
      </c>
      <c r="BU375">
        <v>0</v>
      </c>
    </row>
    <row r="376" spans="1:73" ht="15.75" customHeight="1" x14ac:dyDescent="0.2">
      <c r="A376" s="3">
        <f t="shared" si="5"/>
        <v>2374</v>
      </c>
      <c r="B376" s="3" t="s">
        <v>1290</v>
      </c>
      <c r="C376" s="3" t="s">
        <v>1163</v>
      </c>
      <c r="D376" s="4" t="s">
        <v>1162</v>
      </c>
      <c r="E376" s="4" t="s">
        <v>1166</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2022</v>
      </c>
      <c r="AO376" s="3" t="s">
        <v>1850</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1142</v>
      </c>
      <c r="BE376" s="6" t="s">
        <v>50</v>
      </c>
      <c r="BF376" s="6" t="s">
        <v>50</v>
      </c>
      <c r="BG376" s="6" t="s">
        <v>50</v>
      </c>
      <c r="BH376" s="6" t="s">
        <v>50</v>
      </c>
      <c r="BI376">
        <v>1</v>
      </c>
      <c r="BJ376">
        <v>604</v>
      </c>
      <c r="BK376">
        <v>2</v>
      </c>
      <c r="BL376">
        <v>10</v>
      </c>
      <c r="BM376">
        <v>0</v>
      </c>
      <c r="BN376">
        <v>0</v>
      </c>
      <c r="BO376">
        <v>0</v>
      </c>
      <c r="BP376" s="6" t="s">
        <v>50</v>
      </c>
      <c r="BQ376">
        <v>0</v>
      </c>
      <c r="BR376" s="6" t="s">
        <v>50</v>
      </c>
      <c r="BS376">
        <v>0</v>
      </c>
      <c r="BT376" s="6" t="s">
        <v>50</v>
      </c>
      <c r="BU376">
        <v>0</v>
      </c>
    </row>
    <row r="377" spans="1:73" ht="15.75" customHeight="1" x14ac:dyDescent="0.2">
      <c r="A377" s="3">
        <f t="shared" si="5"/>
        <v>2375</v>
      </c>
      <c r="B377" s="3" t="s">
        <v>1291</v>
      </c>
      <c r="C377" s="3" t="s">
        <v>1165</v>
      </c>
      <c r="D377" s="4" t="s">
        <v>1164</v>
      </c>
      <c r="E377" s="4" t="s">
        <v>1167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2022</v>
      </c>
      <c r="AO377" s="3" t="s">
        <v>1850</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1143</v>
      </c>
      <c r="BE377" s="6" t="s">
        <v>50</v>
      </c>
      <c r="BF377" s="6" t="s">
        <v>50</v>
      </c>
      <c r="BG377" s="6" t="s">
        <v>50</v>
      </c>
      <c r="BH377" s="6" t="s">
        <v>50</v>
      </c>
      <c r="BI377">
        <v>1</v>
      </c>
      <c r="BJ377">
        <v>605</v>
      </c>
      <c r="BK377">
        <v>2</v>
      </c>
      <c r="BL377">
        <v>10</v>
      </c>
      <c r="BM377">
        <v>0</v>
      </c>
      <c r="BN377">
        <v>0</v>
      </c>
      <c r="BO377">
        <v>0</v>
      </c>
      <c r="BP377" s="6" t="s">
        <v>50</v>
      </c>
      <c r="BQ377">
        <v>0</v>
      </c>
      <c r="BR377" s="6" t="s">
        <v>50</v>
      </c>
      <c r="BS377">
        <v>0</v>
      </c>
      <c r="BT377" s="6" t="s">
        <v>50</v>
      </c>
      <c r="BU377">
        <v>0</v>
      </c>
    </row>
    <row r="378" spans="1:73" ht="15.75" customHeight="1" x14ac:dyDescent="0.2">
      <c r="A378" s="3">
        <f t="shared" si="5"/>
        <v>2376</v>
      </c>
      <c r="B378" s="3" t="s">
        <v>1293</v>
      </c>
      <c r="C378" s="3" t="s">
        <v>1170</v>
      </c>
      <c r="D378" s="4" t="s">
        <v>1168</v>
      </c>
      <c r="E378" s="4" t="s">
        <v>1169</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2023</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1144</v>
      </c>
      <c r="BE378" s="6" t="s">
        <v>50</v>
      </c>
      <c r="BF378" s="6" t="s">
        <v>50</v>
      </c>
      <c r="BG378" s="6" t="s">
        <v>50</v>
      </c>
      <c r="BH378" s="6" t="s">
        <v>50</v>
      </c>
      <c r="BI378">
        <v>1</v>
      </c>
      <c r="BJ378">
        <v>606</v>
      </c>
      <c r="BK378">
        <v>4</v>
      </c>
      <c r="BL378">
        <v>10</v>
      </c>
      <c r="BM378">
        <v>0</v>
      </c>
      <c r="BN378">
        <v>0</v>
      </c>
      <c r="BO378">
        <v>0</v>
      </c>
      <c r="BP378" s="6" t="s">
        <v>50</v>
      </c>
      <c r="BQ378">
        <v>0</v>
      </c>
      <c r="BR378" s="6" t="s">
        <v>50</v>
      </c>
      <c r="BS378">
        <v>0</v>
      </c>
      <c r="BT378" s="6" t="s">
        <v>50</v>
      </c>
      <c r="BU378">
        <v>0</v>
      </c>
    </row>
    <row r="379" spans="1:73" ht="15.75" customHeight="1" x14ac:dyDescent="0.2">
      <c r="A379" s="3">
        <f t="shared" si="5"/>
        <v>2377</v>
      </c>
      <c r="B379" s="3" t="s">
        <v>948</v>
      </c>
      <c r="C379" s="3" t="s">
        <v>946</v>
      </c>
      <c r="D379" s="4" t="s">
        <v>944</v>
      </c>
      <c r="E379" s="4" t="s">
        <v>945</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2022</v>
      </c>
      <c r="AO379" s="3" t="s">
        <v>1850</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918</v>
      </c>
      <c r="BE379" s="6" t="s">
        <v>50</v>
      </c>
      <c r="BF379" s="6" t="s">
        <v>50</v>
      </c>
      <c r="BG379" s="6" t="s">
        <v>50</v>
      </c>
      <c r="BH379" s="6" t="s">
        <v>50</v>
      </c>
      <c r="BI379">
        <v>1</v>
      </c>
      <c r="BJ379">
        <v>607</v>
      </c>
      <c r="BK379">
        <v>3</v>
      </c>
      <c r="BL379">
        <v>10</v>
      </c>
      <c r="BM379">
        <v>0</v>
      </c>
      <c r="BN379">
        <v>0</v>
      </c>
      <c r="BO379">
        <v>0</v>
      </c>
      <c r="BP379" s="6" t="s">
        <v>50</v>
      </c>
      <c r="BQ379">
        <v>0</v>
      </c>
      <c r="BR379" s="6" t="s">
        <v>50</v>
      </c>
      <c r="BS379">
        <v>0</v>
      </c>
      <c r="BT379" s="6" t="s">
        <v>50</v>
      </c>
      <c r="BU379">
        <v>0</v>
      </c>
    </row>
    <row r="380" spans="1:73" ht="15.75" customHeight="1" x14ac:dyDescent="0.2">
      <c r="A380" s="3">
        <f t="shared" si="5"/>
        <v>2378</v>
      </c>
      <c r="B380" s="3" t="s">
        <v>1826</v>
      </c>
      <c r="C380" s="3" t="s">
        <v>1827</v>
      </c>
      <c r="D380" s="4" t="s">
        <v>1828</v>
      </c>
      <c r="E380" s="4" t="s">
        <v>1829</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2022</v>
      </c>
      <c r="AO380" s="3" t="s">
        <v>1850</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1844</v>
      </c>
      <c r="BE380" s="6" t="s">
        <v>50</v>
      </c>
      <c r="BF380" s="6" t="s">
        <v>50</v>
      </c>
      <c r="BG380" s="6" t="s">
        <v>50</v>
      </c>
      <c r="BH380" s="6" t="s">
        <v>50</v>
      </c>
      <c r="BI380">
        <v>1</v>
      </c>
      <c r="BJ380">
        <v>608</v>
      </c>
      <c r="BK380">
        <v>3</v>
      </c>
      <c r="BL380">
        <v>10</v>
      </c>
      <c r="BM380">
        <v>0</v>
      </c>
      <c r="BN380">
        <v>0</v>
      </c>
      <c r="BO380">
        <v>1</v>
      </c>
      <c r="BP380" s="6" t="s">
        <v>50</v>
      </c>
      <c r="BQ380">
        <v>0</v>
      </c>
      <c r="BR380" s="6" t="s">
        <v>50</v>
      </c>
      <c r="BS380">
        <v>0</v>
      </c>
      <c r="BT380" s="6" t="s">
        <v>50</v>
      </c>
      <c r="BU380">
        <v>0</v>
      </c>
    </row>
    <row r="381" spans="1:73" s="23" customFormat="1" ht="15.75" customHeight="1" x14ac:dyDescent="0.2">
      <c r="A381" s="21">
        <f t="shared" si="5"/>
        <v>2379</v>
      </c>
      <c r="B381" s="21" t="s">
        <v>97</v>
      </c>
      <c r="C381" s="21" t="s">
        <v>2342</v>
      </c>
      <c r="D381" s="22" t="s">
        <v>2343</v>
      </c>
      <c r="E381" s="22" t="s">
        <v>2282</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2015</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c r="BP381" s="24" t="s">
        <v>50</v>
      </c>
      <c r="BQ381" s="23">
        <v>0</v>
      </c>
      <c r="BR381" s="24" t="s">
        <v>50</v>
      </c>
      <c r="BS381" s="23">
        <v>0</v>
      </c>
      <c r="BT381" s="24" t="s">
        <v>50</v>
      </c>
      <c r="BU381" s="23">
        <v>0</v>
      </c>
    </row>
    <row r="382" spans="1:73"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2024</v>
      </c>
      <c r="AO382" s="3" t="s">
        <v>1851</v>
      </c>
      <c r="AP382" s="3">
        <v>30</v>
      </c>
      <c r="AQ382" s="3">
        <v>1.2</v>
      </c>
      <c r="AR382">
        <v>300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c r="BP382" s="6" t="s">
        <v>50</v>
      </c>
      <c r="BQ382">
        <v>0</v>
      </c>
      <c r="BR382" s="6" t="s">
        <v>50</v>
      </c>
      <c r="BS382">
        <v>0</v>
      </c>
      <c r="BT382" s="6" t="s">
        <v>50</v>
      </c>
      <c r="BU382">
        <v>0</v>
      </c>
    </row>
    <row r="383" spans="1:73" ht="15.75" customHeight="1" x14ac:dyDescent="0.2">
      <c r="A383" s="3">
        <f t="shared" si="5"/>
        <v>2381</v>
      </c>
      <c r="B383" s="3" t="s">
        <v>1601</v>
      </c>
      <c r="C383" s="3" t="s">
        <v>1593</v>
      </c>
      <c r="D383" s="4" t="s">
        <v>1592</v>
      </c>
      <c r="E383" s="4" t="s">
        <v>1594</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2024</v>
      </c>
      <c r="AO383" s="3" t="s">
        <v>1850</v>
      </c>
      <c r="AP383" s="3">
        <v>30</v>
      </c>
      <c r="AQ383" s="3">
        <v>1.5</v>
      </c>
      <c r="AR383">
        <v>300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c r="BP383" s="6" t="s">
        <v>50</v>
      </c>
      <c r="BQ383">
        <v>0</v>
      </c>
      <c r="BR383" s="6" t="s">
        <v>50</v>
      </c>
      <c r="BS383">
        <v>0</v>
      </c>
      <c r="BT383" s="6" t="s">
        <v>50</v>
      </c>
      <c r="BU383">
        <v>0</v>
      </c>
    </row>
    <row r="384" spans="1:73" ht="15.75" customHeight="1" x14ac:dyDescent="0.2">
      <c r="A384" s="3">
        <f t="shared" si="5"/>
        <v>2382</v>
      </c>
      <c r="B384" s="3" t="s">
        <v>1843</v>
      </c>
      <c r="C384" s="3" t="s">
        <v>1843</v>
      </c>
      <c r="D384" s="4" t="s">
        <v>1836</v>
      </c>
      <c r="E384" s="4" t="s">
        <v>1837</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70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2614</v>
      </c>
      <c r="AO384" s="3" t="s">
        <v>1850</v>
      </c>
      <c r="AP384" s="3">
        <v>40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1844</v>
      </c>
      <c r="BF384" s="6" t="s">
        <v>50</v>
      </c>
      <c r="BG384" s="6" t="s">
        <v>50</v>
      </c>
      <c r="BH384" s="6" t="s">
        <v>50</v>
      </c>
      <c r="BI384">
        <v>1</v>
      </c>
      <c r="BJ384">
        <v>632</v>
      </c>
      <c r="BK384">
        <v>3</v>
      </c>
      <c r="BL384">
        <v>10</v>
      </c>
      <c r="BM384">
        <v>0</v>
      </c>
      <c r="BN384">
        <v>0</v>
      </c>
      <c r="BO384">
        <v>0</v>
      </c>
      <c r="BP384" s="6" t="s">
        <v>50</v>
      </c>
      <c r="BQ384">
        <v>0</v>
      </c>
      <c r="BR384" s="6" t="s">
        <v>50</v>
      </c>
      <c r="BS384">
        <v>0</v>
      </c>
      <c r="BT384" s="6" t="s">
        <v>50</v>
      </c>
      <c r="BU384">
        <v>0</v>
      </c>
    </row>
    <row r="385" spans="1:73" ht="15.75" customHeight="1" x14ac:dyDescent="0.2">
      <c r="A385" s="3">
        <f t="shared" si="5"/>
        <v>2383</v>
      </c>
      <c r="B385" s="3" t="s">
        <v>2968</v>
      </c>
      <c r="C385" s="3" t="s">
        <v>2968</v>
      </c>
      <c r="D385" s="4" t="s">
        <v>2969</v>
      </c>
      <c r="E385" s="4" t="s">
        <v>2970</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100</v>
      </c>
      <c r="Z385" s="3">
        <v>0</v>
      </c>
      <c r="AA385" s="3">
        <v>0</v>
      </c>
      <c r="AB385" s="3">
        <v>0</v>
      </c>
      <c r="AC385" s="3">
        <v>0</v>
      </c>
      <c r="AD385" s="3">
        <v>0</v>
      </c>
      <c r="AE385" s="3">
        <v>0</v>
      </c>
      <c r="AF385" s="3">
        <v>10</v>
      </c>
      <c r="AG385" s="3">
        <v>0</v>
      </c>
      <c r="AH385" s="3">
        <v>0</v>
      </c>
      <c r="AI385" s="3">
        <v>0</v>
      </c>
      <c r="AJ385" s="3">
        <v>0</v>
      </c>
      <c r="AK385" s="3">
        <v>0</v>
      </c>
      <c r="AL385" s="3" t="s">
        <v>31</v>
      </c>
      <c r="AM385" s="3" t="s">
        <v>123</v>
      </c>
      <c r="AN385" s="3" t="s">
        <v>2614</v>
      </c>
      <c r="AO385" s="3" t="s">
        <v>50</v>
      </c>
      <c r="AP385" s="3">
        <v>40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1844</v>
      </c>
      <c r="BF385" s="6" t="s">
        <v>50</v>
      </c>
      <c r="BG385" s="6" t="s">
        <v>50</v>
      </c>
      <c r="BH385" s="6" t="s">
        <v>50</v>
      </c>
      <c r="BI385">
        <v>1</v>
      </c>
      <c r="BJ385">
        <v>633</v>
      </c>
      <c r="BK385">
        <v>3</v>
      </c>
      <c r="BL385">
        <v>10</v>
      </c>
      <c r="BM385">
        <v>0</v>
      </c>
      <c r="BN385">
        <v>0</v>
      </c>
      <c r="BO385">
        <v>0</v>
      </c>
      <c r="BP385" s="6" t="s">
        <v>50</v>
      </c>
      <c r="BQ385">
        <v>0</v>
      </c>
      <c r="BR385" s="6" t="s">
        <v>50</v>
      </c>
      <c r="BS385">
        <v>0</v>
      </c>
      <c r="BT385" s="6" t="s">
        <v>50</v>
      </c>
      <c r="BU385">
        <v>0</v>
      </c>
    </row>
    <row r="386" spans="1:73" s="9" customFormat="1" ht="15.75" customHeight="1" x14ac:dyDescent="0.2">
      <c r="A386" s="3">
        <f t="shared" si="5"/>
        <v>2384</v>
      </c>
      <c r="B386" s="7" t="s">
        <v>87</v>
      </c>
      <c r="C386" s="7" t="s">
        <v>114</v>
      </c>
      <c r="D386" s="11" t="s">
        <v>102</v>
      </c>
      <c r="E386" s="11" t="s">
        <v>1005</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2025</v>
      </c>
      <c r="AO386" s="7" t="s">
        <v>1850</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c r="BP386" s="10" t="s">
        <v>50</v>
      </c>
      <c r="BQ386" s="9">
        <v>0</v>
      </c>
      <c r="BR386" s="10" t="s">
        <v>50</v>
      </c>
      <c r="BS386" s="9">
        <v>0</v>
      </c>
      <c r="BT386" s="10" t="s">
        <v>50</v>
      </c>
      <c r="BU386" s="9">
        <v>0</v>
      </c>
    </row>
    <row r="387" spans="1:73" s="9" customFormat="1" ht="15.75" customHeight="1" x14ac:dyDescent="0.2">
      <c r="A387" s="3">
        <f t="shared" si="5"/>
        <v>2385</v>
      </c>
      <c r="B387" s="7" t="s">
        <v>384</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2024</v>
      </c>
      <c r="AO387" s="7" t="s">
        <v>1850</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c r="BP387" s="10" t="s">
        <v>50</v>
      </c>
      <c r="BQ387" s="9">
        <v>0</v>
      </c>
      <c r="BR387" s="10" t="s">
        <v>50</v>
      </c>
      <c r="BS387" s="9">
        <v>0</v>
      </c>
      <c r="BT387" s="10" t="s">
        <v>50</v>
      </c>
      <c r="BU387" s="9">
        <v>0</v>
      </c>
    </row>
    <row r="388" spans="1:73" s="9" customFormat="1" ht="15.75" customHeight="1" x14ac:dyDescent="0.2">
      <c r="A388" s="3">
        <f t="shared" si="5"/>
        <v>2386</v>
      </c>
      <c r="B388" s="7" t="s">
        <v>384</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2024</v>
      </c>
      <c r="AO388" s="7" t="s">
        <v>1850</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c r="BP388" s="10" t="s">
        <v>50</v>
      </c>
      <c r="BQ388" s="9">
        <v>0</v>
      </c>
      <c r="BR388" s="10" t="s">
        <v>50</v>
      </c>
      <c r="BS388" s="9">
        <v>0</v>
      </c>
      <c r="BT388" s="10" t="s">
        <v>50</v>
      </c>
      <c r="BU388" s="9">
        <v>0</v>
      </c>
    </row>
    <row r="389" spans="1:73"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2022</v>
      </c>
      <c r="AO389" s="7" t="s">
        <v>1850</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c r="BP389" s="10" t="s">
        <v>50</v>
      </c>
      <c r="BQ389" s="9">
        <v>0</v>
      </c>
      <c r="BR389" s="10" t="s">
        <v>50</v>
      </c>
      <c r="BS389" s="9">
        <v>0</v>
      </c>
      <c r="BT389" s="10" t="s">
        <v>50</v>
      </c>
      <c r="BU389" s="9">
        <v>0</v>
      </c>
    </row>
    <row r="390" spans="1:73"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1994</v>
      </c>
      <c r="AO390" s="7" t="s">
        <v>1850</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c r="BP390" s="10" t="s">
        <v>50</v>
      </c>
      <c r="BQ390" s="9">
        <v>0</v>
      </c>
      <c r="BR390" s="10" t="s">
        <v>50</v>
      </c>
      <c r="BS390" s="9">
        <v>0</v>
      </c>
      <c r="BT390" s="10" t="s">
        <v>50</v>
      </c>
      <c r="BU390" s="9">
        <v>0</v>
      </c>
    </row>
    <row r="391" spans="1:73"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2003</v>
      </c>
      <c r="AO391" s="7" t="s">
        <v>1850</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c r="BP391" s="10" t="s">
        <v>50</v>
      </c>
      <c r="BQ391" s="9">
        <v>0</v>
      </c>
      <c r="BR391" s="10" t="s">
        <v>50</v>
      </c>
      <c r="BS391" s="9">
        <v>0</v>
      </c>
      <c r="BT391" s="10" t="s">
        <v>50</v>
      </c>
      <c r="BU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U105"/>
  <sheetViews>
    <sheetView topLeftCell="A46" workbookViewId="0">
      <selection activeCell="D85" sqref="D85"/>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73" width="8.710937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2210</v>
      </c>
      <c r="AA1" s="2" t="s">
        <v>2169</v>
      </c>
      <c r="AB1" s="2" t="s">
        <v>2201</v>
      </c>
      <c r="AC1" s="2" t="s">
        <v>2202</v>
      </c>
      <c r="AD1" s="2" t="s">
        <v>2203</v>
      </c>
      <c r="AE1" s="2" t="s">
        <v>2204</v>
      </c>
      <c r="AF1" s="2" t="s">
        <v>2205</v>
      </c>
      <c r="AG1" s="2" t="s">
        <v>2206</v>
      </c>
      <c r="AH1" s="2" t="s">
        <v>2207</v>
      </c>
      <c r="AI1" s="2" t="s">
        <v>2208</v>
      </c>
      <c r="AJ1" s="2" t="s">
        <v>2209</v>
      </c>
      <c r="AK1" s="2" t="s">
        <v>2623</v>
      </c>
      <c r="AL1" s="1" t="s">
        <v>13</v>
      </c>
      <c r="AM1" s="1" t="s">
        <v>14</v>
      </c>
      <c r="AN1" s="1" t="s">
        <v>1928</v>
      </c>
      <c r="AO1" s="1" t="s">
        <v>1849</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2492</v>
      </c>
      <c r="BN1" s="1" t="s">
        <v>3553</v>
      </c>
      <c r="BO1" s="1" t="s">
        <v>1614</v>
      </c>
      <c r="BP1" s="1" t="s">
        <v>3617</v>
      </c>
      <c r="BQ1" s="1" t="s">
        <v>3618</v>
      </c>
      <c r="BR1" s="1" t="s">
        <v>3619</v>
      </c>
      <c r="BS1" s="1" t="s">
        <v>3620</v>
      </c>
      <c r="BT1" s="1" t="s">
        <v>3621</v>
      </c>
      <c r="BU1" s="1" t="s">
        <v>3622</v>
      </c>
    </row>
    <row r="2" spans="1:73" ht="15.75" customHeight="1" x14ac:dyDescent="0.2">
      <c r="A2" s="3">
        <f t="shared" ref="A2:A30" si="0">ROW()+6998</f>
        <v>7000</v>
      </c>
      <c r="B2" s="3" t="s">
        <v>559</v>
      </c>
      <c r="C2" s="3" t="s">
        <v>450</v>
      </c>
      <c r="D2" s="5" t="s">
        <v>1523</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3511</v>
      </c>
      <c r="AM2" s="3" t="s">
        <v>981</v>
      </c>
      <c r="AN2" s="3" t="s">
        <v>2026</v>
      </c>
      <c r="AO2" s="3" t="s">
        <v>1850</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981</v>
      </c>
      <c r="AN3" s="7" t="s">
        <v>2026</v>
      </c>
      <c r="AO3" s="7" t="s">
        <v>1850</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row>
    <row r="4" spans="1:73"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981</v>
      </c>
      <c r="AN4" s="3" t="s">
        <v>2026</v>
      </c>
      <c r="AO4" s="3" t="s">
        <v>1850</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row>
    <row r="5" spans="1:73"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981</v>
      </c>
      <c r="AN5" s="3" t="s">
        <v>2026</v>
      </c>
      <c r="AO5" s="3" t="s">
        <v>1850</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row>
    <row r="6" spans="1:73"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981</v>
      </c>
      <c r="AN6" s="7" t="s">
        <v>2026</v>
      </c>
      <c r="AO6" s="7" t="s">
        <v>1850</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row>
    <row r="7" spans="1:73"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981</v>
      </c>
      <c r="AN7" s="3" t="s">
        <v>2026</v>
      </c>
      <c r="AO7" s="3" t="s">
        <v>1850</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1032</v>
      </c>
      <c r="AM8" s="7" t="s">
        <v>981</v>
      </c>
      <c r="AN8" s="7" t="s">
        <v>2026</v>
      </c>
      <c r="AO8" s="7" t="s">
        <v>1850</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row>
    <row r="9" spans="1:73" s="9" customFormat="1" ht="15.75" customHeight="1" x14ac:dyDescent="0.2">
      <c r="A9" s="7">
        <f t="shared" si="0"/>
        <v>7007</v>
      </c>
      <c r="B9" s="7" t="s">
        <v>2084</v>
      </c>
      <c r="C9" s="7" t="s">
        <v>3013</v>
      </c>
      <c r="D9" s="11" t="s">
        <v>3601</v>
      </c>
      <c r="E9" s="11" t="s">
        <v>3012</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1032</v>
      </c>
      <c r="AM9" s="7" t="s">
        <v>981</v>
      </c>
      <c r="AN9" s="7" t="s">
        <v>3018</v>
      </c>
      <c r="AO9" s="7" t="s">
        <v>50</v>
      </c>
      <c r="AP9" s="7">
        <v>0</v>
      </c>
      <c r="AQ9" s="7">
        <v>0</v>
      </c>
      <c r="AR9" s="9">
        <v>0</v>
      </c>
      <c r="AS9" s="9">
        <v>1</v>
      </c>
      <c r="AT9" s="10" t="s">
        <v>3583</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1</v>
      </c>
      <c r="BJ9" s="9">
        <v>0</v>
      </c>
      <c r="BK9" s="9">
        <v>1</v>
      </c>
      <c r="BL9" s="9">
        <v>0</v>
      </c>
      <c r="BM9" s="9">
        <v>1</v>
      </c>
      <c r="BN9" s="9">
        <v>0</v>
      </c>
      <c r="BO9" s="9">
        <v>0</v>
      </c>
      <c r="BP9" s="10" t="s">
        <v>50</v>
      </c>
      <c r="BQ9" s="9">
        <v>0</v>
      </c>
      <c r="BR9" s="10" t="s">
        <v>50</v>
      </c>
      <c r="BS9" s="9">
        <v>0</v>
      </c>
      <c r="BT9" s="10" t="s">
        <v>50</v>
      </c>
      <c r="BU9" s="9">
        <v>0</v>
      </c>
    </row>
    <row r="10" spans="1:73" s="9" customFormat="1" ht="15.75" customHeight="1" x14ac:dyDescent="0.2">
      <c r="A10" s="7">
        <f t="shared" si="0"/>
        <v>7008</v>
      </c>
      <c r="B10" s="7" t="s">
        <v>2084</v>
      </c>
      <c r="C10" s="7" t="s">
        <v>3014</v>
      </c>
      <c r="D10" s="11" t="s">
        <v>3602</v>
      </c>
      <c r="E10" s="11" t="s">
        <v>3012</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1032</v>
      </c>
      <c r="AM10" s="7" t="s">
        <v>981</v>
      </c>
      <c r="AN10" s="7" t="s">
        <v>3018</v>
      </c>
      <c r="AO10" s="7" t="s">
        <v>50</v>
      </c>
      <c r="AP10" s="7">
        <v>0</v>
      </c>
      <c r="AQ10" s="7">
        <v>0</v>
      </c>
      <c r="AR10" s="9">
        <v>0</v>
      </c>
      <c r="AS10" s="9">
        <v>1</v>
      </c>
      <c r="AT10" s="10" t="s">
        <v>3584</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1</v>
      </c>
      <c r="BJ10" s="9">
        <v>0</v>
      </c>
      <c r="BK10" s="9">
        <v>1</v>
      </c>
      <c r="BL10" s="9">
        <v>0</v>
      </c>
      <c r="BM10" s="9">
        <v>1</v>
      </c>
      <c r="BN10" s="9">
        <v>0</v>
      </c>
      <c r="BO10" s="9">
        <v>0</v>
      </c>
      <c r="BP10" s="10" t="s">
        <v>50</v>
      </c>
      <c r="BQ10" s="9">
        <v>0</v>
      </c>
      <c r="BR10" s="10" t="s">
        <v>50</v>
      </c>
      <c r="BS10" s="9">
        <v>0</v>
      </c>
      <c r="BT10" s="10" t="s">
        <v>50</v>
      </c>
      <c r="BU10" s="9">
        <v>0</v>
      </c>
    </row>
    <row r="11" spans="1:73" s="9" customFormat="1" ht="15.75" customHeight="1" x14ac:dyDescent="0.2">
      <c r="A11" s="7">
        <f t="shared" si="0"/>
        <v>7009</v>
      </c>
      <c r="B11" s="7" t="s">
        <v>2084</v>
      </c>
      <c r="C11" s="7" t="s">
        <v>3015</v>
      </c>
      <c r="D11" s="11" t="s">
        <v>3603</v>
      </c>
      <c r="E11" s="11" t="s">
        <v>3012</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1032</v>
      </c>
      <c r="AM11" s="7" t="s">
        <v>981</v>
      </c>
      <c r="AN11" s="7" t="s">
        <v>3018</v>
      </c>
      <c r="AO11" s="7" t="s">
        <v>50</v>
      </c>
      <c r="AP11" s="7">
        <v>0</v>
      </c>
      <c r="AQ11" s="7">
        <v>0</v>
      </c>
      <c r="AR11" s="9">
        <v>0</v>
      </c>
      <c r="AS11" s="9">
        <v>1</v>
      </c>
      <c r="AT11" s="10" t="s">
        <v>3585</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1</v>
      </c>
      <c r="BJ11" s="9">
        <v>0</v>
      </c>
      <c r="BK11" s="9">
        <v>1</v>
      </c>
      <c r="BL11" s="9">
        <v>0</v>
      </c>
      <c r="BM11" s="9">
        <v>1</v>
      </c>
      <c r="BN11" s="9">
        <v>0</v>
      </c>
      <c r="BO11" s="9">
        <v>0</v>
      </c>
      <c r="BP11" s="10" t="s">
        <v>50</v>
      </c>
      <c r="BQ11" s="9">
        <v>0</v>
      </c>
      <c r="BR11" s="10" t="s">
        <v>50</v>
      </c>
      <c r="BS11" s="9">
        <v>0</v>
      </c>
      <c r="BT11" s="10" t="s">
        <v>50</v>
      </c>
      <c r="BU11" s="9">
        <v>0</v>
      </c>
    </row>
    <row r="12" spans="1:73" s="9" customFormat="1" ht="15.75" customHeight="1" x14ac:dyDescent="0.2">
      <c r="A12" s="7">
        <f t="shared" si="0"/>
        <v>7010</v>
      </c>
      <c r="B12" s="7" t="s">
        <v>2084</v>
      </c>
      <c r="C12" s="7" t="s">
        <v>3016</v>
      </c>
      <c r="D12" s="11" t="s">
        <v>3176</v>
      </c>
      <c r="E12" s="11" t="s">
        <v>3017</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1032</v>
      </c>
      <c r="AM12" s="7" t="s">
        <v>981</v>
      </c>
      <c r="AN12" s="7" t="s">
        <v>3587</v>
      </c>
      <c r="AO12" s="7" t="s">
        <v>50</v>
      </c>
      <c r="AP12" s="7">
        <v>0</v>
      </c>
      <c r="AQ12" s="7">
        <v>0</v>
      </c>
      <c r="AR12" s="9">
        <v>0</v>
      </c>
      <c r="AS12" s="9">
        <v>1</v>
      </c>
      <c r="AT12" s="10" t="s">
        <v>3586</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1</v>
      </c>
      <c r="BJ12" s="9">
        <v>0</v>
      </c>
      <c r="BK12" s="9">
        <v>1</v>
      </c>
      <c r="BL12" s="9">
        <v>0</v>
      </c>
      <c r="BM12" s="9">
        <v>1</v>
      </c>
      <c r="BN12" s="9">
        <v>0</v>
      </c>
      <c r="BO12" s="9">
        <v>0</v>
      </c>
      <c r="BP12" s="10" t="s">
        <v>50</v>
      </c>
      <c r="BQ12" s="9">
        <v>0</v>
      </c>
      <c r="BR12" s="10" t="s">
        <v>50</v>
      </c>
      <c r="BS12" s="9">
        <v>0</v>
      </c>
      <c r="BT12" s="10" t="s">
        <v>50</v>
      </c>
      <c r="BU12" s="9">
        <v>0</v>
      </c>
    </row>
    <row r="13" spans="1:73" ht="15.75" customHeight="1" x14ac:dyDescent="0.2">
      <c r="A13" s="3">
        <f t="shared" si="0"/>
        <v>7011</v>
      </c>
      <c r="B13" s="3" t="s">
        <v>3542</v>
      </c>
      <c r="C13" s="3" t="s">
        <v>460</v>
      </c>
      <c r="D13" s="5" t="s">
        <v>2917</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981</v>
      </c>
      <c r="AN13" s="3" t="s">
        <v>3019</v>
      </c>
      <c r="AO13" s="3" t="s">
        <v>1850</v>
      </c>
      <c r="AP13" s="3">
        <v>0</v>
      </c>
      <c r="AQ13" s="3">
        <v>0</v>
      </c>
      <c r="AR13">
        <v>0</v>
      </c>
      <c r="AS13">
        <v>1</v>
      </c>
      <c r="AT13" s="6" t="s">
        <v>3588</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row>
    <row r="14" spans="1:73" s="9" customFormat="1" ht="15.75" customHeight="1" x14ac:dyDescent="0.2">
      <c r="A14" s="3">
        <f t="shared" si="0"/>
        <v>7012</v>
      </c>
      <c r="B14" s="7" t="s">
        <v>3542</v>
      </c>
      <c r="C14" s="7" t="s">
        <v>462</v>
      </c>
      <c r="D14" s="8" t="s">
        <v>2918</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981</v>
      </c>
      <c r="AN14" s="7" t="s">
        <v>3019</v>
      </c>
      <c r="AO14" s="7" t="s">
        <v>1850</v>
      </c>
      <c r="AP14" s="7">
        <v>0</v>
      </c>
      <c r="AQ14" s="7">
        <v>0</v>
      </c>
      <c r="AR14" s="9">
        <v>0</v>
      </c>
      <c r="AS14" s="9">
        <v>1</v>
      </c>
      <c r="AT14" s="10" t="s">
        <v>3588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row>
    <row r="15" spans="1:73" s="9" customFormat="1" ht="15.75" customHeight="1" x14ac:dyDescent="0.2">
      <c r="A15" s="3">
        <f t="shared" si="0"/>
        <v>7013</v>
      </c>
      <c r="B15" s="7" t="s">
        <v>3542</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981</v>
      </c>
      <c r="AN15" s="7" t="s">
        <v>3019</v>
      </c>
      <c r="AO15" s="7" t="s">
        <v>1850</v>
      </c>
      <c r="AP15" s="7">
        <v>0</v>
      </c>
      <c r="AQ15" s="7">
        <v>0</v>
      </c>
      <c r="AR15" s="9">
        <v>0</v>
      </c>
      <c r="AS15" s="9">
        <v>1</v>
      </c>
      <c r="AT15" s="10" t="s">
        <v>3588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row>
    <row r="16" spans="1:73" s="9" customFormat="1" ht="15.75" customHeight="1" x14ac:dyDescent="0.2">
      <c r="A16" s="3">
        <f t="shared" si="0"/>
        <v>7014</v>
      </c>
      <c r="B16" s="7" t="s">
        <v>3542</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981</v>
      </c>
      <c r="AN16" s="7" t="s">
        <v>3019</v>
      </c>
      <c r="AO16" s="7" t="s">
        <v>1850</v>
      </c>
      <c r="AP16" s="7">
        <v>0</v>
      </c>
      <c r="AQ16" s="7">
        <v>0</v>
      </c>
      <c r="AR16" s="9">
        <v>0</v>
      </c>
      <c r="AS16" s="9">
        <v>1</v>
      </c>
      <c r="AT16" s="10" t="s">
        <v>3588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row>
    <row r="17" spans="1:73" ht="15.75" customHeight="1" x14ac:dyDescent="0.2">
      <c r="A17" s="3">
        <f t="shared" si="0"/>
        <v>7015</v>
      </c>
      <c r="B17" s="3" t="s">
        <v>3277</v>
      </c>
      <c r="C17" s="3" t="s">
        <v>3277</v>
      </c>
      <c r="D17" s="5" t="s">
        <v>3275</v>
      </c>
      <c r="E17" s="5" t="s">
        <v>3276</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42</v>
      </c>
      <c r="AM17" s="3" t="s">
        <v>973</v>
      </c>
      <c r="AN17" s="3" t="s">
        <v>2026</v>
      </c>
      <c r="AO17" s="3" t="s">
        <v>50</v>
      </c>
      <c r="AP17" s="3">
        <v>0</v>
      </c>
      <c r="AQ17" s="3">
        <v>0</v>
      </c>
      <c r="AR17">
        <v>0</v>
      </c>
      <c r="AS17">
        <v>1</v>
      </c>
      <c r="AT17" s="6" t="s">
        <v>3589</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row>
    <row r="18" spans="1:73" ht="15.75" customHeight="1" x14ac:dyDescent="0.2">
      <c r="A18" s="3">
        <f t="shared" si="0"/>
        <v>7016</v>
      </c>
      <c r="B18" s="3" t="s">
        <v>397</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0</v>
      </c>
      <c r="Z18" s="3">
        <v>0</v>
      </c>
      <c r="AA18" s="3">
        <v>0</v>
      </c>
      <c r="AB18" s="3">
        <v>0</v>
      </c>
      <c r="AC18" s="3">
        <v>0</v>
      </c>
      <c r="AD18" s="3">
        <v>0</v>
      </c>
      <c r="AE18" s="3">
        <v>5</v>
      </c>
      <c r="AF18" s="3">
        <v>-5</v>
      </c>
      <c r="AG18" s="3">
        <v>0</v>
      </c>
      <c r="AH18" s="3">
        <v>0</v>
      </c>
      <c r="AI18" s="3">
        <v>0</v>
      </c>
      <c r="AJ18" s="3">
        <v>0</v>
      </c>
      <c r="AK18" s="3">
        <v>0</v>
      </c>
      <c r="AL18" s="3" t="s">
        <v>42</v>
      </c>
      <c r="AM18" s="3" t="s">
        <v>23</v>
      </c>
      <c r="AN18" s="3" t="s">
        <v>2026</v>
      </c>
      <c r="AO18" s="3" t="s">
        <v>51</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row>
    <row r="19" spans="1:73" ht="15.75" customHeight="1" x14ac:dyDescent="0.2">
      <c r="A19" s="3">
        <f t="shared" si="0"/>
        <v>7017</v>
      </c>
      <c r="B19" s="3" t="s">
        <v>398</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3</v>
      </c>
      <c r="AF19" s="3">
        <v>-3</v>
      </c>
      <c r="AG19" s="3">
        <v>0</v>
      </c>
      <c r="AH19" s="3">
        <v>0</v>
      </c>
      <c r="AI19" s="3">
        <v>0</v>
      </c>
      <c r="AJ19" s="3">
        <v>0</v>
      </c>
      <c r="AK19" s="3">
        <v>0</v>
      </c>
      <c r="AL19" s="3" t="s">
        <v>42</v>
      </c>
      <c r="AM19" s="3" t="s">
        <v>981</v>
      </c>
      <c r="AN19" s="3" t="s">
        <v>2026</v>
      </c>
      <c r="AO19" s="3" t="s">
        <v>1850</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row>
    <row r="20" spans="1:73" ht="15.75" customHeight="1" x14ac:dyDescent="0.2">
      <c r="A20" s="3">
        <f t="shared" si="0"/>
        <v>7018</v>
      </c>
      <c r="B20" s="3" t="s">
        <v>185</v>
      </c>
      <c r="C20" s="3" t="s">
        <v>185</v>
      </c>
      <c r="D20" s="5" t="s">
        <v>47</v>
      </c>
      <c r="E20" s="5" t="s">
        <v>475</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-5</v>
      </c>
      <c r="AF20" s="3">
        <v>5</v>
      </c>
      <c r="AG20" s="3">
        <v>5</v>
      </c>
      <c r="AH20" s="3">
        <v>0</v>
      </c>
      <c r="AI20" s="3">
        <v>5</v>
      </c>
      <c r="AJ20" s="3">
        <v>0</v>
      </c>
      <c r="AK20" s="3">
        <v>0</v>
      </c>
      <c r="AL20" s="3" t="s">
        <v>42</v>
      </c>
      <c r="AM20" s="3" t="s">
        <v>981</v>
      </c>
      <c r="AN20" s="3" t="s">
        <v>2026</v>
      </c>
      <c r="AO20" s="3" t="s">
        <v>1850</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row>
    <row r="21" spans="1:73" ht="15.75" customHeight="1" x14ac:dyDescent="0.2">
      <c r="A21" s="3">
        <f>ROW()+6998</f>
        <v>7019</v>
      </c>
      <c r="B21" s="3" t="s">
        <v>1842</v>
      </c>
      <c r="C21" s="3" t="s">
        <v>1842</v>
      </c>
      <c r="D21" s="5" t="s">
        <v>1841</v>
      </c>
      <c r="E21" s="5" t="s">
        <v>1848</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3</v>
      </c>
      <c r="AJ21" s="3">
        <v>0</v>
      </c>
      <c r="AK21" s="3">
        <v>0</v>
      </c>
      <c r="AL21" s="3" t="s">
        <v>42</v>
      </c>
      <c r="AM21" s="3" t="s">
        <v>981</v>
      </c>
      <c r="AN21" s="3" t="s">
        <v>2026</v>
      </c>
      <c r="AO21" s="3" t="s">
        <v>1850</v>
      </c>
      <c r="AP21" s="3">
        <v>0</v>
      </c>
      <c r="AQ21" s="3">
        <v>0</v>
      </c>
      <c r="AR21">
        <v>0</v>
      </c>
      <c r="AS21">
        <v>1</v>
      </c>
      <c r="AT21" s="6" t="s">
        <v>1845</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row>
    <row r="22" spans="1:73" ht="15.75" customHeight="1" x14ac:dyDescent="0.2">
      <c r="A22" s="3">
        <f>ROW()+6998</f>
        <v>7020</v>
      </c>
      <c r="B22" s="3" t="s">
        <v>3571</v>
      </c>
      <c r="C22" s="3" t="s">
        <v>3571</v>
      </c>
      <c r="D22" s="5" t="s">
        <v>3572</v>
      </c>
      <c r="E22" s="5" t="s">
        <v>3581</v>
      </c>
      <c r="F22" s="3">
        <v>0</v>
      </c>
      <c r="G22" s="3">
        <v>0</v>
      </c>
      <c r="H22" s="3">
        <v>0</v>
      </c>
      <c r="I22" s="3">
        <v>0</v>
      </c>
      <c r="J22" s="3">
        <v>10</v>
      </c>
      <c r="K22" s="3">
        <v>1</v>
      </c>
      <c r="L22" s="3">
        <v>0</v>
      </c>
      <c r="M22" s="3">
        <v>5</v>
      </c>
      <c r="N22" s="3">
        <v>5</v>
      </c>
      <c r="O22" s="3">
        <v>10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0</v>
      </c>
      <c r="AJ22" s="3">
        <v>0</v>
      </c>
      <c r="AK22" s="3">
        <v>0</v>
      </c>
      <c r="AL22" s="3" t="s">
        <v>42</v>
      </c>
      <c r="AM22" s="3" t="s">
        <v>981</v>
      </c>
      <c r="AN22" s="3" t="s">
        <v>2026</v>
      </c>
      <c r="AO22" s="3" t="s">
        <v>50</v>
      </c>
      <c r="AP22" s="3">
        <v>0</v>
      </c>
      <c r="AQ22" s="3">
        <v>0</v>
      </c>
      <c r="AR22">
        <v>0</v>
      </c>
      <c r="AS22">
        <v>1</v>
      </c>
      <c r="AT22" s="6" t="s">
        <v>3582</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row>
    <row r="23" spans="1:73" ht="15.75" customHeight="1" x14ac:dyDescent="0.2">
      <c r="A23" s="3">
        <f t="shared" si="0"/>
        <v>7021</v>
      </c>
      <c r="B23" s="3" t="s">
        <v>184</v>
      </c>
      <c r="C23" s="3" t="s">
        <v>184</v>
      </c>
      <c r="D23" s="25" t="s">
        <v>68</v>
      </c>
      <c r="E23" s="4" t="s">
        <v>315</v>
      </c>
      <c r="F23" s="3">
        <v>0</v>
      </c>
      <c r="G23" s="3">
        <v>0</v>
      </c>
      <c r="H23" s="3">
        <v>0</v>
      </c>
      <c r="I23" s="3">
        <v>0</v>
      </c>
      <c r="J23" s="3">
        <v>50</v>
      </c>
      <c r="K23" s="3">
        <v>1</v>
      </c>
      <c r="L23" s="3">
        <v>0</v>
      </c>
      <c r="M23" s="3">
        <v>10</v>
      </c>
      <c r="N23" s="3">
        <v>20</v>
      </c>
      <c r="O23" s="3">
        <v>20</v>
      </c>
      <c r="P23" s="3">
        <v>0</v>
      </c>
      <c r="Q23" s="3">
        <v>0</v>
      </c>
      <c r="R23" s="3">
        <v>30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981</v>
      </c>
      <c r="AN23" s="3" t="s">
        <v>2026</v>
      </c>
      <c r="AO23" s="3" t="s">
        <v>1850</v>
      </c>
      <c r="AP23" s="3">
        <v>0</v>
      </c>
      <c r="AQ23" s="3">
        <v>0</v>
      </c>
      <c r="AR23">
        <v>0</v>
      </c>
      <c r="AS23">
        <v>1</v>
      </c>
      <c r="AT23" s="6" t="s">
        <v>293</v>
      </c>
      <c r="AU23" s="6" t="s">
        <v>150</v>
      </c>
      <c r="AV23" s="6" t="s">
        <v>150</v>
      </c>
      <c r="AW23" s="6" t="s">
        <v>150</v>
      </c>
      <c r="AX23" s="6" t="s">
        <v>150</v>
      </c>
      <c r="AY23" s="6" t="s">
        <v>150</v>
      </c>
      <c r="AZ23" s="6" t="s">
        <v>150</v>
      </c>
      <c r="BA23" s="6" t="s">
        <v>150</v>
      </c>
      <c r="BB23" s="6" t="s">
        <v>150</v>
      </c>
      <c r="BC23" s="6" t="s">
        <v>150</v>
      </c>
      <c r="BD23" s="6" t="s">
        <v>50</v>
      </c>
      <c r="BE23" s="6" t="s">
        <v>50</v>
      </c>
      <c r="BF23" s="6" t="s">
        <v>50</v>
      </c>
      <c r="BG23" s="6" t="s">
        <v>50</v>
      </c>
      <c r="BH23" s="6" t="s">
        <v>50</v>
      </c>
      <c r="BI23">
        <v>1</v>
      </c>
      <c r="BJ23">
        <v>0</v>
      </c>
      <c r="BK23">
        <v>1</v>
      </c>
      <c r="BL23">
        <v>0</v>
      </c>
      <c r="BM23">
        <v>0</v>
      </c>
      <c r="BN23">
        <v>0</v>
      </c>
      <c r="BO23">
        <v>0</v>
      </c>
      <c r="BP23" s="6" t="s">
        <v>50</v>
      </c>
      <c r="BQ23">
        <v>0</v>
      </c>
      <c r="BR23" s="6" t="s">
        <v>50</v>
      </c>
      <c r="BS23">
        <v>0</v>
      </c>
      <c r="BT23" s="6" t="s">
        <v>50</v>
      </c>
      <c r="BU23">
        <v>0</v>
      </c>
    </row>
    <row r="24" spans="1:73" ht="15.75" customHeight="1" x14ac:dyDescent="0.2">
      <c r="A24" s="3">
        <f t="shared" si="0"/>
        <v>7022</v>
      </c>
      <c r="B24" s="3" t="s">
        <v>92</v>
      </c>
      <c r="C24" s="3" t="s">
        <v>92</v>
      </c>
      <c r="D24" s="25" t="s">
        <v>93</v>
      </c>
      <c r="E24" s="4" t="s">
        <v>94</v>
      </c>
      <c r="F24" s="3">
        <v>0</v>
      </c>
      <c r="G24" s="3">
        <v>0</v>
      </c>
      <c r="H24" s="3">
        <v>0</v>
      </c>
      <c r="I24" s="3">
        <v>0</v>
      </c>
      <c r="J24" s="3">
        <v>20</v>
      </c>
      <c r="K24" s="3">
        <v>1</v>
      </c>
      <c r="L24" s="3">
        <v>0</v>
      </c>
      <c r="M24" s="3">
        <v>0</v>
      </c>
      <c r="N24" s="3">
        <v>50</v>
      </c>
      <c r="O24" s="3">
        <v>0</v>
      </c>
      <c r="P24" s="3">
        <v>0</v>
      </c>
      <c r="Q24" s="3">
        <v>2</v>
      </c>
      <c r="R24" s="3">
        <v>50</v>
      </c>
      <c r="S24" s="3">
        <v>0</v>
      </c>
      <c r="T24" s="3">
        <v>0</v>
      </c>
      <c r="U24" s="3">
        <v>0</v>
      </c>
      <c r="V24" s="3">
        <v>0</v>
      </c>
      <c r="W24" s="3">
        <v>0</v>
      </c>
      <c r="X24" s="3">
        <v>0</v>
      </c>
      <c r="Y24" s="3">
        <v>-30</v>
      </c>
      <c r="Z24" s="3">
        <v>0</v>
      </c>
      <c r="AA24" s="3">
        <v>0</v>
      </c>
      <c r="AB24" s="3">
        <v>0</v>
      </c>
      <c r="AC24" s="3">
        <v>0</v>
      </c>
      <c r="AD24" s="3">
        <v>0</v>
      </c>
      <c r="AE24" s="3">
        <v>5</v>
      </c>
      <c r="AF24" s="3">
        <v>0</v>
      </c>
      <c r="AG24" s="3">
        <v>0</v>
      </c>
      <c r="AH24" s="3">
        <v>0</v>
      </c>
      <c r="AI24" s="3">
        <v>0</v>
      </c>
      <c r="AJ24" s="3">
        <v>0</v>
      </c>
      <c r="AK24" s="3">
        <v>0</v>
      </c>
      <c r="AL24" s="3" t="s">
        <v>42</v>
      </c>
      <c r="AM24" s="3" t="s">
        <v>981</v>
      </c>
      <c r="AN24" s="3" t="s">
        <v>2026</v>
      </c>
      <c r="AO24" s="3" t="s">
        <v>1850</v>
      </c>
      <c r="AP24" s="3">
        <v>0</v>
      </c>
      <c r="AQ24" s="3">
        <v>0</v>
      </c>
      <c r="AR24">
        <v>0</v>
      </c>
      <c r="AS24">
        <v>1</v>
      </c>
      <c r="AT24" s="6" t="s">
        <v>158</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row>
    <row r="25" spans="1:73" ht="15.75" customHeight="1" x14ac:dyDescent="0.2">
      <c r="A25" s="3">
        <f t="shared" si="0"/>
        <v>7023</v>
      </c>
      <c r="B25" s="3" t="s">
        <v>26</v>
      </c>
      <c r="C25" s="3" t="s">
        <v>367</v>
      </c>
      <c r="D25" s="5" t="s">
        <v>27</v>
      </c>
      <c r="E25" s="5" t="s">
        <v>316</v>
      </c>
      <c r="F25" s="3">
        <v>0</v>
      </c>
      <c r="G25" s="3">
        <v>0</v>
      </c>
      <c r="H25" s="3">
        <v>0</v>
      </c>
      <c r="I25" s="3">
        <v>50</v>
      </c>
      <c r="J25" s="3">
        <v>10</v>
      </c>
      <c r="K25" s="3">
        <v>1</v>
      </c>
      <c r="L25" s="3">
        <v>0</v>
      </c>
      <c r="M25" s="3">
        <v>20</v>
      </c>
      <c r="N25" s="3">
        <v>2</v>
      </c>
      <c r="O25" s="3">
        <v>0</v>
      </c>
      <c r="P25" s="3">
        <v>0</v>
      </c>
      <c r="Q25" s="3">
        <v>0</v>
      </c>
      <c r="R25" s="3">
        <v>0</v>
      </c>
      <c r="S25" s="3">
        <v>0</v>
      </c>
      <c r="T25" s="3">
        <v>0</v>
      </c>
      <c r="U25" s="3">
        <v>0</v>
      </c>
      <c r="V25" s="3">
        <v>0</v>
      </c>
      <c r="W25" s="3">
        <v>0</v>
      </c>
      <c r="X25" s="3">
        <v>10</v>
      </c>
      <c r="Y25" s="3">
        <v>0</v>
      </c>
      <c r="Z25" s="3">
        <v>0</v>
      </c>
      <c r="AA25" s="3">
        <v>0</v>
      </c>
      <c r="AB25" s="3">
        <v>0</v>
      </c>
      <c r="AC25" s="3">
        <v>0</v>
      </c>
      <c r="AD25" s="3">
        <v>0</v>
      </c>
      <c r="AE25" s="3">
        <v>0</v>
      </c>
      <c r="AF25" s="3">
        <v>0</v>
      </c>
      <c r="AG25" s="3">
        <v>0</v>
      </c>
      <c r="AH25" s="3">
        <v>0</v>
      </c>
      <c r="AI25" s="3">
        <v>0</v>
      </c>
      <c r="AJ25" s="3">
        <v>0</v>
      </c>
      <c r="AK25" s="3">
        <v>0</v>
      </c>
      <c r="AL25" s="3" t="s">
        <v>42</v>
      </c>
      <c r="AM25" s="3" t="s">
        <v>973</v>
      </c>
      <c r="AN25" s="3" t="s">
        <v>2027</v>
      </c>
      <c r="AO25" s="3" t="s">
        <v>1850</v>
      </c>
      <c r="AP25" s="3">
        <v>0</v>
      </c>
      <c r="AQ25" s="3">
        <v>0</v>
      </c>
      <c r="AR25">
        <v>0</v>
      </c>
      <c r="AS25">
        <v>1</v>
      </c>
      <c r="AT25" s="6" t="s">
        <v>288</v>
      </c>
      <c r="AU25" s="6" t="s">
        <v>150</v>
      </c>
      <c r="AV25" s="6" t="s">
        <v>150</v>
      </c>
      <c r="AW25" s="6" t="s">
        <v>150</v>
      </c>
      <c r="AX25" s="6" t="s">
        <v>150</v>
      </c>
      <c r="AY25" s="6" t="s">
        <v>150</v>
      </c>
      <c r="AZ25" s="6" t="s">
        <v>150</v>
      </c>
      <c r="BA25" s="6" t="s">
        <v>150</v>
      </c>
      <c r="BB25" s="6" t="s">
        <v>150</v>
      </c>
      <c r="BC25" s="6" t="s">
        <v>150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row>
    <row r="26" spans="1:73" ht="15.75" customHeight="1" x14ac:dyDescent="0.2">
      <c r="A26" s="3">
        <f t="shared" si="0"/>
        <v>7024</v>
      </c>
      <c r="B26" s="3" t="s">
        <v>81</v>
      </c>
      <c r="C26" s="3" t="s">
        <v>81</v>
      </c>
      <c r="D26" s="25" t="s">
        <v>82</v>
      </c>
      <c r="E26" s="4" t="s">
        <v>317</v>
      </c>
      <c r="F26" s="3">
        <v>0</v>
      </c>
      <c r="G26" s="3">
        <v>0</v>
      </c>
      <c r="H26" s="3">
        <v>0</v>
      </c>
      <c r="I26" s="3">
        <v>50</v>
      </c>
      <c r="J26" s="3">
        <v>10</v>
      </c>
      <c r="K26" s="3">
        <v>1</v>
      </c>
      <c r="L26" s="3">
        <v>0</v>
      </c>
      <c r="M26" s="3">
        <v>25</v>
      </c>
      <c r="N26" s="3">
        <v>5</v>
      </c>
      <c r="O26" s="3">
        <v>0</v>
      </c>
      <c r="P26" s="3">
        <v>0</v>
      </c>
      <c r="Q26" s="3">
        <v>0</v>
      </c>
      <c r="R26" s="3">
        <v>0</v>
      </c>
      <c r="S26" s="3">
        <v>0</v>
      </c>
      <c r="T26" s="3">
        <v>0</v>
      </c>
      <c r="U26" s="3">
        <v>0</v>
      </c>
      <c r="V26" s="3">
        <v>0</v>
      </c>
      <c r="W26" s="3">
        <v>0</v>
      </c>
      <c r="X26" s="3">
        <v>10</v>
      </c>
      <c r="Y26" s="3">
        <v>0</v>
      </c>
      <c r="Z26" s="3">
        <v>0</v>
      </c>
      <c r="AA26" s="3">
        <v>0</v>
      </c>
      <c r="AB26" s="3">
        <v>0</v>
      </c>
      <c r="AC26" s="3">
        <v>0</v>
      </c>
      <c r="AD26" s="3">
        <v>0</v>
      </c>
      <c r="AE26" s="3">
        <v>0</v>
      </c>
      <c r="AF26" s="3">
        <v>0</v>
      </c>
      <c r="AG26" s="3">
        <v>0</v>
      </c>
      <c r="AH26" s="3">
        <v>0</v>
      </c>
      <c r="AI26" s="3">
        <v>0</v>
      </c>
      <c r="AJ26" s="3">
        <v>0</v>
      </c>
      <c r="AK26" s="3">
        <v>0</v>
      </c>
      <c r="AL26" s="3" t="s">
        <v>42</v>
      </c>
      <c r="AM26" s="3" t="s">
        <v>23</v>
      </c>
      <c r="AN26" s="3" t="s">
        <v>2374</v>
      </c>
      <c r="AO26" s="3" t="s">
        <v>1850</v>
      </c>
      <c r="AP26" s="3">
        <v>0</v>
      </c>
      <c r="AQ26" s="3">
        <v>0</v>
      </c>
      <c r="AR26">
        <v>0</v>
      </c>
      <c r="AS26">
        <v>1</v>
      </c>
      <c r="AT26" s="6" t="s">
        <v>289</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row>
    <row r="27" spans="1:73" ht="15.75" customHeight="1" x14ac:dyDescent="0.2">
      <c r="A27" s="3">
        <f t="shared" si="0"/>
        <v>7025</v>
      </c>
      <c r="B27" s="3" t="s">
        <v>2067</v>
      </c>
      <c r="C27" s="3" t="s">
        <v>2067</v>
      </c>
      <c r="D27" s="5" t="s">
        <v>2066</v>
      </c>
      <c r="E27" s="5" t="s">
        <v>2078</v>
      </c>
      <c r="F27" s="3">
        <v>0</v>
      </c>
      <c r="G27" s="3">
        <v>0</v>
      </c>
      <c r="H27" s="3">
        <v>0</v>
      </c>
      <c r="I27" s="3">
        <v>50</v>
      </c>
      <c r="J27" s="3">
        <v>30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42</v>
      </c>
      <c r="AM27" s="3" t="s">
        <v>981</v>
      </c>
      <c r="AN27" s="3" t="s">
        <v>1988</v>
      </c>
      <c r="AO27" s="3" t="s">
        <v>50</v>
      </c>
      <c r="AP27" s="3">
        <v>0</v>
      </c>
      <c r="AQ27" s="3">
        <v>0</v>
      </c>
      <c r="AR27">
        <v>0</v>
      </c>
      <c r="AS27">
        <v>5</v>
      </c>
      <c r="AT27" s="6" t="s">
        <v>2521</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row>
    <row r="28" spans="1:73" ht="15.75" customHeight="1" x14ac:dyDescent="0.2">
      <c r="A28" s="3">
        <f t="shared" si="0"/>
        <v>7026</v>
      </c>
      <c r="B28" s="3" t="s">
        <v>2067</v>
      </c>
      <c r="C28" s="3" t="s">
        <v>3630</v>
      </c>
      <c r="D28" s="5" t="s">
        <v>3628</v>
      </c>
      <c r="E28" s="5" t="s">
        <v>3633</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981</v>
      </c>
      <c r="AN28" s="3" t="s">
        <v>1988</v>
      </c>
      <c r="AO28" s="3" t="s">
        <v>50</v>
      </c>
      <c r="AP28" s="3">
        <v>0</v>
      </c>
      <c r="AQ28" s="3">
        <v>0</v>
      </c>
      <c r="AR28">
        <v>0</v>
      </c>
      <c r="AS28">
        <v>5</v>
      </c>
      <c r="AT28" s="6" t="s">
        <v>2521</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row>
    <row r="29" spans="1:73" ht="15.75" customHeight="1" x14ac:dyDescent="0.2">
      <c r="A29" s="3">
        <f t="shared" si="0"/>
        <v>7027</v>
      </c>
      <c r="B29" s="3" t="s">
        <v>2067</v>
      </c>
      <c r="C29" s="3" t="s">
        <v>3631</v>
      </c>
      <c r="D29" s="5" t="s">
        <v>3629</v>
      </c>
      <c r="E29" s="5" t="s">
        <v>3632</v>
      </c>
      <c r="F29" s="3">
        <v>0</v>
      </c>
      <c r="G29" s="3">
        <v>0</v>
      </c>
      <c r="H29" s="3">
        <v>0</v>
      </c>
      <c r="I29" s="3">
        <v>50</v>
      </c>
      <c r="J29" s="3">
        <v>30</v>
      </c>
      <c r="K29" s="3">
        <v>1</v>
      </c>
      <c r="L29" s="3">
        <v>0</v>
      </c>
      <c r="M29" s="3">
        <v>0</v>
      </c>
      <c r="N29" s="3">
        <v>0</v>
      </c>
      <c r="O29" s="3">
        <v>0</v>
      </c>
      <c r="P29" s="3">
        <v>0</v>
      </c>
      <c r="Q29" s="3">
        <v>0</v>
      </c>
      <c r="R29" s="3">
        <v>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981</v>
      </c>
      <c r="AN29" s="3" t="s">
        <v>1988</v>
      </c>
      <c r="AO29" s="3" t="s">
        <v>50</v>
      </c>
      <c r="AP29" s="3">
        <v>0</v>
      </c>
      <c r="AQ29" s="3">
        <v>0</v>
      </c>
      <c r="AR29">
        <v>0</v>
      </c>
      <c r="AS29">
        <v>5</v>
      </c>
      <c r="AT29" s="6" t="s">
        <v>2521</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row>
    <row r="30" spans="1:73" ht="15.75" customHeight="1" x14ac:dyDescent="0.2">
      <c r="A30" s="3">
        <f t="shared" si="0"/>
        <v>7028</v>
      </c>
      <c r="B30" s="3" t="s">
        <v>402</v>
      </c>
      <c r="C30" s="3" t="s">
        <v>402</v>
      </c>
      <c r="D30" s="25" t="s">
        <v>403</v>
      </c>
      <c r="E30" s="4" t="s">
        <v>404</v>
      </c>
      <c r="F30" s="3">
        <v>0</v>
      </c>
      <c r="G30" s="3">
        <v>0</v>
      </c>
      <c r="H30" s="3">
        <v>0</v>
      </c>
      <c r="I30" s="3">
        <v>50</v>
      </c>
      <c r="J30" s="3">
        <v>5</v>
      </c>
      <c r="K30" s="3">
        <v>1</v>
      </c>
      <c r="L30" s="3">
        <v>0</v>
      </c>
      <c r="M30" s="3">
        <v>5</v>
      </c>
      <c r="N30" s="3">
        <v>2</v>
      </c>
      <c r="O30" s="3">
        <v>0</v>
      </c>
      <c r="P30" s="3">
        <v>0</v>
      </c>
      <c r="Q30" s="3">
        <v>0</v>
      </c>
      <c r="R30" s="3">
        <v>0</v>
      </c>
      <c r="S30" s="3">
        <v>0</v>
      </c>
      <c r="T30" s="3">
        <v>0</v>
      </c>
      <c r="U30" s="3">
        <v>0</v>
      </c>
      <c r="V30" s="3">
        <v>0</v>
      </c>
      <c r="W30" s="3">
        <v>0</v>
      </c>
      <c r="X30" s="3">
        <v>0</v>
      </c>
      <c r="Y30" s="3">
        <v>0</v>
      </c>
      <c r="Z30" s="3">
        <v>0</v>
      </c>
      <c r="AA30" s="3">
        <v>0</v>
      </c>
      <c r="AB30" s="3">
        <v>0</v>
      </c>
      <c r="AC30" s="3">
        <v>3</v>
      </c>
      <c r="AD30" s="3">
        <v>0</v>
      </c>
      <c r="AE30" s="3">
        <v>0</v>
      </c>
      <c r="AF30" s="3">
        <v>0</v>
      </c>
      <c r="AG30" s="3">
        <v>3</v>
      </c>
      <c r="AH30" s="3">
        <v>0</v>
      </c>
      <c r="AI30" s="3">
        <v>0</v>
      </c>
      <c r="AJ30" s="3">
        <v>0</v>
      </c>
      <c r="AK30" s="3">
        <v>0</v>
      </c>
      <c r="AL30" s="3" t="s">
        <v>42</v>
      </c>
      <c r="AM30" s="3" t="s">
        <v>981</v>
      </c>
      <c r="AN30" s="3" t="s">
        <v>2446</v>
      </c>
      <c r="AO30" s="3" t="s">
        <v>1850</v>
      </c>
      <c r="AP30" s="3">
        <v>0</v>
      </c>
      <c r="AQ30" s="3">
        <v>0</v>
      </c>
      <c r="AR30">
        <v>0</v>
      </c>
      <c r="AS30">
        <v>1</v>
      </c>
      <c r="AT30" s="6" t="s">
        <v>495</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ref="A31:A46" si="1">ROW()+6998</f>
        <v>7029</v>
      </c>
      <c r="B31" s="3" t="s">
        <v>3509</v>
      </c>
      <c r="C31" s="3" t="s">
        <v>2738</v>
      </c>
      <c r="D31" s="25" t="s">
        <v>2736</v>
      </c>
      <c r="E31" s="4" t="s">
        <v>2737</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0</v>
      </c>
      <c r="AD31" s="3">
        <v>0</v>
      </c>
      <c r="AE31" s="3">
        <v>6</v>
      </c>
      <c r="AF31" s="3">
        <v>-6</v>
      </c>
      <c r="AG31" s="3">
        <v>6</v>
      </c>
      <c r="AH31" s="3">
        <v>0</v>
      </c>
      <c r="AI31" s="3">
        <v>0</v>
      </c>
      <c r="AJ31" s="3">
        <v>0</v>
      </c>
      <c r="AK31" s="3">
        <v>0</v>
      </c>
      <c r="AL31" s="3" t="s">
        <v>42</v>
      </c>
      <c r="AM31" s="3" t="s">
        <v>981</v>
      </c>
      <c r="AN31" s="3" t="s">
        <v>3184</v>
      </c>
      <c r="AO31" s="3" t="s">
        <v>50</v>
      </c>
      <c r="AP31" s="3">
        <v>0</v>
      </c>
      <c r="AQ31" s="3">
        <v>0</v>
      </c>
      <c r="AR31">
        <v>0</v>
      </c>
      <c r="AS31">
        <v>1</v>
      </c>
      <c r="AT31" s="6" t="s">
        <v>3590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si="1"/>
        <v>7030</v>
      </c>
      <c r="B32" s="3" t="s">
        <v>3180</v>
      </c>
      <c r="C32" s="3" t="s">
        <v>3180</v>
      </c>
      <c r="D32" s="25" t="s">
        <v>3429</v>
      </c>
      <c r="E32" s="4" t="s">
        <v>3177</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8</v>
      </c>
      <c r="AH32" s="3">
        <v>0</v>
      </c>
      <c r="AI32" s="3">
        <v>0</v>
      </c>
      <c r="AJ32" s="3">
        <v>0</v>
      </c>
      <c r="AK32" s="3">
        <v>0</v>
      </c>
      <c r="AL32" s="3" t="s">
        <v>42</v>
      </c>
      <c r="AM32" s="3" t="s">
        <v>981</v>
      </c>
      <c r="AN32" s="3" t="s">
        <v>3185</v>
      </c>
      <c r="AO32" s="3" t="s">
        <v>50</v>
      </c>
      <c r="AP32" s="3">
        <v>0</v>
      </c>
      <c r="AQ32" s="3">
        <v>0</v>
      </c>
      <c r="AR32">
        <v>0</v>
      </c>
      <c r="AS32">
        <v>1</v>
      </c>
      <c r="AT32" s="6" t="s">
        <v>3591</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row>
    <row r="33" spans="1:73" ht="15.75" customHeight="1" x14ac:dyDescent="0.2">
      <c r="A33" s="3">
        <f t="shared" si="1"/>
        <v>7031</v>
      </c>
      <c r="B33" s="3" t="s">
        <v>3179</v>
      </c>
      <c r="C33" s="3" t="s">
        <v>3179</v>
      </c>
      <c r="D33" s="25" t="s">
        <v>3486</v>
      </c>
      <c r="E33" s="4" t="s">
        <v>3626</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981</v>
      </c>
      <c r="AN33" s="3" t="s">
        <v>3185</v>
      </c>
      <c r="AO33" s="3" t="s">
        <v>50</v>
      </c>
      <c r="AP33" s="3">
        <v>0</v>
      </c>
      <c r="AQ33" s="3">
        <v>0</v>
      </c>
      <c r="AR33">
        <v>0</v>
      </c>
      <c r="AS33">
        <v>1</v>
      </c>
      <c r="AT33" s="51" t="s">
        <v>3592</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row>
    <row r="34" spans="1:73" ht="15.75" customHeight="1" x14ac:dyDescent="0.2">
      <c r="A34" s="3">
        <f t="shared" si="1"/>
        <v>7032</v>
      </c>
      <c r="B34" s="3" t="s">
        <v>3182</v>
      </c>
      <c r="C34" s="3" t="s">
        <v>3182</v>
      </c>
      <c r="D34" s="25" t="s">
        <v>3625</v>
      </c>
      <c r="E34" s="4" t="s">
        <v>3485</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8</v>
      </c>
      <c r="AF34" s="3">
        <v>0</v>
      </c>
      <c r="AG34" s="3">
        <v>0</v>
      </c>
      <c r="AH34" s="3">
        <v>0</v>
      </c>
      <c r="AI34" s="3">
        <v>0</v>
      </c>
      <c r="AJ34" s="3">
        <v>0</v>
      </c>
      <c r="AK34" s="3">
        <v>0</v>
      </c>
      <c r="AL34" s="3" t="s">
        <v>42</v>
      </c>
      <c r="AM34" s="3" t="s">
        <v>981</v>
      </c>
      <c r="AN34" s="3" t="s">
        <v>3185</v>
      </c>
      <c r="AO34" s="3" t="s">
        <v>50</v>
      </c>
      <c r="AP34" s="3">
        <v>0</v>
      </c>
      <c r="AQ34" s="3">
        <v>0</v>
      </c>
      <c r="AR34">
        <v>0</v>
      </c>
      <c r="AS34">
        <v>1</v>
      </c>
      <c r="AT34" s="51" t="s">
        <v>3593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row>
    <row r="35" spans="1:73" ht="15.75" customHeight="1" x14ac:dyDescent="0.2">
      <c r="A35" s="3">
        <f t="shared" si="1"/>
        <v>7033</v>
      </c>
      <c r="B35" s="3" t="s">
        <v>3487</v>
      </c>
      <c r="C35" s="3" t="s">
        <v>3487</v>
      </c>
      <c r="D35" s="25" t="s">
        <v>3488</v>
      </c>
      <c r="E35" s="4" t="s">
        <v>3627</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8</v>
      </c>
      <c r="AI35" s="3">
        <v>0</v>
      </c>
      <c r="AJ35" s="3">
        <v>0</v>
      </c>
      <c r="AK35" s="3">
        <v>0</v>
      </c>
      <c r="AL35" s="3" t="s">
        <v>42</v>
      </c>
      <c r="AM35" s="3" t="s">
        <v>981</v>
      </c>
      <c r="AN35" s="3" t="s">
        <v>3185</v>
      </c>
      <c r="AO35" s="3" t="s">
        <v>50</v>
      </c>
      <c r="AP35" s="3">
        <v>0</v>
      </c>
      <c r="AQ35" s="3">
        <v>0</v>
      </c>
      <c r="AR35">
        <v>0</v>
      </c>
      <c r="AS35">
        <v>1</v>
      </c>
      <c r="AT35" s="51" t="s">
        <v>3594</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row>
    <row r="36" spans="1:73" ht="15.75" customHeight="1" x14ac:dyDescent="0.2">
      <c r="A36" s="3">
        <f t="shared" si="1"/>
        <v>7034</v>
      </c>
      <c r="B36" s="3" t="s">
        <v>1029</v>
      </c>
      <c r="C36" s="3" t="s">
        <v>1029</v>
      </c>
      <c r="D36" s="25" t="s">
        <v>1030</v>
      </c>
      <c r="E36" s="4" t="s">
        <v>1031</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-50</v>
      </c>
      <c r="Z36" s="3">
        <v>0</v>
      </c>
      <c r="AA36" s="3">
        <v>0</v>
      </c>
      <c r="AB36" s="3">
        <v>0</v>
      </c>
      <c r="AC36" s="3">
        <v>0</v>
      </c>
      <c r="AD36" s="3">
        <v>0</v>
      </c>
      <c r="AE36" s="3">
        <v>0</v>
      </c>
      <c r="AF36" s="3">
        <v>0</v>
      </c>
      <c r="AG36" s="3">
        <v>0</v>
      </c>
      <c r="AH36" s="3">
        <v>0</v>
      </c>
      <c r="AI36" s="3">
        <v>0</v>
      </c>
      <c r="AJ36" s="3">
        <v>0</v>
      </c>
      <c r="AK36" s="3">
        <v>0</v>
      </c>
      <c r="AL36" s="3" t="s">
        <v>42</v>
      </c>
      <c r="AM36" s="3" t="s">
        <v>981</v>
      </c>
      <c r="AN36" s="3" t="s">
        <v>2028</v>
      </c>
      <c r="AO36" s="3" t="s">
        <v>1850</v>
      </c>
      <c r="AP36" s="3">
        <v>0</v>
      </c>
      <c r="AQ36" s="3">
        <v>0</v>
      </c>
      <c r="AR36">
        <v>0</v>
      </c>
      <c r="AS36">
        <v>1</v>
      </c>
      <c r="AT36" s="6" t="s">
        <v>1042</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row>
    <row r="37" spans="1:73" ht="15.75" customHeight="1" x14ac:dyDescent="0.2">
      <c r="A37" s="3">
        <f t="shared" si="1"/>
        <v>7035</v>
      </c>
      <c r="B37" s="3" t="s">
        <v>1434</v>
      </c>
      <c r="C37" s="3" t="s">
        <v>1434</v>
      </c>
      <c r="D37" s="25" t="s">
        <v>1433</v>
      </c>
      <c r="E37" s="4" t="s">
        <v>1545</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981</v>
      </c>
      <c r="AN37" s="3" t="s">
        <v>2028</v>
      </c>
      <c r="AO37" s="3" t="s">
        <v>1850</v>
      </c>
      <c r="AP37" s="3">
        <v>0</v>
      </c>
      <c r="AQ37" s="3">
        <v>0</v>
      </c>
      <c r="AR37">
        <v>0</v>
      </c>
      <c r="AS37">
        <v>1</v>
      </c>
      <c r="AT37" s="6" t="s">
        <v>3595</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row>
    <row r="38" spans="1:73" ht="15.75" customHeight="1" x14ac:dyDescent="0.2">
      <c r="A38" s="3">
        <f t="shared" si="1"/>
        <v>7036</v>
      </c>
      <c r="B38" s="3" t="s">
        <v>494</v>
      </c>
      <c r="C38" s="3" t="s">
        <v>325</v>
      </c>
      <c r="D38" s="25" t="s">
        <v>309</v>
      </c>
      <c r="E38" s="4" t="s">
        <v>600</v>
      </c>
      <c r="F38" s="3">
        <v>0</v>
      </c>
      <c r="G38" s="3">
        <v>0</v>
      </c>
      <c r="H38" s="3">
        <v>0</v>
      </c>
      <c r="I38" s="3">
        <v>50</v>
      </c>
      <c r="J38" s="3">
        <v>10</v>
      </c>
      <c r="K38" s="3">
        <v>1</v>
      </c>
      <c r="L38" s="3">
        <v>0</v>
      </c>
      <c r="M38" s="3">
        <v>20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42</v>
      </c>
      <c r="AM38" s="3" t="s">
        <v>329</v>
      </c>
      <c r="AN38" s="3" t="s">
        <v>2029</v>
      </c>
      <c r="AO38" s="3" t="s">
        <v>1850</v>
      </c>
      <c r="AP38" s="3">
        <v>0</v>
      </c>
      <c r="AQ38" s="3">
        <v>0</v>
      </c>
      <c r="AR38">
        <v>0</v>
      </c>
      <c r="AS38">
        <v>1</v>
      </c>
      <c r="AT38" s="6" t="s">
        <v>50</v>
      </c>
      <c r="AU38" s="6" t="s">
        <v>50</v>
      </c>
      <c r="AV38" s="6" t="s">
        <v>50</v>
      </c>
      <c r="AW38" s="6" t="s">
        <v>50</v>
      </c>
      <c r="AX38" s="6" t="s">
        <v>50</v>
      </c>
      <c r="AY38" s="6" t="s">
        <v>50</v>
      </c>
      <c r="AZ38" s="6" t="s">
        <v>50</v>
      </c>
      <c r="BA38" s="6" t="s">
        <v>50</v>
      </c>
      <c r="BB38" s="6" t="s">
        <v>50</v>
      </c>
      <c r="BC38" s="6" t="s">
        <v>50</v>
      </c>
      <c r="BD38" s="6" t="s">
        <v>329</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row>
    <row r="39" spans="1:73" ht="15.75" customHeight="1" x14ac:dyDescent="0.2">
      <c r="A39" s="3">
        <f t="shared" si="1"/>
        <v>7037</v>
      </c>
      <c r="B39" s="3" t="s">
        <v>494</v>
      </c>
      <c r="C39" s="3" t="s">
        <v>1218</v>
      </c>
      <c r="D39" s="25" t="s">
        <v>1217</v>
      </c>
      <c r="E39" s="4" t="s">
        <v>1219</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2029</v>
      </c>
      <c r="AO39" s="3" t="s">
        <v>1850</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1220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row>
    <row r="40" spans="1:73" s="9" customFormat="1" ht="15.75" customHeight="1" x14ac:dyDescent="0.2">
      <c r="A40" s="3">
        <f t="shared" si="1"/>
        <v>7038</v>
      </c>
      <c r="B40" s="7" t="s">
        <v>494</v>
      </c>
      <c r="C40" s="7" t="s">
        <v>671</v>
      </c>
      <c r="D40" s="26" t="s">
        <v>670</v>
      </c>
      <c r="E40" s="11" t="s">
        <v>672</v>
      </c>
      <c r="F40" s="7">
        <v>0</v>
      </c>
      <c r="G40" s="7">
        <v>0</v>
      </c>
      <c r="H40" s="7">
        <v>0</v>
      </c>
      <c r="I40" s="7">
        <v>50</v>
      </c>
      <c r="J40" s="7">
        <v>10</v>
      </c>
      <c r="K40" s="7">
        <v>1</v>
      </c>
      <c r="L40" s="7">
        <v>0</v>
      </c>
      <c r="M40" s="7">
        <v>20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42</v>
      </c>
      <c r="AM40" s="7" t="s">
        <v>329</v>
      </c>
      <c r="AN40" s="7" t="s">
        <v>2029</v>
      </c>
      <c r="AO40" s="7" t="s">
        <v>1850</v>
      </c>
      <c r="AP40" s="7">
        <v>0</v>
      </c>
      <c r="AQ40" s="7">
        <v>0</v>
      </c>
      <c r="AR40" s="9">
        <v>0</v>
      </c>
      <c r="AS40" s="9">
        <v>1</v>
      </c>
      <c r="AT40" s="10" t="s">
        <v>50</v>
      </c>
      <c r="AU40" s="10" t="s">
        <v>50</v>
      </c>
      <c r="AV40" s="10" t="s">
        <v>50</v>
      </c>
      <c r="AW40" s="10" t="s">
        <v>50</v>
      </c>
      <c r="AX40" s="10" t="s">
        <v>50</v>
      </c>
      <c r="AY40" s="10" t="s">
        <v>50</v>
      </c>
      <c r="AZ40" s="10" t="s">
        <v>50</v>
      </c>
      <c r="BA40" s="10" t="s">
        <v>50</v>
      </c>
      <c r="BB40" s="10" t="s">
        <v>50</v>
      </c>
      <c r="BC40" s="10" t="s">
        <v>50</v>
      </c>
      <c r="BD40" s="10" t="s">
        <v>1206</v>
      </c>
      <c r="BE40" s="10" t="s">
        <v>50</v>
      </c>
      <c r="BF40" s="10" t="s">
        <v>50</v>
      </c>
      <c r="BG40" s="10" t="s">
        <v>50</v>
      </c>
      <c r="BH40" s="10" t="s">
        <v>50</v>
      </c>
      <c r="BI40" s="9">
        <v>0</v>
      </c>
      <c r="BJ40" s="9">
        <v>0</v>
      </c>
      <c r="BK40" s="9">
        <v>1</v>
      </c>
      <c r="BL40" s="9">
        <v>0</v>
      </c>
      <c r="BM40">
        <v>0</v>
      </c>
      <c r="BN40">
        <v>0</v>
      </c>
      <c r="BO40" s="9">
        <v>0</v>
      </c>
      <c r="BP40" s="10" t="s">
        <v>50</v>
      </c>
      <c r="BQ40">
        <v>0</v>
      </c>
      <c r="BR40" s="10" t="s">
        <v>50</v>
      </c>
      <c r="BS40">
        <v>0</v>
      </c>
      <c r="BT40" s="10" t="s">
        <v>50</v>
      </c>
      <c r="BU40">
        <v>0</v>
      </c>
    </row>
    <row r="41" spans="1:73" s="9" customFormat="1" ht="15.75" customHeight="1" x14ac:dyDescent="0.2">
      <c r="A41" s="3">
        <f t="shared" si="1"/>
        <v>7039</v>
      </c>
      <c r="B41" s="7" t="s">
        <v>494</v>
      </c>
      <c r="C41" s="7" t="s">
        <v>673</v>
      </c>
      <c r="D41" s="26" t="s">
        <v>674</v>
      </c>
      <c r="E41" s="11" t="s">
        <v>675</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2029</v>
      </c>
      <c r="AO41" s="7" t="s">
        <v>1850</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1207</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row>
    <row r="42" spans="1:73" ht="15.75" customHeight="1" x14ac:dyDescent="0.2">
      <c r="A42" s="3">
        <f t="shared" si="1"/>
        <v>7040</v>
      </c>
      <c r="B42" s="3" t="s">
        <v>1294</v>
      </c>
      <c r="C42" s="3" t="s">
        <v>677</v>
      </c>
      <c r="D42" s="25" t="s">
        <v>679</v>
      </c>
      <c r="E42" s="4" t="s">
        <v>680</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42</v>
      </c>
      <c r="AM42" s="3" t="s">
        <v>329</v>
      </c>
      <c r="AN42" s="3" t="s">
        <v>2029</v>
      </c>
      <c r="AO42" s="3" t="s">
        <v>1850</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1208</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row>
    <row r="43" spans="1:73" ht="15.75" customHeight="1" x14ac:dyDescent="0.2">
      <c r="A43" s="3">
        <f t="shared" si="1"/>
        <v>7041</v>
      </c>
      <c r="B43" s="3" t="s">
        <v>678</v>
      </c>
      <c r="C43" s="3" t="s">
        <v>678</v>
      </c>
      <c r="D43" s="25" t="s">
        <v>676</v>
      </c>
      <c r="E43" s="4" t="s">
        <v>681</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1032</v>
      </c>
      <c r="AM43" s="3" t="s">
        <v>329</v>
      </c>
      <c r="AN43" s="3" t="s">
        <v>2029</v>
      </c>
      <c r="AO43" s="3" t="s">
        <v>1850</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682</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1"/>
        <v>7042</v>
      </c>
      <c r="B44" s="3" t="s">
        <v>819</v>
      </c>
      <c r="C44" s="3" t="s">
        <v>819</v>
      </c>
      <c r="D44" s="25" t="s">
        <v>820</v>
      </c>
      <c r="E44" s="4" t="s">
        <v>821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42</v>
      </c>
      <c r="AM44" s="3" t="s">
        <v>329</v>
      </c>
      <c r="AN44" s="3" t="s">
        <v>2029</v>
      </c>
      <c r="AO44" s="3" t="s">
        <v>1850</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1213</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1"/>
        <v>7043</v>
      </c>
      <c r="B45" s="3" t="s">
        <v>1188</v>
      </c>
      <c r="C45" s="3" t="s">
        <v>1188</v>
      </c>
      <c r="D45" s="25" t="s">
        <v>1186</v>
      </c>
      <c r="E45" s="4" t="s">
        <v>1187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1032</v>
      </c>
      <c r="AM45" s="3" t="s">
        <v>329</v>
      </c>
      <c r="AN45" s="3" t="s">
        <v>2029</v>
      </c>
      <c r="AO45" s="3" t="s">
        <v>1850</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1209</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1"/>
        <v>7044</v>
      </c>
      <c r="B46" s="3" t="s">
        <v>1188</v>
      </c>
      <c r="C46" s="3" t="s">
        <v>1197</v>
      </c>
      <c r="D46" s="25" t="s">
        <v>1195</v>
      </c>
      <c r="E46" s="4" t="s">
        <v>1196</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1032</v>
      </c>
      <c r="AM46" s="3" t="s">
        <v>329</v>
      </c>
      <c r="AN46" s="3" t="s">
        <v>2029</v>
      </c>
      <c r="AO46" s="3" t="s">
        <v>1850</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1210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ref="A47:A79" si="2">ROW()+6998</f>
        <v>7045</v>
      </c>
      <c r="B47" s="3" t="s">
        <v>1201</v>
      </c>
      <c r="C47" s="3" t="s">
        <v>1201</v>
      </c>
      <c r="D47" s="25" t="s">
        <v>1202</v>
      </c>
      <c r="E47" s="4" t="s">
        <v>1203</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1032</v>
      </c>
      <c r="AM47" s="3" t="s">
        <v>329</v>
      </c>
      <c r="AN47" s="3" t="s">
        <v>2029</v>
      </c>
      <c r="AO47" s="3" t="s">
        <v>1850</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1211</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row>
    <row r="48" spans="1:73" ht="15.75" customHeight="1" x14ac:dyDescent="0.2">
      <c r="A48" s="3">
        <f t="shared" si="2"/>
        <v>7046</v>
      </c>
      <c r="B48" s="3" t="s">
        <v>684</v>
      </c>
      <c r="C48" s="3" t="s">
        <v>684</v>
      </c>
      <c r="D48" s="25" t="s">
        <v>683</v>
      </c>
      <c r="E48" s="4" t="s">
        <v>685</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2029</v>
      </c>
      <c r="AO48" s="3" t="s">
        <v>1850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1212</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row>
    <row r="49" spans="1:73" ht="15.75" customHeight="1" x14ac:dyDescent="0.2">
      <c r="A49" s="3">
        <f t="shared" si="2"/>
        <v>7047</v>
      </c>
      <c r="B49" s="3" t="s">
        <v>1238</v>
      </c>
      <c r="C49" s="3" t="s">
        <v>1238</v>
      </c>
      <c r="D49" s="25" t="s">
        <v>1239</v>
      </c>
      <c r="E49" s="4" t="s">
        <v>1240</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2029</v>
      </c>
      <c r="AO49" s="3" t="s">
        <v>1850</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1241</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row>
    <row r="50" spans="1:73" ht="15.75" customHeight="1" x14ac:dyDescent="0.2">
      <c r="A50" s="3">
        <f t="shared" si="2"/>
        <v>7048</v>
      </c>
      <c r="B50" s="3" t="s">
        <v>1398</v>
      </c>
      <c r="C50" s="3" t="s">
        <v>1398</v>
      </c>
      <c r="D50" s="25" t="s">
        <v>1397</v>
      </c>
      <c r="E50" s="4" t="s">
        <v>1399</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2029</v>
      </c>
      <c r="AO50" s="3" t="s">
        <v>1850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1400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2"/>
        <v>7049</v>
      </c>
      <c r="B51" s="3" t="s">
        <v>2570</v>
      </c>
      <c r="C51" s="3" t="s">
        <v>1868</v>
      </c>
      <c r="D51" s="25" t="s">
        <v>1867</v>
      </c>
      <c r="E51" s="4" t="s">
        <v>1904</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2029</v>
      </c>
      <c r="AO51" s="3" t="s">
        <v>50</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1869</v>
      </c>
      <c r="BE51" s="6" t="s">
        <v>50</v>
      </c>
      <c r="BF51" s="6" t="s">
        <v>50</v>
      </c>
      <c r="BG51" s="6" t="s">
        <v>50</v>
      </c>
      <c r="BH51" s="6" t="s">
        <v>50</v>
      </c>
      <c r="BI51">
        <v>1</v>
      </c>
      <c r="BJ51">
        <v>0</v>
      </c>
      <c r="BK51">
        <v>2</v>
      </c>
      <c r="BL51">
        <v>0</v>
      </c>
      <c r="BM51">
        <v>0</v>
      </c>
      <c r="BN51">
        <v>0</v>
      </c>
      <c r="BO51">
        <v>0</v>
      </c>
      <c r="BP51" s="6" t="s">
        <v>50</v>
      </c>
      <c r="BQ51">
        <v>0</v>
      </c>
      <c r="BR51" s="6" t="s">
        <v>50</v>
      </c>
      <c r="BS51">
        <v>0</v>
      </c>
      <c r="BT51" s="6" t="s">
        <v>50</v>
      </c>
      <c r="BU51">
        <v>0</v>
      </c>
    </row>
    <row r="52" spans="1:73" ht="15.75" customHeight="1" x14ac:dyDescent="0.2">
      <c r="A52" s="3">
        <f t="shared" si="2"/>
        <v>7050</v>
      </c>
      <c r="B52" s="3" t="s">
        <v>684</v>
      </c>
      <c r="C52" s="3" t="s">
        <v>1633</v>
      </c>
      <c r="D52" s="25" t="s">
        <v>1634</v>
      </c>
      <c r="E52" s="4" t="s">
        <v>1635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2029</v>
      </c>
      <c r="AO52" s="3" t="s">
        <v>1850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1636</v>
      </c>
      <c r="BE52" s="6" t="s">
        <v>50</v>
      </c>
      <c r="BF52" s="6" t="s">
        <v>50</v>
      </c>
      <c r="BG52" s="6" t="s">
        <v>50</v>
      </c>
      <c r="BH52" s="6" t="s">
        <v>50</v>
      </c>
      <c r="BI52">
        <v>1</v>
      </c>
      <c r="BJ52">
        <v>0</v>
      </c>
      <c r="BK52">
        <v>1</v>
      </c>
      <c r="BL52">
        <v>0</v>
      </c>
      <c r="BM52">
        <v>0</v>
      </c>
      <c r="BN52">
        <v>0</v>
      </c>
      <c r="BO52">
        <v>1</v>
      </c>
      <c r="BP52" s="6" t="s">
        <v>50</v>
      </c>
      <c r="BQ52">
        <v>0</v>
      </c>
      <c r="BR52" s="6" t="s">
        <v>50</v>
      </c>
      <c r="BS52">
        <v>0</v>
      </c>
      <c r="BT52" s="6" t="s">
        <v>50</v>
      </c>
      <c r="BU52">
        <v>0</v>
      </c>
    </row>
    <row r="53" spans="1:73" ht="15.75" customHeight="1" x14ac:dyDescent="0.2">
      <c r="A53" s="3">
        <f t="shared" si="2"/>
        <v>7051</v>
      </c>
      <c r="B53" s="3" t="s">
        <v>3217</v>
      </c>
      <c r="C53" s="3" t="s">
        <v>3217</v>
      </c>
      <c r="D53" s="25" t="s">
        <v>3216</v>
      </c>
      <c r="E53" s="4" t="s">
        <v>3218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2029</v>
      </c>
      <c r="AO53" s="3" t="s">
        <v>50</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3596</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row>
    <row r="54" spans="1:73" ht="15.75" customHeight="1" x14ac:dyDescent="0.2">
      <c r="A54" s="3">
        <f t="shared" si="2"/>
        <v>7052</v>
      </c>
      <c r="B54" s="3" t="s">
        <v>1182</v>
      </c>
      <c r="C54" s="3" t="s">
        <v>1182</v>
      </c>
      <c r="D54" s="25" t="s">
        <v>1180</v>
      </c>
      <c r="E54" s="4" t="s">
        <v>1181</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10</v>
      </c>
      <c r="AH54" s="3">
        <v>0</v>
      </c>
      <c r="AI54" s="3">
        <v>0</v>
      </c>
      <c r="AJ54" s="3">
        <v>0</v>
      </c>
      <c r="AK54" s="3">
        <v>0</v>
      </c>
      <c r="AL54" s="3" t="s">
        <v>42</v>
      </c>
      <c r="AM54" s="3" t="s">
        <v>1229</v>
      </c>
      <c r="AN54" s="3" t="s">
        <v>2030</v>
      </c>
      <c r="AO54" s="3" t="s">
        <v>51</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1229</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2"/>
        <v>7053</v>
      </c>
      <c r="B55" s="3" t="s">
        <v>1185</v>
      </c>
      <c r="C55" s="3" t="s">
        <v>1185</v>
      </c>
      <c r="D55" s="25" t="s">
        <v>1183</v>
      </c>
      <c r="E55" s="4" t="s">
        <v>1184</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15</v>
      </c>
      <c r="AH55" s="3">
        <v>0</v>
      </c>
      <c r="AI55" s="3">
        <v>0</v>
      </c>
      <c r="AJ55" s="3">
        <v>0</v>
      </c>
      <c r="AK55" s="3">
        <v>0</v>
      </c>
      <c r="AL55" s="3" t="s">
        <v>42</v>
      </c>
      <c r="AM55" s="3" t="s">
        <v>1229</v>
      </c>
      <c r="AN55" s="3" t="s">
        <v>2030</v>
      </c>
      <c r="AO55" s="3" t="s">
        <v>51</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1230</v>
      </c>
      <c r="BE55" s="6" t="s">
        <v>50</v>
      </c>
      <c r="BF55" s="6" t="s">
        <v>50</v>
      </c>
      <c r="BG55" s="6" t="s">
        <v>50</v>
      </c>
      <c r="BH55" s="6" t="s">
        <v>50</v>
      </c>
      <c r="BI55">
        <v>1</v>
      </c>
      <c r="BJ55">
        <v>0</v>
      </c>
      <c r="BK55">
        <v>2</v>
      </c>
      <c r="BL55">
        <v>0</v>
      </c>
      <c r="BM55">
        <v>0</v>
      </c>
      <c r="BN55">
        <v>0</v>
      </c>
      <c r="BO55">
        <v>0</v>
      </c>
      <c r="BP55" s="6" t="s">
        <v>50</v>
      </c>
      <c r="BQ55">
        <v>0</v>
      </c>
      <c r="BR55" s="6" t="s">
        <v>50</v>
      </c>
      <c r="BS55">
        <v>0</v>
      </c>
      <c r="BT55" s="6" t="s">
        <v>50</v>
      </c>
      <c r="BU55">
        <v>0</v>
      </c>
    </row>
    <row r="56" spans="1:73" s="9" customFormat="1" ht="15.75" customHeight="1" x14ac:dyDescent="0.2">
      <c r="A56" s="3">
        <f t="shared" si="2"/>
        <v>7054</v>
      </c>
      <c r="B56" s="7" t="s">
        <v>933</v>
      </c>
      <c r="C56" s="7" t="s">
        <v>745</v>
      </c>
      <c r="D56" s="8" t="s">
        <v>746</v>
      </c>
      <c r="E56" s="8" t="s">
        <v>747</v>
      </c>
      <c r="F56" s="7">
        <v>0</v>
      </c>
      <c r="G56" s="7">
        <v>0</v>
      </c>
      <c r="H56" s="7">
        <v>0</v>
      </c>
      <c r="I56" s="7">
        <v>50</v>
      </c>
      <c r="J56" s="7">
        <v>50</v>
      </c>
      <c r="K56" s="7">
        <v>1</v>
      </c>
      <c r="L56" s="7">
        <v>0</v>
      </c>
      <c r="M56" s="7">
        <v>3</v>
      </c>
      <c r="N56" s="7">
        <v>0</v>
      </c>
      <c r="O56" s="7">
        <v>0</v>
      </c>
      <c r="P56" s="7">
        <v>0</v>
      </c>
      <c r="Q56" s="7">
        <v>0</v>
      </c>
      <c r="R56" s="7">
        <v>0</v>
      </c>
      <c r="S56" s="7">
        <v>0</v>
      </c>
      <c r="T56" s="7">
        <v>0</v>
      </c>
      <c r="U56" s="7">
        <v>0</v>
      </c>
      <c r="V56" s="7">
        <v>0</v>
      </c>
      <c r="W56" s="7">
        <v>0</v>
      </c>
      <c r="X56" s="7">
        <v>0</v>
      </c>
      <c r="Y56" s="7">
        <v>0</v>
      </c>
      <c r="Z56" s="7">
        <v>0</v>
      </c>
      <c r="AA56" s="7">
        <v>0</v>
      </c>
      <c r="AB56" s="7">
        <v>0</v>
      </c>
      <c r="AC56" s="7">
        <v>0</v>
      </c>
      <c r="AD56" s="7">
        <v>0</v>
      </c>
      <c r="AE56" s="7">
        <v>0</v>
      </c>
      <c r="AF56" s="7">
        <v>0</v>
      </c>
      <c r="AG56" s="7">
        <v>0</v>
      </c>
      <c r="AH56" s="7">
        <v>0</v>
      </c>
      <c r="AI56" s="7">
        <v>0</v>
      </c>
      <c r="AJ56" s="7">
        <v>0</v>
      </c>
      <c r="AK56" s="7">
        <v>0</v>
      </c>
      <c r="AL56" s="7" t="s">
        <v>42</v>
      </c>
      <c r="AM56" s="7" t="s">
        <v>23</v>
      </c>
      <c r="AN56" s="7" t="s">
        <v>2031</v>
      </c>
      <c r="AO56" s="7" t="s">
        <v>1850</v>
      </c>
      <c r="AP56" s="7">
        <v>0</v>
      </c>
      <c r="AQ56" s="7">
        <v>0</v>
      </c>
      <c r="AR56" s="9">
        <v>0</v>
      </c>
      <c r="AS56" s="9">
        <v>1</v>
      </c>
      <c r="AT56" s="10" t="s">
        <v>936</v>
      </c>
      <c r="AU56" s="10" t="s">
        <v>50</v>
      </c>
      <c r="AV56" s="10" t="s">
        <v>50</v>
      </c>
      <c r="AW56" s="10" t="s">
        <v>50</v>
      </c>
      <c r="AX56" s="10" t="s">
        <v>50</v>
      </c>
      <c r="AY56" s="10" t="s">
        <v>50</v>
      </c>
      <c r="AZ56" s="10" t="s">
        <v>50</v>
      </c>
      <c r="BA56" s="10" t="s">
        <v>50</v>
      </c>
      <c r="BB56" s="10" t="s">
        <v>50</v>
      </c>
      <c r="BC56" s="10" t="s">
        <v>50</v>
      </c>
      <c r="BD56" s="10" t="s">
        <v>50</v>
      </c>
      <c r="BE56" s="10" t="s">
        <v>50</v>
      </c>
      <c r="BF56" s="10" t="s">
        <v>50</v>
      </c>
      <c r="BG56" s="10" t="s">
        <v>50</v>
      </c>
      <c r="BH56" s="10" t="s">
        <v>50</v>
      </c>
      <c r="BI56" s="9">
        <v>0</v>
      </c>
      <c r="BJ56" s="9">
        <v>0</v>
      </c>
      <c r="BK56" s="9">
        <v>1</v>
      </c>
      <c r="BL56" s="9">
        <v>0</v>
      </c>
      <c r="BM56">
        <v>0</v>
      </c>
      <c r="BN56">
        <v>0</v>
      </c>
      <c r="BO56" s="9">
        <v>0</v>
      </c>
      <c r="BP56" s="10" t="s">
        <v>50</v>
      </c>
      <c r="BQ56">
        <v>0</v>
      </c>
      <c r="BR56" s="10" t="s">
        <v>50</v>
      </c>
      <c r="BS56">
        <v>0</v>
      </c>
      <c r="BT56" s="10" t="s">
        <v>50</v>
      </c>
      <c r="BU56">
        <v>0</v>
      </c>
    </row>
    <row r="57" spans="1:73" ht="15.75" customHeight="1" x14ac:dyDescent="0.2">
      <c r="A57" s="3">
        <f t="shared" si="2"/>
        <v>7055</v>
      </c>
      <c r="B57" s="3" t="s">
        <v>324</v>
      </c>
      <c r="C57" s="3" t="s">
        <v>324</v>
      </c>
      <c r="D57" s="25" t="s">
        <v>914</v>
      </c>
      <c r="E57" s="4" t="s">
        <v>935</v>
      </c>
      <c r="F57" s="3">
        <v>0</v>
      </c>
      <c r="G57" s="3">
        <v>0</v>
      </c>
      <c r="H57" s="3">
        <v>0</v>
      </c>
      <c r="I57" s="3">
        <v>50</v>
      </c>
      <c r="J57" s="3">
        <v>300</v>
      </c>
      <c r="K57" s="3">
        <v>1</v>
      </c>
      <c r="L57" s="3">
        <v>0</v>
      </c>
      <c r="M57" s="3">
        <v>10</v>
      </c>
      <c r="N57" s="3">
        <v>10</v>
      </c>
      <c r="O57" s="3">
        <v>0</v>
      </c>
      <c r="P57" s="3">
        <v>10</v>
      </c>
      <c r="Q57" s="3">
        <v>10</v>
      </c>
      <c r="R57" s="3">
        <v>10</v>
      </c>
      <c r="S57" s="3">
        <v>0</v>
      </c>
      <c r="T57" s="3">
        <v>0</v>
      </c>
      <c r="U57" s="3">
        <v>0</v>
      </c>
      <c r="V57" s="3">
        <v>0</v>
      </c>
      <c r="W57" s="3">
        <v>0</v>
      </c>
      <c r="X57" s="3">
        <v>0</v>
      </c>
      <c r="Y57" s="3">
        <v>0</v>
      </c>
      <c r="Z57" s="3">
        <v>0</v>
      </c>
      <c r="AA57" s="3">
        <v>0</v>
      </c>
      <c r="AB57" s="3">
        <v>0</v>
      </c>
      <c r="AC57" s="3">
        <v>0</v>
      </c>
      <c r="AD57" s="3">
        <v>0</v>
      </c>
      <c r="AE57" s="3">
        <v>-10</v>
      </c>
      <c r="AF57" s="3">
        <v>10</v>
      </c>
      <c r="AG57" s="3">
        <v>5</v>
      </c>
      <c r="AH57" s="3">
        <v>0</v>
      </c>
      <c r="AI57" s="3">
        <v>5</v>
      </c>
      <c r="AJ57" s="3">
        <v>0</v>
      </c>
      <c r="AK57" s="3">
        <v>0</v>
      </c>
      <c r="AL57" s="3" t="s">
        <v>1032</v>
      </c>
      <c r="AM57" s="3" t="s">
        <v>981</v>
      </c>
      <c r="AN57" s="3" t="s">
        <v>1943</v>
      </c>
      <c r="AO57" s="3" t="s">
        <v>1850</v>
      </c>
      <c r="AP57" s="3">
        <v>0</v>
      </c>
      <c r="AQ57" s="3">
        <v>0</v>
      </c>
      <c r="AR57">
        <v>0</v>
      </c>
      <c r="AS57">
        <v>50</v>
      </c>
      <c r="AT57" s="6" t="s">
        <v>330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row>
    <row r="58" spans="1:73" s="48" customFormat="1" ht="15.75" customHeight="1" x14ac:dyDescent="0.2">
      <c r="A58" s="3">
        <f t="shared" si="2"/>
        <v>7056</v>
      </c>
      <c r="B58" s="46" t="s">
        <v>324</v>
      </c>
      <c r="C58" s="46" t="s">
        <v>3499</v>
      </c>
      <c r="D58" s="47" t="s">
        <v>3500</v>
      </c>
      <c r="E58" s="47" t="s">
        <v>3501</v>
      </c>
      <c r="F58" s="46">
        <v>0</v>
      </c>
      <c r="G58" s="46">
        <v>0</v>
      </c>
      <c r="H58" s="46">
        <v>0</v>
      </c>
      <c r="I58" s="46">
        <v>50</v>
      </c>
      <c r="J58" s="46">
        <v>300</v>
      </c>
      <c r="K58" s="46">
        <v>1</v>
      </c>
      <c r="L58" s="46">
        <v>0</v>
      </c>
      <c r="M58" s="46">
        <v>15</v>
      </c>
      <c r="N58" s="46">
        <v>10</v>
      </c>
      <c r="O58" s="46">
        <v>10</v>
      </c>
      <c r="P58" s="46">
        <v>10</v>
      </c>
      <c r="Q58" s="46">
        <v>10</v>
      </c>
      <c r="R58" s="46">
        <v>10</v>
      </c>
      <c r="S58" s="46">
        <v>0</v>
      </c>
      <c r="T58" s="46">
        <v>0</v>
      </c>
      <c r="U58" s="46">
        <v>0</v>
      </c>
      <c r="V58" s="46">
        <v>0</v>
      </c>
      <c r="W58" s="46">
        <v>-3</v>
      </c>
      <c r="X58" s="46">
        <v>0</v>
      </c>
      <c r="Y58" s="46">
        <v>0</v>
      </c>
      <c r="Z58" s="46">
        <v>0</v>
      </c>
      <c r="AA58" s="46">
        <v>8</v>
      </c>
      <c r="AB58" s="46">
        <v>0</v>
      </c>
      <c r="AC58" s="46">
        <v>0</v>
      </c>
      <c r="AD58" s="46">
        <v>0</v>
      </c>
      <c r="AE58" s="46">
        <v>-20</v>
      </c>
      <c r="AF58" s="46">
        <v>13</v>
      </c>
      <c r="AG58" s="46">
        <v>8</v>
      </c>
      <c r="AH58" s="46">
        <v>0</v>
      </c>
      <c r="AI58" s="46">
        <v>8</v>
      </c>
      <c r="AJ58" s="46">
        <v>0</v>
      </c>
      <c r="AK58" s="46">
        <v>0</v>
      </c>
      <c r="AL58" s="46" t="s">
        <v>1032</v>
      </c>
      <c r="AM58" s="46" t="s">
        <v>981</v>
      </c>
      <c r="AN58" s="46" t="s">
        <v>2231</v>
      </c>
      <c r="AO58" s="46" t="s">
        <v>2150</v>
      </c>
      <c r="AP58" s="46">
        <v>0</v>
      </c>
      <c r="AQ58" s="46">
        <v>20</v>
      </c>
      <c r="AR58" s="48">
        <v>0</v>
      </c>
      <c r="AS58" s="48">
        <v>50</v>
      </c>
      <c r="AT58" s="49" t="s">
        <v>3565</v>
      </c>
      <c r="AU58" s="49" t="s">
        <v>50</v>
      </c>
      <c r="AV58" s="49" t="s">
        <v>50</v>
      </c>
      <c r="AW58" s="49" t="s">
        <v>50</v>
      </c>
      <c r="AX58" s="49" t="s">
        <v>50</v>
      </c>
      <c r="AY58" s="49" t="s">
        <v>50</v>
      </c>
      <c r="AZ58" s="49" t="s">
        <v>50</v>
      </c>
      <c r="BA58" s="49" t="s">
        <v>50</v>
      </c>
      <c r="BB58" s="49" t="s">
        <v>50</v>
      </c>
      <c r="BC58" s="49" t="s">
        <v>50</v>
      </c>
      <c r="BD58" s="49" t="s">
        <v>50</v>
      </c>
      <c r="BE58" s="49" t="s">
        <v>50</v>
      </c>
      <c r="BF58" s="49" t="s">
        <v>50</v>
      </c>
      <c r="BG58" s="49" t="s">
        <v>50</v>
      </c>
      <c r="BH58" s="49" t="s">
        <v>50</v>
      </c>
      <c r="BI58" s="48">
        <v>1</v>
      </c>
      <c r="BJ58" s="48">
        <v>0</v>
      </c>
      <c r="BK58" s="48">
        <v>2</v>
      </c>
      <c r="BL58" s="48">
        <v>0</v>
      </c>
      <c r="BM58" s="48">
        <v>0</v>
      </c>
      <c r="BN58" s="48">
        <v>0</v>
      </c>
      <c r="BO58" s="48">
        <v>0</v>
      </c>
      <c r="BP58" s="49" t="s">
        <v>50</v>
      </c>
      <c r="BQ58" s="48">
        <v>0</v>
      </c>
      <c r="BR58" s="49" t="s">
        <v>50</v>
      </c>
      <c r="BS58" s="48">
        <v>0</v>
      </c>
      <c r="BT58" s="49" t="s">
        <v>50</v>
      </c>
      <c r="BU58" s="48">
        <v>0</v>
      </c>
    </row>
    <row r="59" spans="1:73" ht="15.75" customHeight="1" x14ac:dyDescent="0.2">
      <c r="A59" s="3">
        <f t="shared" si="2"/>
        <v>7057</v>
      </c>
      <c r="B59" s="3" t="s">
        <v>2575</v>
      </c>
      <c r="C59" s="3" t="s">
        <v>2575</v>
      </c>
      <c r="D59" s="5" t="s">
        <v>2739</v>
      </c>
      <c r="E59" s="5" t="s">
        <v>2576</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3077</v>
      </c>
      <c r="AN59" s="6" t="s">
        <v>1973</v>
      </c>
      <c r="AO59" s="3" t="s">
        <v>2150</v>
      </c>
      <c r="AP59" s="3">
        <v>0</v>
      </c>
      <c r="AQ59" s="3">
        <v>0</v>
      </c>
      <c r="AR59">
        <v>0</v>
      </c>
      <c r="AS59">
        <v>5</v>
      </c>
      <c r="AT59" s="6" t="s">
        <v>2874</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2"/>
        <v>7058</v>
      </c>
      <c r="B60" s="3" t="s">
        <v>2581</v>
      </c>
      <c r="C60" s="3" t="s">
        <v>2581</v>
      </c>
      <c r="D60" s="5" t="s">
        <v>2580</v>
      </c>
      <c r="E60" s="5" t="s">
        <v>2971</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3077</v>
      </c>
      <c r="AN60" s="6" t="s">
        <v>1969</v>
      </c>
      <c r="AO60" s="3" t="s">
        <v>2150</v>
      </c>
      <c r="AP60" s="3">
        <v>0</v>
      </c>
      <c r="AQ60" s="3">
        <v>0</v>
      </c>
      <c r="AR60">
        <v>0</v>
      </c>
      <c r="AS60">
        <v>5</v>
      </c>
      <c r="AT60" s="6" t="s">
        <v>2972</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2"/>
        <v>7059</v>
      </c>
      <c r="B61" s="3" t="s">
        <v>1913</v>
      </c>
      <c r="C61" s="3" t="s">
        <v>1913</v>
      </c>
      <c r="D61" s="5" t="s">
        <v>2151</v>
      </c>
      <c r="E61" s="5" t="s">
        <v>2574</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3077</v>
      </c>
      <c r="AN61" s="6" t="s">
        <v>1967</v>
      </c>
      <c r="AO61" s="3" t="s">
        <v>2150</v>
      </c>
      <c r="AP61" s="3">
        <v>0</v>
      </c>
      <c r="AQ61" s="3">
        <v>0</v>
      </c>
      <c r="AR61">
        <v>0</v>
      </c>
      <c r="AS61">
        <v>5</v>
      </c>
      <c r="AT61" s="6" t="s">
        <v>2526</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2"/>
        <v>7060</v>
      </c>
      <c r="B62" s="3" t="s">
        <v>1914</v>
      </c>
      <c r="C62" s="3" t="s">
        <v>1914</v>
      </c>
      <c r="D62" s="5" t="s">
        <v>2152</v>
      </c>
      <c r="E62" s="5" t="s">
        <v>1915</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3077</v>
      </c>
      <c r="AN62" s="3" t="s">
        <v>1958</v>
      </c>
      <c r="AO62" s="3" t="s">
        <v>2150</v>
      </c>
      <c r="AP62" s="3">
        <v>0</v>
      </c>
      <c r="AQ62" s="3">
        <v>0</v>
      </c>
      <c r="AR62">
        <v>0</v>
      </c>
      <c r="AS62">
        <v>5</v>
      </c>
      <c r="AT62" s="6" t="s">
        <v>2527</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2"/>
        <v>7061</v>
      </c>
      <c r="B63" s="3" t="s">
        <v>2155</v>
      </c>
      <c r="C63" s="3" t="s">
        <v>2155</v>
      </c>
      <c r="D63" s="5" t="s">
        <v>2154</v>
      </c>
      <c r="E63" s="5" t="s">
        <v>2572</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3077</v>
      </c>
      <c r="AN63" s="3" t="s">
        <v>1960</v>
      </c>
      <c r="AO63" s="3" t="s">
        <v>2150</v>
      </c>
      <c r="AP63" s="3">
        <v>0</v>
      </c>
      <c r="AQ63" s="3">
        <v>0</v>
      </c>
      <c r="AR63">
        <v>0</v>
      </c>
      <c r="AS63">
        <v>4</v>
      </c>
      <c r="AT63" s="6" t="s">
        <v>2528</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2"/>
        <v>7062</v>
      </c>
      <c r="B64" s="3" t="s">
        <v>2480</v>
      </c>
      <c r="C64" s="3" t="s">
        <v>2480</v>
      </c>
      <c r="D64" s="5" t="s">
        <v>2481</v>
      </c>
      <c r="E64" s="5" t="s">
        <v>2482</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3077</v>
      </c>
      <c r="AN64" s="3" t="s">
        <v>1960</v>
      </c>
      <c r="AO64" s="3" t="s">
        <v>2150</v>
      </c>
      <c r="AP64" s="3">
        <v>0</v>
      </c>
      <c r="AQ64" s="3">
        <v>0</v>
      </c>
      <c r="AR64">
        <v>0</v>
      </c>
      <c r="AS64">
        <v>4</v>
      </c>
      <c r="AT64" s="6" t="s">
        <v>2529</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2"/>
        <v>7063</v>
      </c>
      <c r="B65" s="3" t="s">
        <v>2160</v>
      </c>
      <c r="C65" s="3" t="s">
        <v>2160</v>
      </c>
      <c r="D65" s="5" t="s">
        <v>2159</v>
      </c>
      <c r="E65" s="5" t="s">
        <v>2235</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3077</v>
      </c>
      <c r="AN65" s="6" t="s">
        <v>1968</v>
      </c>
      <c r="AO65" s="3" t="s">
        <v>2150</v>
      </c>
      <c r="AP65" s="3">
        <v>0</v>
      </c>
      <c r="AQ65" s="3">
        <v>0</v>
      </c>
      <c r="AR65">
        <v>0</v>
      </c>
      <c r="AS65">
        <v>5</v>
      </c>
      <c r="AT65" s="6" t="s">
        <v>2530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si="2"/>
        <v>7064</v>
      </c>
      <c r="B66" s="3" t="s">
        <v>2571</v>
      </c>
      <c r="C66" s="3" t="s">
        <v>2156</v>
      </c>
      <c r="D66" s="5" t="s">
        <v>2153</v>
      </c>
      <c r="E66" s="5" t="s">
        <v>2573</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3077</v>
      </c>
      <c r="AN66" s="6" t="s">
        <v>1961</v>
      </c>
      <c r="AO66" s="3" t="s">
        <v>2150</v>
      </c>
      <c r="AP66" s="3">
        <v>0</v>
      </c>
      <c r="AQ66" s="3">
        <v>0</v>
      </c>
      <c r="AR66">
        <v>0</v>
      </c>
      <c r="AS66">
        <v>5</v>
      </c>
      <c r="AT66" s="6" t="s">
        <v>2531</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2"/>
        <v>7065</v>
      </c>
      <c r="B67" s="3" t="s">
        <v>2158</v>
      </c>
      <c r="C67" s="3" t="s">
        <v>2158</v>
      </c>
      <c r="D67" s="5" t="s">
        <v>2157</v>
      </c>
      <c r="E67" s="5" t="s">
        <v>2236</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3077</v>
      </c>
      <c r="AN67" s="6" t="s">
        <v>1962</v>
      </c>
      <c r="AO67" s="3" t="s">
        <v>2150</v>
      </c>
      <c r="AP67" s="3">
        <v>0</v>
      </c>
      <c r="AQ67" s="3">
        <v>0</v>
      </c>
      <c r="AR67">
        <v>0</v>
      </c>
      <c r="AS67">
        <v>5</v>
      </c>
      <c r="AT67" s="6" t="s">
        <v>2532</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2"/>
        <v>7066</v>
      </c>
      <c r="B68" s="3" t="s">
        <v>2162</v>
      </c>
      <c r="C68" s="3" t="s">
        <v>2162</v>
      </c>
      <c r="D68" s="5" t="s">
        <v>2161</v>
      </c>
      <c r="E68" s="5" t="s">
        <v>2237</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3077</v>
      </c>
      <c r="AN68" s="6" t="s">
        <v>1964</v>
      </c>
      <c r="AO68" s="3" t="s">
        <v>2150</v>
      </c>
      <c r="AP68" s="3">
        <v>0</v>
      </c>
      <c r="AQ68" s="3">
        <v>0</v>
      </c>
      <c r="AR68">
        <v>0</v>
      </c>
      <c r="AS68">
        <v>5</v>
      </c>
      <c r="AT68" s="6" t="s">
        <v>2533</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2"/>
        <v>7067</v>
      </c>
      <c r="B69" s="3" t="s">
        <v>2164</v>
      </c>
      <c r="C69" s="3" t="s">
        <v>2164</v>
      </c>
      <c r="D69" s="5" t="s">
        <v>2163</v>
      </c>
      <c r="E69" s="5" t="s">
        <v>2238</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3077</v>
      </c>
      <c r="AN69" s="6" t="s">
        <v>1965</v>
      </c>
      <c r="AO69" s="3" t="s">
        <v>2150</v>
      </c>
      <c r="AP69" s="3">
        <v>0</v>
      </c>
      <c r="AQ69" s="3">
        <v>0</v>
      </c>
      <c r="AR69">
        <v>0</v>
      </c>
      <c r="AS69">
        <v>5</v>
      </c>
      <c r="AT69" s="6" t="s">
        <v>2534</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2"/>
        <v>7068</v>
      </c>
      <c r="B70" s="3" t="s">
        <v>2166</v>
      </c>
      <c r="C70" s="3" t="s">
        <v>2166</v>
      </c>
      <c r="D70" s="5" t="s">
        <v>2165</v>
      </c>
      <c r="E70" s="5" t="s">
        <v>2239</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3077</v>
      </c>
      <c r="AN70" s="6" t="s">
        <v>1966</v>
      </c>
      <c r="AO70" s="3" t="s">
        <v>2150</v>
      </c>
      <c r="AP70" s="3">
        <v>0</v>
      </c>
      <c r="AQ70" s="3">
        <v>0</v>
      </c>
      <c r="AR70">
        <v>0</v>
      </c>
      <c r="AS70">
        <v>5</v>
      </c>
      <c r="AT70" s="6" t="s">
        <v>2535</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ht="15.75" customHeight="1" x14ac:dyDescent="0.2">
      <c r="A71" s="3">
        <f t="shared" si="2"/>
        <v>7069</v>
      </c>
      <c r="B71" s="3" t="s">
        <v>2577</v>
      </c>
      <c r="C71" s="3" t="s">
        <v>2577</v>
      </c>
      <c r="D71" s="5" t="s">
        <v>2578</v>
      </c>
      <c r="E71" s="5" t="s">
        <v>2579</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3077</v>
      </c>
      <c r="AN71" s="6" t="s">
        <v>1963</v>
      </c>
      <c r="AO71" s="3" t="s">
        <v>2150</v>
      </c>
      <c r="AP71" s="3">
        <v>0</v>
      </c>
      <c r="AQ71" s="3">
        <v>0</v>
      </c>
      <c r="AR71">
        <v>0</v>
      </c>
      <c r="AS71">
        <v>5</v>
      </c>
      <c r="AT71" s="6" t="s">
        <v>2875</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row>
    <row r="72" spans="1:73" s="9" customFormat="1" ht="15.75" customHeight="1" x14ac:dyDescent="0.2">
      <c r="A72" s="7">
        <f t="shared" si="2"/>
        <v>7070</v>
      </c>
      <c r="B72" s="7" t="s">
        <v>2166</v>
      </c>
      <c r="C72" s="7" t="s">
        <v>3134</v>
      </c>
      <c r="D72" s="8" t="s">
        <v>3133</v>
      </c>
      <c r="E72" s="8" t="s">
        <v>3135</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3323</v>
      </c>
      <c r="AN72" s="10" t="s">
        <v>3186</v>
      </c>
      <c r="AO72" s="7" t="s">
        <v>3189</v>
      </c>
      <c r="AP72" s="7">
        <v>0</v>
      </c>
      <c r="AQ72" s="7">
        <v>0</v>
      </c>
      <c r="AR72" s="9">
        <v>0</v>
      </c>
      <c r="AS72" s="9">
        <v>5</v>
      </c>
      <c r="AT72" s="10" t="s">
        <v>2875</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row>
    <row r="73" spans="1:73" s="9" customFormat="1" ht="15.75" customHeight="1" x14ac:dyDescent="0.2">
      <c r="A73" s="7">
        <f t="shared" si="2"/>
        <v>7071</v>
      </c>
      <c r="B73" s="7" t="s">
        <v>2166</v>
      </c>
      <c r="C73" s="7" t="s">
        <v>3139</v>
      </c>
      <c r="D73" s="8" t="s">
        <v>3140</v>
      </c>
      <c r="E73" s="8" t="s">
        <v>3141</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3323</v>
      </c>
      <c r="AN73" s="10" t="s">
        <v>3186</v>
      </c>
      <c r="AO73" s="7" t="s">
        <v>3189</v>
      </c>
      <c r="AP73" s="7">
        <v>0</v>
      </c>
      <c r="AQ73" s="7">
        <v>0</v>
      </c>
      <c r="AR73" s="9">
        <v>0</v>
      </c>
      <c r="AS73" s="9">
        <v>5</v>
      </c>
      <c r="AT73" s="10" t="s">
        <v>2875</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c r="BP73" s="10" t="s">
        <v>50</v>
      </c>
      <c r="BQ73" s="9">
        <v>0</v>
      </c>
      <c r="BR73" s="10" t="s">
        <v>50</v>
      </c>
      <c r="BS73" s="9">
        <v>0</v>
      </c>
      <c r="BT73" s="10" t="s">
        <v>50</v>
      </c>
      <c r="BU73" s="9">
        <v>0</v>
      </c>
    </row>
    <row r="74" spans="1:73" s="9" customFormat="1" ht="15.75" customHeight="1" x14ac:dyDescent="0.2">
      <c r="A74" s="7">
        <f t="shared" si="2"/>
        <v>7072</v>
      </c>
      <c r="B74" s="7" t="s">
        <v>2166</v>
      </c>
      <c r="C74" s="7" t="s">
        <v>3138</v>
      </c>
      <c r="D74" s="8" t="s">
        <v>3136</v>
      </c>
      <c r="E74" s="8" t="s">
        <v>3137</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3323</v>
      </c>
      <c r="AN74" s="10" t="s">
        <v>3187</v>
      </c>
      <c r="AO74" s="7" t="s">
        <v>3189</v>
      </c>
      <c r="AP74" s="7">
        <v>0</v>
      </c>
      <c r="AQ74" s="7">
        <v>0</v>
      </c>
      <c r="AR74" s="9">
        <v>0</v>
      </c>
      <c r="AS74" s="9">
        <v>5</v>
      </c>
      <c r="AT74" s="10" t="s">
        <v>2875</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c r="BP74" s="10" t="s">
        <v>50</v>
      </c>
      <c r="BQ74" s="9">
        <v>0</v>
      </c>
      <c r="BR74" s="10" t="s">
        <v>50</v>
      </c>
      <c r="BS74" s="9">
        <v>0</v>
      </c>
      <c r="BT74" s="10" t="s">
        <v>50</v>
      </c>
      <c r="BU74" s="9">
        <v>0</v>
      </c>
    </row>
    <row r="75" spans="1:73" s="9" customFormat="1" ht="15.75" customHeight="1" x14ac:dyDescent="0.2">
      <c r="A75" s="7">
        <f t="shared" si="2"/>
        <v>7073</v>
      </c>
      <c r="B75" s="7" t="s">
        <v>2166</v>
      </c>
      <c r="C75" s="7" t="s">
        <v>3143</v>
      </c>
      <c r="D75" s="8" t="s">
        <v>3144</v>
      </c>
      <c r="E75" s="8" t="s">
        <v>3142</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3323</v>
      </c>
      <c r="AN75" s="10" t="s">
        <v>3187</v>
      </c>
      <c r="AO75" s="7" t="s">
        <v>3189</v>
      </c>
      <c r="AP75" s="7">
        <v>0</v>
      </c>
      <c r="AQ75" s="7">
        <v>0</v>
      </c>
      <c r="AR75" s="9">
        <v>0</v>
      </c>
      <c r="AS75" s="9">
        <v>5</v>
      </c>
      <c r="AT75" s="10" t="s">
        <v>2875</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c r="BP75" s="10" t="s">
        <v>50</v>
      </c>
      <c r="BQ75" s="9">
        <v>0</v>
      </c>
      <c r="BR75" s="10" t="s">
        <v>50</v>
      </c>
      <c r="BS75" s="9">
        <v>0</v>
      </c>
      <c r="BT75" s="10" t="s">
        <v>50</v>
      </c>
      <c r="BU75" s="9">
        <v>0</v>
      </c>
    </row>
    <row r="76" spans="1:73" s="9" customFormat="1" ht="15.75" customHeight="1" x14ac:dyDescent="0.2">
      <c r="A76" s="7">
        <f t="shared" si="2"/>
        <v>7074</v>
      </c>
      <c r="B76" s="7" t="s">
        <v>2166</v>
      </c>
      <c r="C76" s="7" t="s">
        <v>3145</v>
      </c>
      <c r="D76" s="8" t="s">
        <v>3554</v>
      </c>
      <c r="E76" s="8" t="s">
        <v>3146</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3190</v>
      </c>
      <c r="AN76" s="10" t="s">
        <v>3188</v>
      </c>
      <c r="AO76" s="7" t="s">
        <v>3190</v>
      </c>
      <c r="AP76" s="7">
        <v>0</v>
      </c>
      <c r="AQ76" s="7">
        <v>0</v>
      </c>
      <c r="AR76" s="9">
        <v>0</v>
      </c>
      <c r="AS76" s="9">
        <v>5</v>
      </c>
      <c r="AT76" s="10" t="s">
        <v>2875</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row>
    <row r="77" spans="1:73" s="9" customFormat="1" ht="15.75" customHeight="1" x14ac:dyDescent="0.2">
      <c r="A77" s="7">
        <f t="shared" si="2"/>
        <v>7075</v>
      </c>
      <c r="B77" s="7" t="s">
        <v>2166</v>
      </c>
      <c r="C77" s="7" t="s">
        <v>3153</v>
      </c>
      <c r="D77" s="8" t="s">
        <v>3555</v>
      </c>
      <c r="E77" s="8" t="s">
        <v>3147</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3190</v>
      </c>
      <c r="AN77" s="10" t="s">
        <v>3188</v>
      </c>
      <c r="AO77" s="7" t="s">
        <v>3190</v>
      </c>
      <c r="AP77" s="7">
        <v>0</v>
      </c>
      <c r="AQ77" s="7">
        <v>0</v>
      </c>
      <c r="AR77" s="9">
        <v>0</v>
      </c>
      <c r="AS77" s="9">
        <v>5</v>
      </c>
      <c r="AT77" s="10" t="s">
        <v>2875</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c r="BP77" s="10" t="s">
        <v>50</v>
      </c>
      <c r="BQ77" s="9">
        <v>0</v>
      </c>
      <c r="BR77" s="10" t="s">
        <v>50</v>
      </c>
      <c r="BS77" s="9">
        <v>0</v>
      </c>
      <c r="BT77" s="10" t="s">
        <v>50</v>
      </c>
      <c r="BU77" s="9">
        <v>0</v>
      </c>
    </row>
    <row r="78" spans="1:73" s="9" customFormat="1" ht="15.75" customHeight="1" x14ac:dyDescent="0.2">
      <c r="A78" s="7">
        <f t="shared" si="2"/>
        <v>7076</v>
      </c>
      <c r="B78" s="7" t="s">
        <v>2166</v>
      </c>
      <c r="C78" s="7" t="s">
        <v>3154</v>
      </c>
      <c r="D78" s="8" t="s">
        <v>3556</v>
      </c>
      <c r="E78" s="8" t="s">
        <v>3148</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3190</v>
      </c>
      <c r="AN78" s="10" t="s">
        <v>3188</v>
      </c>
      <c r="AO78" s="7" t="s">
        <v>3190</v>
      </c>
      <c r="AP78" s="7">
        <v>0</v>
      </c>
      <c r="AQ78" s="7">
        <v>0</v>
      </c>
      <c r="AR78" s="9">
        <v>0</v>
      </c>
      <c r="AS78" s="9">
        <v>5</v>
      </c>
      <c r="AT78" s="10" t="s">
        <v>2875</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row>
    <row r="79" spans="1:73" s="9" customFormat="1" ht="15.75" customHeight="1" x14ac:dyDescent="0.2">
      <c r="A79" s="7">
        <f t="shared" si="2"/>
        <v>7077</v>
      </c>
      <c r="B79" s="7" t="s">
        <v>2166</v>
      </c>
      <c r="C79" s="7" t="s">
        <v>3155</v>
      </c>
      <c r="D79" s="8" t="s">
        <v>3557</v>
      </c>
      <c r="E79" s="8" t="s">
        <v>3149</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3190</v>
      </c>
      <c r="AN79" s="10" t="s">
        <v>3188</v>
      </c>
      <c r="AO79" s="7" t="s">
        <v>3190</v>
      </c>
      <c r="AP79" s="7">
        <v>0</v>
      </c>
      <c r="AQ79" s="7">
        <v>0</v>
      </c>
      <c r="AR79" s="9">
        <v>0</v>
      </c>
      <c r="AS79" s="9">
        <v>5</v>
      </c>
      <c r="AT79" s="10" t="s">
        <v>2875</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c r="BP79" s="10" t="s">
        <v>50</v>
      </c>
      <c r="BQ79" s="9">
        <v>0</v>
      </c>
      <c r="BR79" s="10" t="s">
        <v>50</v>
      </c>
      <c r="BS79" s="9">
        <v>0</v>
      </c>
      <c r="BT79" s="10" t="s">
        <v>50</v>
      </c>
      <c r="BU79" s="9">
        <v>0</v>
      </c>
    </row>
    <row r="80" spans="1:73" s="9" customFormat="1" ht="15.75" customHeight="1" x14ac:dyDescent="0.2">
      <c r="A80" s="7">
        <f t="shared" ref="A80:A105" si="3">ROW()+6998</f>
        <v>7078</v>
      </c>
      <c r="B80" s="7" t="s">
        <v>2166</v>
      </c>
      <c r="C80" s="7" t="s">
        <v>3156</v>
      </c>
      <c r="D80" s="8" t="s">
        <v>3558</v>
      </c>
      <c r="E80" s="8" t="s">
        <v>3150</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3190</v>
      </c>
      <c r="AN80" s="10" t="s">
        <v>3188</v>
      </c>
      <c r="AO80" s="7" t="s">
        <v>3190</v>
      </c>
      <c r="AP80" s="7">
        <v>0</v>
      </c>
      <c r="AQ80" s="7">
        <v>0</v>
      </c>
      <c r="AR80" s="9">
        <v>0</v>
      </c>
      <c r="AS80" s="9">
        <v>5</v>
      </c>
      <c r="AT80" s="10" t="s">
        <v>2875</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row>
    <row r="81" spans="1:73" s="9" customFormat="1" ht="15.75" customHeight="1" x14ac:dyDescent="0.2">
      <c r="A81" s="7">
        <f t="shared" si="3"/>
        <v>7079</v>
      </c>
      <c r="B81" s="7" t="s">
        <v>2166</v>
      </c>
      <c r="C81" s="7" t="s">
        <v>3157</v>
      </c>
      <c r="D81" s="8" t="s">
        <v>3559</v>
      </c>
      <c r="E81" s="8" t="s">
        <v>3151</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3190</v>
      </c>
      <c r="AN81" s="10" t="s">
        <v>3188</v>
      </c>
      <c r="AO81" s="7" t="s">
        <v>3190</v>
      </c>
      <c r="AP81" s="7">
        <v>0</v>
      </c>
      <c r="AQ81" s="7">
        <v>0</v>
      </c>
      <c r="AR81" s="9">
        <v>0</v>
      </c>
      <c r="AS81" s="9">
        <v>5</v>
      </c>
      <c r="AT81" s="10" t="s">
        <v>2875</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row>
    <row r="82" spans="1:73" s="9" customFormat="1" ht="15.75" customHeight="1" x14ac:dyDescent="0.2">
      <c r="A82" s="7">
        <f t="shared" si="3"/>
        <v>7080</v>
      </c>
      <c r="B82" s="7" t="s">
        <v>2166</v>
      </c>
      <c r="C82" s="7" t="s">
        <v>3158</v>
      </c>
      <c r="D82" s="8" t="s">
        <v>3560</v>
      </c>
      <c r="E82" s="8" t="s">
        <v>3152</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3190</v>
      </c>
      <c r="AN82" s="10" t="s">
        <v>3188</v>
      </c>
      <c r="AO82" s="7" t="s">
        <v>3190</v>
      </c>
      <c r="AP82" s="7">
        <v>0</v>
      </c>
      <c r="AQ82" s="7">
        <v>0</v>
      </c>
      <c r="AR82" s="9">
        <v>0</v>
      </c>
      <c r="AS82" s="9">
        <v>5</v>
      </c>
      <c r="AT82" s="10" t="s">
        <v>2875</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row>
    <row r="83" spans="1:73" s="9" customFormat="1" ht="15.75" customHeight="1" x14ac:dyDescent="0.2">
      <c r="A83" s="7">
        <f t="shared" si="3"/>
        <v>7081</v>
      </c>
      <c r="B83" s="7" t="s">
        <v>2166</v>
      </c>
      <c r="C83" s="7" t="s">
        <v>3021</v>
      </c>
      <c r="D83" s="8" t="s">
        <v>3022</v>
      </c>
      <c r="E83" s="8" t="s">
        <v>3020</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3322</v>
      </c>
      <c r="AN83" s="10" t="s">
        <v>3026</v>
      </c>
      <c r="AO83" s="7" t="s">
        <v>50</v>
      </c>
      <c r="AP83" s="7">
        <v>0</v>
      </c>
      <c r="AQ83" s="7">
        <v>0</v>
      </c>
      <c r="AR83" s="9">
        <v>0</v>
      </c>
      <c r="AS83" s="9">
        <v>5</v>
      </c>
      <c r="AT83" s="10" t="s">
        <v>2875</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row>
    <row r="84" spans="1:73" s="9" customFormat="1" ht="15.75" customHeight="1" x14ac:dyDescent="0.2">
      <c r="A84" s="7">
        <f t="shared" si="3"/>
        <v>7082</v>
      </c>
      <c r="B84" s="7" t="s">
        <v>2166</v>
      </c>
      <c r="C84" s="7" t="s">
        <v>3025</v>
      </c>
      <c r="D84" s="8" t="s">
        <v>3023</v>
      </c>
      <c r="E84" s="8" t="s">
        <v>3024</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3322</v>
      </c>
      <c r="AN84" s="10" t="s">
        <v>3026</v>
      </c>
      <c r="AO84" s="7" t="s">
        <v>50</v>
      </c>
      <c r="AP84" s="7">
        <v>0</v>
      </c>
      <c r="AQ84" s="7">
        <v>0</v>
      </c>
      <c r="AR84" s="9">
        <v>0</v>
      </c>
      <c r="AS84" s="9">
        <v>5</v>
      </c>
      <c r="AT84" s="10" t="s">
        <v>2875</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row>
    <row r="85" spans="1:73" ht="15.75" customHeight="1" x14ac:dyDescent="0.2">
      <c r="A85" s="3">
        <f t="shared" si="3"/>
        <v>7083</v>
      </c>
      <c r="B85" s="3" t="s">
        <v>3606</v>
      </c>
      <c r="C85" s="3" t="s">
        <v>3027</v>
      </c>
      <c r="D85" s="5" t="s">
        <v>3084</v>
      </c>
      <c r="E85" s="5" t="s">
        <v>3634</v>
      </c>
      <c r="F85" s="3">
        <v>0</v>
      </c>
      <c r="G85" s="3">
        <v>0</v>
      </c>
      <c r="H85" s="3">
        <v>0</v>
      </c>
      <c r="I85" s="3">
        <v>50</v>
      </c>
      <c r="J85" s="3">
        <v>15</v>
      </c>
      <c r="K85" s="3">
        <v>1</v>
      </c>
      <c r="L85" s="3">
        <v>0</v>
      </c>
      <c r="M85" s="3">
        <v>7</v>
      </c>
      <c r="N85" s="3">
        <v>0</v>
      </c>
      <c r="O85" s="3">
        <v>5</v>
      </c>
      <c r="P85" s="3">
        <v>0</v>
      </c>
      <c r="Q85" s="3">
        <v>0</v>
      </c>
      <c r="R85" s="3">
        <v>0</v>
      </c>
      <c r="S85" s="3">
        <v>0</v>
      </c>
      <c r="T85" s="3">
        <v>0</v>
      </c>
      <c r="U85" s="3">
        <v>0</v>
      </c>
      <c r="V85" s="3">
        <v>0</v>
      </c>
      <c r="W85" s="3">
        <v>0</v>
      </c>
      <c r="X85" s="3">
        <v>3</v>
      </c>
      <c r="Y85" s="3">
        <v>0</v>
      </c>
      <c r="Z85" s="3">
        <v>5</v>
      </c>
      <c r="AA85" s="3">
        <v>0</v>
      </c>
      <c r="AB85" s="3">
        <v>0</v>
      </c>
      <c r="AC85" s="3">
        <v>0</v>
      </c>
      <c r="AD85" s="3">
        <v>0</v>
      </c>
      <c r="AE85" s="3">
        <v>0</v>
      </c>
      <c r="AF85" s="3">
        <v>0</v>
      </c>
      <c r="AG85" s="3">
        <v>0</v>
      </c>
      <c r="AH85" s="3">
        <v>0</v>
      </c>
      <c r="AI85" s="3">
        <v>0</v>
      </c>
      <c r="AJ85" s="3">
        <v>0</v>
      </c>
      <c r="AK85" s="3">
        <v>0</v>
      </c>
      <c r="AL85" s="3" t="s">
        <v>42</v>
      </c>
      <c r="AM85" s="3" t="s">
        <v>3322</v>
      </c>
      <c r="AN85" s="6" t="s">
        <v>3033</v>
      </c>
      <c r="AO85" s="3" t="s">
        <v>50</v>
      </c>
      <c r="AP85" s="3">
        <v>0</v>
      </c>
      <c r="AQ85" s="3">
        <v>0</v>
      </c>
      <c r="AR85">
        <v>0</v>
      </c>
      <c r="AS85">
        <v>5</v>
      </c>
      <c r="AT85" s="6" t="s">
        <v>3608</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2</v>
      </c>
      <c r="BL85">
        <v>0</v>
      </c>
      <c r="BM85">
        <v>0</v>
      </c>
      <c r="BN85">
        <v>0</v>
      </c>
      <c r="BO85">
        <v>0</v>
      </c>
      <c r="BP85" s="6" t="s">
        <v>50</v>
      </c>
      <c r="BQ85">
        <v>0</v>
      </c>
      <c r="BR85" s="6" t="s">
        <v>50</v>
      </c>
      <c r="BS85">
        <v>0</v>
      </c>
      <c r="BT85" s="6" t="s">
        <v>50</v>
      </c>
      <c r="BU85">
        <v>0</v>
      </c>
    </row>
    <row r="86" spans="1:73" ht="15.75" customHeight="1" x14ac:dyDescent="0.2">
      <c r="A86" s="3">
        <f t="shared" si="3"/>
        <v>7084</v>
      </c>
      <c r="B86" s="3" t="s">
        <v>3607</v>
      </c>
      <c r="C86" s="3" t="s">
        <v>3605</v>
      </c>
      <c r="D86" s="5" t="s">
        <v>3083</v>
      </c>
      <c r="E86" s="5" t="s">
        <v>3094</v>
      </c>
      <c r="F86" s="3">
        <v>0</v>
      </c>
      <c r="G86" s="3">
        <v>0</v>
      </c>
      <c r="H86" s="3">
        <v>0</v>
      </c>
      <c r="I86" s="3">
        <v>50</v>
      </c>
      <c r="J86" s="3">
        <v>15</v>
      </c>
      <c r="K86" s="3">
        <v>1</v>
      </c>
      <c r="L86" s="3">
        <v>0</v>
      </c>
      <c r="M86" s="3">
        <v>7</v>
      </c>
      <c r="N86" s="3">
        <v>0</v>
      </c>
      <c r="O86" s="3">
        <v>5</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0</v>
      </c>
      <c r="AI86" s="3">
        <v>0</v>
      </c>
      <c r="AJ86" s="3">
        <v>0</v>
      </c>
      <c r="AK86" s="3">
        <v>0</v>
      </c>
      <c r="AL86" s="3" t="s">
        <v>42</v>
      </c>
      <c r="AM86" s="3" t="s">
        <v>3322</v>
      </c>
      <c r="AN86" s="6" t="s">
        <v>3033</v>
      </c>
      <c r="AO86" s="3" t="s">
        <v>50</v>
      </c>
      <c r="AP86" s="3">
        <v>0</v>
      </c>
      <c r="AQ86" s="3">
        <v>0</v>
      </c>
      <c r="AR86">
        <v>0</v>
      </c>
      <c r="AS86">
        <v>5</v>
      </c>
      <c r="AT86" s="6" t="s">
        <v>3609</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2</v>
      </c>
      <c r="BL86">
        <v>0</v>
      </c>
      <c r="BM86">
        <v>0</v>
      </c>
      <c r="BN86">
        <v>0</v>
      </c>
      <c r="BO86">
        <v>0</v>
      </c>
      <c r="BP86" s="6" t="s">
        <v>50</v>
      </c>
      <c r="BQ86">
        <v>0</v>
      </c>
      <c r="BR86" s="6" t="s">
        <v>50</v>
      </c>
      <c r="BS86">
        <v>0</v>
      </c>
      <c r="BT86" s="6" t="s">
        <v>50</v>
      </c>
      <c r="BU86">
        <v>0</v>
      </c>
    </row>
    <row r="87" spans="1:73" s="9" customFormat="1" ht="15.75" customHeight="1" x14ac:dyDescent="0.2">
      <c r="A87" s="7">
        <f t="shared" si="3"/>
        <v>7085</v>
      </c>
      <c r="B87" s="7" t="s">
        <v>2166</v>
      </c>
      <c r="C87" s="7" t="s">
        <v>3038</v>
      </c>
      <c r="D87" s="8" t="s">
        <v>3090</v>
      </c>
      <c r="E87" s="8" t="s">
        <v>3092</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3322</v>
      </c>
      <c r="AN87" s="10" t="s">
        <v>3040</v>
      </c>
      <c r="AO87" s="7" t="s">
        <v>50</v>
      </c>
      <c r="AP87" s="7">
        <v>0</v>
      </c>
      <c r="AQ87" s="7">
        <v>0</v>
      </c>
      <c r="AR87" s="9">
        <v>0</v>
      </c>
      <c r="AS87" s="9">
        <v>5</v>
      </c>
      <c r="AT87" s="10" t="s">
        <v>2875</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c r="BP87" s="10" t="s">
        <v>50</v>
      </c>
      <c r="BQ87" s="9">
        <v>0</v>
      </c>
      <c r="BR87" s="10" t="s">
        <v>50</v>
      </c>
      <c r="BS87" s="9">
        <v>0</v>
      </c>
      <c r="BT87" s="10" t="s">
        <v>50</v>
      </c>
      <c r="BU87" s="9">
        <v>0</v>
      </c>
    </row>
    <row r="88" spans="1:73" s="9" customFormat="1" ht="15.75" customHeight="1" x14ac:dyDescent="0.2">
      <c r="A88" s="7">
        <f t="shared" si="3"/>
        <v>7086</v>
      </c>
      <c r="B88" s="7" t="s">
        <v>2166</v>
      </c>
      <c r="C88" s="7" t="s">
        <v>3039</v>
      </c>
      <c r="D88" s="8" t="s">
        <v>3091</v>
      </c>
      <c r="E88" s="8" t="s">
        <v>3093</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3322</v>
      </c>
      <c r="AN88" s="10" t="s">
        <v>3040</v>
      </c>
      <c r="AO88" s="7" t="s">
        <v>50</v>
      </c>
      <c r="AP88" s="7">
        <v>0</v>
      </c>
      <c r="AQ88" s="7">
        <v>0</v>
      </c>
      <c r="AR88" s="9">
        <v>0</v>
      </c>
      <c r="AS88" s="9">
        <v>5</v>
      </c>
      <c r="AT88" s="10" t="s">
        <v>2875</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row>
    <row r="89" spans="1:73" s="9" customFormat="1" ht="15.75" customHeight="1" x14ac:dyDescent="0.2">
      <c r="A89" s="7">
        <f t="shared" si="3"/>
        <v>7087</v>
      </c>
      <c r="B89" s="7" t="s">
        <v>2166</v>
      </c>
      <c r="C89" s="7" t="s">
        <v>3030</v>
      </c>
      <c r="D89" s="8" t="s">
        <v>3128</v>
      </c>
      <c r="E89" s="8" t="s">
        <v>3028</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3322</v>
      </c>
      <c r="AN89" s="10" t="s">
        <v>3035</v>
      </c>
      <c r="AO89" s="7" t="s">
        <v>50</v>
      </c>
      <c r="AP89" s="7">
        <v>0</v>
      </c>
      <c r="AQ89" s="7">
        <v>0</v>
      </c>
      <c r="AR89" s="9">
        <v>0</v>
      </c>
      <c r="AS89" s="9">
        <v>5</v>
      </c>
      <c r="AT89" s="10" t="s">
        <v>2875</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row>
    <row r="90" spans="1:73" s="9" customFormat="1" ht="15.75" customHeight="1" x14ac:dyDescent="0.2">
      <c r="A90" s="7">
        <f t="shared" si="3"/>
        <v>7088</v>
      </c>
      <c r="B90" s="7" t="s">
        <v>2166</v>
      </c>
      <c r="C90" s="7" t="s">
        <v>3031</v>
      </c>
      <c r="D90" s="8" t="s">
        <v>3129</v>
      </c>
      <c r="E90" s="8" t="s">
        <v>3029</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3322</v>
      </c>
      <c r="AN90" s="10" t="s">
        <v>3035</v>
      </c>
      <c r="AO90" s="7" t="s">
        <v>50</v>
      </c>
      <c r="AP90" s="7">
        <v>0</v>
      </c>
      <c r="AQ90" s="7">
        <v>0</v>
      </c>
      <c r="AR90" s="9">
        <v>0</v>
      </c>
      <c r="AS90" s="9">
        <v>5</v>
      </c>
      <c r="AT90" s="10" t="s">
        <v>2875</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row>
    <row r="91" spans="1:73" s="9" customFormat="1" ht="15.75" customHeight="1" x14ac:dyDescent="0.2">
      <c r="A91" s="7">
        <f t="shared" si="3"/>
        <v>7089</v>
      </c>
      <c r="B91" s="7" t="s">
        <v>2166</v>
      </c>
      <c r="C91" s="7" t="s">
        <v>3032</v>
      </c>
      <c r="D91" s="8" t="s">
        <v>3478</v>
      </c>
      <c r="E91" s="8" t="s">
        <v>3479</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3322</v>
      </c>
      <c r="AN91" s="10" t="s">
        <v>3034</v>
      </c>
      <c r="AO91" s="7" t="s">
        <v>50</v>
      </c>
      <c r="AP91" s="7">
        <v>0</v>
      </c>
      <c r="AQ91" s="7">
        <v>0</v>
      </c>
      <c r="AR91" s="9">
        <v>0</v>
      </c>
      <c r="AS91" s="9">
        <v>5</v>
      </c>
      <c r="AT91" s="10" t="s">
        <v>2875</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1</v>
      </c>
      <c r="BJ91" s="9">
        <v>0</v>
      </c>
      <c r="BK91" s="9">
        <v>1</v>
      </c>
      <c r="BL91" s="9">
        <v>0</v>
      </c>
      <c r="BM91" s="9">
        <v>0</v>
      </c>
      <c r="BN91" s="9">
        <v>0</v>
      </c>
      <c r="BO91" s="9">
        <v>0</v>
      </c>
      <c r="BP91" s="10" t="s">
        <v>50</v>
      </c>
      <c r="BQ91" s="9">
        <v>0</v>
      </c>
      <c r="BR91" s="10" t="s">
        <v>50</v>
      </c>
      <c r="BS91" s="9">
        <v>0</v>
      </c>
      <c r="BT91" s="10" t="s">
        <v>50</v>
      </c>
      <c r="BU91" s="9">
        <v>0</v>
      </c>
    </row>
    <row r="92" spans="1:73" s="9" customFormat="1" ht="15.75" customHeight="1" x14ac:dyDescent="0.2">
      <c r="A92" s="7">
        <f t="shared" si="3"/>
        <v>7090</v>
      </c>
      <c r="B92" s="7" t="s">
        <v>2166</v>
      </c>
      <c r="C92" s="7" t="s">
        <v>3480</v>
      </c>
      <c r="D92" s="8" t="s">
        <v>3477</v>
      </c>
      <c r="E92" s="8" t="s">
        <v>3476</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1032</v>
      </c>
      <c r="AM92" s="7" t="s">
        <v>3322</v>
      </c>
      <c r="AN92" s="10" t="s">
        <v>3034</v>
      </c>
      <c r="AO92" s="7" t="s">
        <v>50</v>
      </c>
      <c r="AP92" s="7">
        <v>0</v>
      </c>
      <c r="AQ92" s="7">
        <v>0</v>
      </c>
      <c r="AR92" s="9">
        <v>0</v>
      </c>
      <c r="AS92" s="9">
        <v>5</v>
      </c>
      <c r="AT92" s="10" t="s">
        <v>2875</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row>
    <row r="93" spans="1:73" ht="15.75" customHeight="1" x14ac:dyDescent="0.2">
      <c r="A93" s="3">
        <f t="shared" si="3"/>
        <v>7091</v>
      </c>
      <c r="B93" s="3" t="s">
        <v>513</v>
      </c>
      <c r="C93" s="3" t="s">
        <v>1446</v>
      </c>
      <c r="D93" s="5" t="s">
        <v>1444</v>
      </c>
      <c r="E93" s="5" t="s">
        <v>1445</v>
      </c>
      <c r="F93" s="3">
        <v>0</v>
      </c>
      <c r="G93" s="3">
        <v>0</v>
      </c>
      <c r="H93" s="3">
        <v>0</v>
      </c>
      <c r="I93" s="3">
        <v>50</v>
      </c>
      <c r="J93" s="3">
        <v>5</v>
      </c>
      <c r="K93" s="3">
        <v>1</v>
      </c>
      <c r="L93" s="3">
        <v>0</v>
      </c>
      <c r="M93" s="3">
        <v>0</v>
      </c>
      <c r="N93" s="3">
        <v>0</v>
      </c>
      <c r="O93" s="3">
        <v>0</v>
      </c>
      <c r="P93" s="3">
        <v>30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1032</v>
      </c>
      <c r="AM93" s="3" t="s">
        <v>42</v>
      </c>
      <c r="AN93" s="3" t="s">
        <v>2032</v>
      </c>
      <c r="AO93" s="3" t="s">
        <v>1850</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row>
    <row r="94" spans="1:73" ht="15.75" customHeight="1" x14ac:dyDescent="0.2">
      <c r="A94" s="3">
        <f t="shared" si="3"/>
        <v>7092</v>
      </c>
      <c r="B94" s="3" t="s">
        <v>513</v>
      </c>
      <c r="C94" s="3" t="s">
        <v>1448</v>
      </c>
      <c r="D94" s="5" t="s">
        <v>1447</v>
      </c>
      <c r="E94" s="5" t="s">
        <v>1449</v>
      </c>
      <c r="F94" s="3">
        <v>0</v>
      </c>
      <c r="G94" s="3">
        <v>0</v>
      </c>
      <c r="H94" s="3">
        <v>0</v>
      </c>
      <c r="I94" s="3">
        <v>50</v>
      </c>
      <c r="J94" s="3">
        <v>5</v>
      </c>
      <c r="K94" s="3">
        <v>1</v>
      </c>
      <c r="L94" s="3">
        <v>0</v>
      </c>
      <c r="M94" s="3">
        <v>0</v>
      </c>
      <c r="N94" s="3">
        <v>0</v>
      </c>
      <c r="O94" s="3">
        <v>0</v>
      </c>
      <c r="P94" s="3">
        <v>0</v>
      </c>
      <c r="Q94" s="3">
        <v>30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1032</v>
      </c>
      <c r="AM94" s="3" t="s">
        <v>3529</v>
      </c>
      <c r="AN94" s="3" t="s">
        <v>2032</v>
      </c>
      <c r="AO94" s="3" t="s">
        <v>1850</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row>
    <row r="95" spans="1:73" ht="15.75" customHeight="1" x14ac:dyDescent="0.2">
      <c r="A95" s="3">
        <f t="shared" si="3"/>
        <v>7093</v>
      </c>
      <c r="B95" s="3" t="s">
        <v>1511</v>
      </c>
      <c r="C95" s="3" t="s">
        <v>1498</v>
      </c>
      <c r="D95" s="5" t="s">
        <v>3519</v>
      </c>
      <c r="E95" s="5" t="s">
        <v>1512</v>
      </c>
      <c r="F95" s="3">
        <v>0</v>
      </c>
      <c r="G95" s="3">
        <v>0</v>
      </c>
      <c r="H95" s="3">
        <v>0</v>
      </c>
      <c r="I95" s="3">
        <v>50</v>
      </c>
      <c r="J95" s="3">
        <v>5</v>
      </c>
      <c r="K95" s="3">
        <v>1</v>
      </c>
      <c r="L95" s="3">
        <v>0</v>
      </c>
      <c r="M95" s="3">
        <v>20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1032</v>
      </c>
      <c r="AM95" s="3" t="s">
        <v>42</v>
      </c>
      <c r="AN95" s="3" t="s">
        <v>2447</v>
      </c>
      <c r="AO95" s="3" t="s">
        <v>1850</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row>
    <row r="96" spans="1:73" ht="15.75" customHeight="1" x14ac:dyDescent="0.2">
      <c r="A96" s="3">
        <f t="shared" si="3"/>
        <v>7094</v>
      </c>
      <c r="B96" s="3" t="s">
        <v>1508</v>
      </c>
      <c r="C96" s="3" t="s">
        <v>1500</v>
      </c>
      <c r="D96" s="5" t="s">
        <v>1499</v>
      </c>
      <c r="E96" s="5" t="s">
        <v>3564</v>
      </c>
      <c r="F96" s="3">
        <v>0</v>
      </c>
      <c r="G96" s="3">
        <v>0</v>
      </c>
      <c r="H96" s="3">
        <v>0</v>
      </c>
      <c r="I96" s="3">
        <v>50</v>
      </c>
      <c r="J96" s="3">
        <v>5</v>
      </c>
      <c r="K96" s="3">
        <v>1</v>
      </c>
      <c r="L96" s="3">
        <v>0</v>
      </c>
      <c r="M96" s="3">
        <v>0</v>
      </c>
      <c r="N96" s="3">
        <v>20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1032</v>
      </c>
      <c r="AM96" s="3" t="s">
        <v>42</v>
      </c>
      <c r="AN96" s="3" t="s">
        <v>2447</v>
      </c>
      <c r="AO96" s="3" t="s">
        <v>1850</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row>
    <row r="97" spans="1:73" ht="15.75" customHeight="1" x14ac:dyDescent="0.2">
      <c r="A97" s="3">
        <f t="shared" si="3"/>
        <v>7095</v>
      </c>
      <c r="B97" s="3" t="s">
        <v>1509</v>
      </c>
      <c r="C97" s="3" t="s">
        <v>1505</v>
      </c>
      <c r="D97" s="5" t="s">
        <v>1503</v>
      </c>
      <c r="E97" s="5" t="s">
        <v>1504</v>
      </c>
      <c r="F97" s="3">
        <v>1</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1032</v>
      </c>
      <c r="AM97" s="3" t="s">
        <v>42</v>
      </c>
      <c r="AN97" s="3" t="s">
        <v>2447</v>
      </c>
      <c r="AO97" s="3" t="s">
        <v>1850</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1</v>
      </c>
      <c r="BP97" s="6" t="s">
        <v>50</v>
      </c>
      <c r="BQ97">
        <v>0</v>
      </c>
      <c r="BR97" s="6" t="s">
        <v>50</v>
      </c>
      <c r="BS97">
        <v>0</v>
      </c>
      <c r="BT97" s="6" t="s">
        <v>50</v>
      </c>
      <c r="BU97">
        <v>0</v>
      </c>
    </row>
    <row r="98" spans="1:73" ht="15.75" customHeight="1" x14ac:dyDescent="0.2">
      <c r="A98" s="3">
        <f t="shared" si="3"/>
        <v>7096</v>
      </c>
      <c r="B98" s="3" t="s">
        <v>1510</v>
      </c>
      <c r="C98" s="3" t="s">
        <v>1501</v>
      </c>
      <c r="D98" s="5" t="s">
        <v>1502</v>
      </c>
      <c r="E98" s="5" t="s">
        <v>1506</v>
      </c>
      <c r="F98" s="3">
        <v>0</v>
      </c>
      <c r="G98" s="3">
        <v>0</v>
      </c>
      <c r="H98" s="3">
        <v>0</v>
      </c>
      <c r="I98" s="3">
        <v>50</v>
      </c>
      <c r="J98" s="3">
        <v>5</v>
      </c>
      <c r="K98" s="3">
        <v>1</v>
      </c>
      <c r="L98" s="3">
        <v>0</v>
      </c>
      <c r="M98" s="3">
        <v>0</v>
      </c>
      <c r="N98" s="3">
        <v>0</v>
      </c>
      <c r="O98" s="3">
        <v>20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1032</v>
      </c>
      <c r="AM98" s="3" t="s">
        <v>42</v>
      </c>
      <c r="AN98" s="3" t="s">
        <v>2447</v>
      </c>
      <c r="AO98" s="3" t="s">
        <v>1850</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row>
    <row r="99" spans="1:73" ht="15.75" customHeight="1" x14ac:dyDescent="0.2">
      <c r="A99" s="3">
        <f t="shared" si="3"/>
        <v>7097</v>
      </c>
      <c r="B99" s="3" t="s">
        <v>1438</v>
      </c>
      <c r="C99" s="3" t="s">
        <v>1438</v>
      </c>
      <c r="D99" s="5" t="s">
        <v>1460</v>
      </c>
      <c r="E99" s="5" t="s">
        <v>1435</v>
      </c>
      <c r="F99" s="3">
        <v>0</v>
      </c>
      <c r="G99" s="3">
        <v>0</v>
      </c>
      <c r="H99" s="3">
        <v>0</v>
      </c>
      <c r="I99" s="3">
        <v>50</v>
      </c>
      <c r="J99" s="3">
        <v>5</v>
      </c>
      <c r="K99" s="3">
        <v>1</v>
      </c>
      <c r="L99" s="3">
        <v>0</v>
      </c>
      <c r="M99" s="3">
        <v>0</v>
      </c>
      <c r="N99" s="3">
        <v>0</v>
      </c>
      <c r="O99" s="3">
        <v>0</v>
      </c>
      <c r="P99" s="3">
        <v>-30</v>
      </c>
      <c r="Q99" s="3">
        <v>-30</v>
      </c>
      <c r="R99" s="3">
        <v>-30</v>
      </c>
      <c r="S99" s="3">
        <v>-30</v>
      </c>
      <c r="T99" s="3">
        <v>-30</v>
      </c>
      <c r="U99" s="3">
        <v>-30</v>
      </c>
      <c r="V99" s="3">
        <v>0</v>
      </c>
      <c r="W99" s="3">
        <v>0</v>
      </c>
      <c r="X99" s="3">
        <v>-50</v>
      </c>
      <c r="Y99" s="3">
        <v>0</v>
      </c>
      <c r="Z99" s="3">
        <v>0</v>
      </c>
      <c r="AA99" s="3">
        <v>0</v>
      </c>
      <c r="AB99" s="3">
        <v>0</v>
      </c>
      <c r="AC99" s="3">
        <v>0</v>
      </c>
      <c r="AD99" s="3">
        <v>0</v>
      </c>
      <c r="AE99" s="3">
        <v>0</v>
      </c>
      <c r="AF99" s="3">
        <v>0</v>
      </c>
      <c r="AG99" s="3">
        <v>0</v>
      </c>
      <c r="AH99" s="3">
        <v>0</v>
      </c>
      <c r="AI99" s="3">
        <v>0</v>
      </c>
      <c r="AJ99" s="3">
        <v>0</v>
      </c>
      <c r="AK99" s="3">
        <v>0</v>
      </c>
      <c r="AL99" s="3" t="s">
        <v>1032</v>
      </c>
      <c r="AM99" s="3" t="s">
        <v>42</v>
      </c>
      <c r="AN99" s="3" t="s">
        <v>2032</v>
      </c>
      <c r="AO99" s="3" t="s">
        <v>1850</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row>
    <row r="100" spans="1:73" ht="15.75" customHeight="1" x14ac:dyDescent="0.2">
      <c r="A100" s="3">
        <f t="shared" si="3"/>
        <v>7098</v>
      </c>
      <c r="B100" s="3" t="s">
        <v>1437</v>
      </c>
      <c r="C100" s="3" t="s">
        <v>1437</v>
      </c>
      <c r="D100" s="5" t="s">
        <v>1461</v>
      </c>
      <c r="E100" s="5" t="s">
        <v>1436</v>
      </c>
      <c r="F100" s="3">
        <v>0</v>
      </c>
      <c r="G100" s="3">
        <v>0</v>
      </c>
      <c r="H100" s="3">
        <v>0</v>
      </c>
      <c r="I100" s="3">
        <v>50</v>
      </c>
      <c r="J100" s="3">
        <v>5</v>
      </c>
      <c r="K100" s="3">
        <v>1</v>
      </c>
      <c r="L100" s="3">
        <v>0</v>
      </c>
      <c r="M100" s="3">
        <v>0</v>
      </c>
      <c r="N100" s="3">
        <v>0</v>
      </c>
      <c r="O100" s="3">
        <v>0</v>
      </c>
      <c r="P100" s="3">
        <v>-30</v>
      </c>
      <c r="Q100" s="3">
        <v>-30</v>
      </c>
      <c r="R100" s="3">
        <v>-30</v>
      </c>
      <c r="S100" s="3">
        <v>-30</v>
      </c>
      <c r="T100" s="3">
        <v>-30</v>
      </c>
      <c r="U100" s="3">
        <v>-30</v>
      </c>
      <c r="V100" s="3">
        <v>0</v>
      </c>
      <c r="W100" s="3">
        <v>-50</v>
      </c>
      <c r="X100" s="3">
        <v>0</v>
      </c>
      <c r="Y100" s="3">
        <v>0</v>
      </c>
      <c r="Z100" s="3">
        <v>0</v>
      </c>
      <c r="AA100" s="3">
        <v>0</v>
      </c>
      <c r="AB100" s="3">
        <v>0</v>
      </c>
      <c r="AC100" s="3">
        <v>0</v>
      </c>
      <c r="AD100" s="3">
        <v>0</v>
      </c>
      <c r="AE100" s="3">
        <v>0</v>
      </c>
      <c r="AF100" s="3">
        <v>0</v>
      </c>
      <c r="AG100" s="3">
        <v>0</v>
      </c>
      <c r="AH100" s="3">
        <v>0</v>
      </c>
      <c r="AI100" s="3">
        <v>0</v>
      </c>
      <c r="AJ100" s="3">
        <v>0</v>
      </c>
      <c r="AK100" s="3">
        <v>0</v>
      </c>
      <c r="AL100" s="3" t="s">
        <v>1032</v>
      </c>
      <c r="AM100" s="3" t="s">
        <v>42</v>
      </c>
      <c r="AN100" s="3" t="s">
        <v>2032</v>
      </c>
      <c r="AO100" s="3" t="s">
        <v>1850</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c r="BP100" s="6" t="s">
        <v>50</v>
      </c>
      <c r="BQ100">
        <v>0</v>
      </c>
      <c r="BR100" s="6" t="s">
        <v>50</v>
      </c>
      <c r="BS100">
        <v>0</v>
      </c>
      <c r="BT100" s="6" t="s">
        <v>50</v>
      </c>
      <c r="BU100">
        <v>0</v>
      </c>
    </row>
    <row r="101" spans="1:73" ht="15.75" customHeight="1" x14ac:dyDescent="0.2">
      <c r="A101" s="3">
        <f t="shared" si="3"/>
        <v>7099</v>
      </c>
      <c r="B101" s="3" t="s">
        <v>1439</v>
      </c>
      <c r="C101" s="3" t="s">
        <v>1439</v>
      </c>
      <c r="D101" s="5" t="s">
        <v>1462</v>
      </c>
      <c r="E101" s="5" t="s">
        <v>1440</v>
      </c>
      <c r="F101" s="3">
        <v>0</v>
      </c>
      <c r="G101" s="3">
        <v>0</v>
      </c>
      <c r="H101" s="3">
        <v>0</v>
      </c>
      <c r="I101" s="3">
        <v>50</v>
      </c>
      <c r="J101" s="3">
        <v>5</v>
      </c>
      <c r="K101" s="3">
        <v>1</v>
      </c>
      <c r="L101" s="3">
        <v>0</v>
      </c>
      <c r="M101" s="3">
        <v>0</v>
      </c>
      <c r="N101" s="3">
        <v>0</v>
      </c>
      <c r="O101" s="3">
        <v>0</v>
      </c>
      <c r="P101" s="3">
        <v>-30</v>
      </c>
      <c r="Q101" s="3">
        <v>-30</v>
      </c>
      <c r="R101" s="3">
        <v>-30</v>
      </c>
      <c r="S101" s="3">
        <v>-30</v>
      </c>
      <c r="T101" s="3">
        <v>-30</v>
      </c>
      <c r="U101" s="3">
        <v>-30</v>
      </c>
      <c r="V101" s="3">
        <v>-50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1032</v>
      </c>
      <c r="AM101" s="3" t="s">
        <v>1032</v>
      </c>
      <c r="AN101" s="3" t="s">
        <v>2032</v>
      </c>
      <c r="AO101" s="3" t="s">
        <v>1850</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2</v>
      </c>
      <c r="BL101">
        <v>0</v>
      </c>
      <c r="BM101">
        <v>0</v>
      </c>
      <c r="BN101">
        <v>0</v>
      </c>
      <c r="BO101">
        <v>0</v>
      </c>
      <c r="BP101" s="6" t="s">
        <v>50</v>
      </c>
      <c r="BQ101">
        <v>0</v>
      </c>
      <c r="BR101" s="6" t="s">
        <v>50</v>
      </c>
      <c r="BS101">
        <v>0</v>
      </c>
      <c r="BT101" s="6" t="s">
        <v>50</v>
      </c>
      <c r="BU101">
        <v>0</v>
      </c>
    </row>
    <row r="102" spans="1:73" ht="15.75" customHeight="1" x14ac:dyDescent="0.2">
      <c r="A102" s="3">
        <f t="shared" si="3"/>
        <v>7100</v>
      </c>
      <c r="B102" s="3" t="s">
        <v>1466</v>
      </c>
      <c r="C102" s="3" t="s">
        <v>1466</v>
      </c>
      <c r="D102" s="5" t="s">
        <v>1463</v>
      </c>
      <c r="E102" s="5" t="s">
        <v>1441</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0</v>
      </c>
      <c r="W102" s="3">
        <v>0</v>
      </c>
      <c r="X102" s="3">
        <v>-50</v>
      </c>
      <c r="Y102" s="3">
        <v>0</v>
      </c>
      <c r="Z102" s="3">
        <v>0</v>
      </c>
      <c r="AA102" s="3">
        <v>0</v>
      </c>
      <c r="AB102" s="3">
        <v>0</v>
      </c>
      <c r="AC102" s="3">
        <v>0</v>
      </c>
      <c r="AD102" s="3">
        <v>0</v>
      </c>
      <c r="AE102" s="3">
        <v>0</v>
      </c>
      <c r="AF102" s="3">
        <v>0</v>
      </c>
      <c r="AG102" s="3">
        <v>0</v>
      </c>
      <c r="AH102" s="3">
        <v>0</v>
      </c>
      <c r="AI102" s="3">
        <v>0</v>
      </c>
      <c r="AJ102" s="3">
        <v>0</v>
      </c>
      <c r="AK102" s="3">
        <v>0</v>
      </c>
      <c r="AL102" s="3" t="s">
        <v>1032</v>
      </c>
      <c r="AM102" s="3" t="s">
        <v>42</v>
      </c>
      <c r="AN102" s="3" t="s">
        <v>2032</v>
      </c>
      <c r="AO102" s="3" t="s">
        <v>1850</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row>
    <row r="103" spans="1:73" ht="15.75" customHeight="1" x14ac:dyDescent="0.2">
      <c r="A103" s="3">
        <f t="shared" si="3"/>
        <v>7101</v>
      </c>
      <c r="B103" s="3" t="s">
        <v>1467</v>
      </c>
      <c r="C103" s="3" t="s">
        <v>1467</v>
      </c>
      <c r="D103" s="5" t="s">
        <v>1464</v>
      </c>
      <c r="E103" s="5" t="s">
        <v>1442</v>
      </c>
      <c r="F103" s="3">
        <v>0</v>
      </c>
      <c r="G103" s="3">
        <v>0</v>
      </c>
      <c r="H103" s="3">
        <v>0</v>
      </c>
      <c r="I103" s="3">
        <v>50</v>
      </c>
      <c r="J103" s="3">
        <v>5</v>
      </c>
      <c r="K103" s="3">
        <v>1</v>
      </c>
      <c r="L103" s="3">
        <v>0</v>
      </c>
      <c r="M103" s="3">
        <v>0</v>
      </c>
      <c r="N103" s="3">
        <v>0</v>
      </c>
      <c r="O103" s="3">
        <v>0</v>
      </c>
      <c r="P103" s="3">
        <v>0</v>
      </c>
      <c r="Q103" s="3">
        <v>0</v>
      </c>
      <c r="R103" s="3">
        <v>0</v>
      </c>
      <c r="S103" s="3">
        <v>0</v>
      </c>
      <c r="T103" s="3">
        <v>0</v>
      </c>
      <c r="U103" s="3">
        <v>0</v>
      </c>
      <c r="V103" s="3">
        <v>0</v>
      </c>
      <c r="W103" s="3">
        <v>-50</v>
      </c>
      <c r="X103" s="3">
        <v>0</v>
      </c>
      <c r="Y103" s="3">
        <v>0</v>
      </c>
      <c r="Z103" s="3">
        <v>0</v>
      </c>
      <c r="AA103" s="3">
        <v>0</v>
      </c>
      <c r="AB103" s="3">
        <v>0</v>
      </c>
      <c r="AC103" s="3">
        <v>0</v>
      </c>
      <c r="AD103" s="3">
        <v>0</v>
      </c>
      <c r="AE103" s="3">
        <v>0</v>
      </c>
      <c r="AF103" s="3">
        <v>0</v>
      </c>
      <c r="AG103" s="3">
        <v>0</v>
      </c>
      <c r="AH103" s="3">
        <v>0</v>
      </c>
      <c r="AI103" s="3">
        <v>0</v>
      </c>
      <c r="AJ103" s="3">
        <v>0</v>
      </c>
      <c r="AK103" s="3">
        <v>0</v>
      </c>
      <c r="AL103" s="3" t="s">
        <v>1032</v>
      </c>
      <c r="AM103" s="3" t="s">
        <v>42</v>
      </c>
      <c r="AN103" s="3" t="s">
        <v>2032</v>
      </c>
      <c r="AO103" s="3" t="s">
        <v>1850</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row>
    <row r="104" spans="1:73" ht="15.75" customHeight="1" x14ac:dyDescent="0.2">
      <c r="A104" s="3">
        <f t="shared" si="3"/>
        <v>7102</v>
      </c>
      <c r="B104" s="3" t="s">
        <v>1468</v>
      </c>
      <c r="C104" s="3" t="s">
        <v>1468</v>
      </c>
      <c r="D104" s="5" t="s">
        <v>1465</v>
      </c>
      <c r="E104" s="5" t="s">
        <v>1443</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-50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1032</v>
      </c>
      <c r="AM104" s="3" t="s">
        <v>42</v>
      </c>
      <c r="AN104" s="3" t="s">
        <v>2032</v>
      </c>
      <c r="AO104" s="3" t="s">
        <v>1850</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4</v>
      </c>
      <c r="BL104">
        <v>0</v>
      </c>
      <c r="BM104">
        <v>0</v>
      </c>
      <c r="BN104">
        <v>0</v>
      </c>
      <c r="BO104">
        <v>0</v>
      </c>
      <c r="BP104" s="6" t="s">
        <v>50</v>
      </c>
      <c r="BQ104">
        <v>0</v>
      </c>
      <c r="BR104" s="6" t="s">
        <v>50</v>
      </c>
      <c r="BS104">
        <v>0</v>
      </c>
      <c r="BT104" s="6" t="s">
        <v>50</v>
      </c>
      <c r="BU104">
        <v>0</v>
      </c>
    </row>
    <row r="105" spans="1:73" ht="15.75" customHeight="1" x14ac:dyDescent="0.2">
      <c r="A105" s="3">
        <f t="shared" si="3"/>
        <v>7103</v>
      </c>
      <c r="B105" s="3" t="s">
        <v>513</v>
      </c>
      <c r="C105" s="3" t="s">
        <v>490</v>
      </c>
      <c r="D105" s="5" t="s">
        <v>491</v>
      </c>
      <c r="E105" s="5" t="s">
        <v>492</v>
      </c>
      <c r="F105" s="3">
        <v>0</v>
      </c>
      <c r="G105" s="3">
        <v>0</v>
      </c>
      <c r="H105" s="3">
        <v>0</v>
      </c>
      <c r="I105" s="3">
        <v>50</v>
      </c>
      <c r="J105" s="3">
        <v>999</v>
      </c>
      <c r="K105" s="3">
        <v>1</v>
      </c>
      <c r="L105" s="3">
        <v>0</v>
      </c>
      <c r="M105" s="3">
        <v>0</v>
      </c>
      <c r="N105" s="3">
        <v>0</v>
      </c>
      <c r="O105" s="3">
        <v>0</v>
      </c>
      <c r="P105" s="3">
        <v>100</v>
      </c>
      <c r="Q105" s="3">
        <v>100</v>
      </c>
      <c r="R105" s="3">
        <v>100</v>
      </c>
      <c r="S105" s="3">
        <v>100</v>
      </c>
      <c r="T105" s="3">
        <v>100</v>
      </c>
      <c r="U105" s="3">
        <v>100</v>
      </c>
      <c r="V105" s="3">
        <v>0</v>
      </c>
      <c r="W105" s="3">
        <v>0</v>
      </c>
      <c r="X105" s="3">
        <v>0</v>
      </c>
      <c r="Y105" s="3">
        <v>100</v>
      </c>
      <c r="Z105" s="3">
        <v>100</v>
      </c>
      <c r="AA105" s="3">
        <v>100</v>
      </c>
      <c r="AB105" s="3">
        <v>100</v>
      </c>
      <c r="AC105" s="3">
        <v>100</v>
      </c>
      <c r="AD105" s="3">
        <v>100</v>
      </c>
      <c r="AE105" s="3">
        <v>100</v>
      </c>
      <c r="AF105" s="3">
        <v>100</v>
      </c>
      <c r="AG105" s="3">
        <v>100</v>
      </c>
      <c r="AH105" s="3">
        <v>100</v>
      </c>
      <c r="AI105" s="3">
        <v>100</v>
      </c>
      <c r="AJ105" s="3">
        <v>100</v>
      </c>
      <c r="AK105" s="3">
        <v>100</v>
      </c>
      <c r="AL105" s="3" t="s">
        <v>42</v>
      </c>
      <c r="AM105" s="3" t="s">
        <v>42</v>
      </c>
      <c r="AN105" s="3" t="s">
        <v>2032</v>
      </c>
      <c r="AO105" s="3" t="s">
        <v>1850</v>
      </c>
      <c r="AP105" s="3">
        <v>0</v>
      </c>
      <c r="AQ105" s="3">
        <v>0</v>
      </c>
      <c r="AR105">
        <v>0</v>
      </c>
      <c r="AS105">
        <v>1</v>
      </c>
      <c r="AT105" s="6" t="s">
        <v>934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4</v>
      </c>
      <c r="BL105">
        <v>0</v>
      </c>
      <c r="BM105">
        <v>0</v>
      </c>
      <c r="BN105">
        <v>0</v>
      </c>
      <c r="BO105">
        <v>0</v>
      </c>
      <c r="BP105" s="6" t="s">
        <v>50</v>
      </c>
      <c r="BQ105">
        <v>0</v>
      </c>
      <c r="BR105" s="6" t="s">
        <v>50</v>
      </c>
      <c r="BS105">
        <v>0</v>
      </c>
      <c r="BT105" s="6" t="s">
        <v>50</v>
      </c>
      <c r="BU105">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U163"/>
  <sheetViews>
    <sheetView tabSelected="1" topLeftCell="A19" workbookViewId="0">
      <selection activeCell="E39" sqref="E39"/>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s>
  <sheetData>
    <row r="1" spans="1:73"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1145</v>
      </c>
      <c r="Z1" s="2" t="s">
        <v>2210</v>
      </c>
      <c r="AA1" s="2" t="s">
        <v>2169</v>
      </c>
      <c r="AB1" s="2" t="s">
        <v>2201</v>
      </c>
      <c r="AC1" s="2" t="s">
        <v>2202</v>
      </c>
      <c r="AD1" s="2" t="s">
        <v>2203</v>
      </c>
      <c r="AE1" s="2" t="s">
        <v>2204</v>
      </c>
      <c r="AF1" s="2" t="s">
        <v>2205</v>
      </c>
      <c r="AG1" s="2" t="s">
        <v>2206</v>
      </c>
      <c r="AH1" s="2" t="s">
        <v>2207</v>
      </c>
      <c r="AI1" s="2" t="s">
        <v>2208</v>
      </c>
      <c r="AJ1" s="2" t="s">
        <v>2209</v>
      </c>
      <c r="AK1" s="2" t="s">
        <v>2623</v>
      </c>
      <c r="AL1" s="1" t="s">
        <v>13</v>
      </c>
      <c r="AM1" s="1" t="s">
        <v>14</v>
      </c>
      <c r="AN1" s="1" t="s">
        <v>1928</v>
      </c>
      <c r="AO1" s="1" t="s">
        <v>1849</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2492</v>
      </c>
      <c r="BN1" s="1" t="s">
        <v>3553</v>
      </c>
      <c r="BO1" s="1" t="s">
        <v>1614</v>
      </c>
      <c r="BP1" s="1" t="s">
        <v>3617</v>
      </c>
      <c r="BQ1" s="1" t="s">
        <v>3618</v>
      </c>
      <c r="BR1" s="1" t="s">
        <v>3619</v>
      </c>
      <c r="BS1" s="1" t="s">
        <v>3620</v>
      </c>
      <c r="BT1" s="1" t="s">
        <v>3621</v>
      </c>
      <c r="BU1" s="1" t="s">
        <v>3622</v>
      </c>
    </row>
    <row r="2" spans="1:73"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908</v>
      </c>
      <c r="AN2" s="3" t="s">
        <v>1929</v>
      </c>
      <c r="AO2" s="3" t="s">
        <v>1850</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ht="15.75" customHeight="1" x14ac:dyDescent="0.2">
      <c r="A3" s="3">
        <f t="shared" ref="A3:A92"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2191</v>
      </c>
      <c r="AO3" s="3" t="s">
        <v>1850</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row>
    <row r="4" spans="1:73"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2192</v>
      </c>
      <c r="AO4" s="3" t="s">
        <v>1850</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row>
    <row r="5" spans="1:73" ht="15.75" customHeight="1" x14ac:dyDescent="0.2">
      <c r="A5" s="3">
        <f t="shared" si="0"/>
        <v>10003</v>
      </c>
      <c r="B5" s="3" t="s">
        <v>2596</v>
      </c>
      <c r="C5" s="3" t="s">
        <v>1898</v>
      </c>
      <c r="D5" s="5" t="s">
        <v>1897</v>
      </c>
      <c r="E5" s="5" t="s">
        <v>2790</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2193</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row>
    <row r="6" spans="1:73" ht="15.75" customHeight="1" x14ac:dyDescent="0.2">
      <c r="A6" s="3">
        <f t="shared" si="0"/>
        <v>10004</v>
      </c>
      <c r="B6" s="3" t="s">
        <v>3351</v>
      </c>
      <c r="C6" s="3" t="s">
        <v>3305</v>
      </c>
      <c r="D6" s="5" t="s">
        <v>3304</v>
      </c>
      <c r="E6" s="5" t="s">
        <v>3306</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3307</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row>
    <row r="7" spans="1:73" ht="15.75" customHeight="1" x14ac:dyDescent="0.2">
      <c r="A7" s="3">
        <f t="shared" si="0"/>
        <v>10005</v>
      </c>
      <c r="B7" s="3" t="s">
        <v>3312</v>
      </c>
      <c r="C7" s="3" t="s">
        <v>3312</v>
      </c>
      <c r="D7" s="5" t="s">
        <v>3311</v>
      </c>
      <c r="E7" s="5" t="s">
        <v>3313</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3314</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ht="15.75" customHeight="1" x14ac:dyDescent="0.2">
      <c r="A8" s="3">
        <f t="shared" si="0"/>
        <v>10006</v>
      </c>
      <c r="B8" s="3" t="s">
        <v>1069</v>
      </c>
      <c r="C8" s="3" t="s">
        <v>1069</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3400</v>
      </c>
      <c r="AO8" s="3" t="s">
        <v>1850</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row>
    <row r="9" spans="1:73"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2194</v>
      </c>
      <c r="AO9" s="3" t="s">
        <v>1850</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row>
    <row r="10" spans="1:73" ht="15.75" customHeight="1" x14ac:dyDescent="0.2">
      <c r="A10" s="3">
        <f t="shared" si="0"/>
        <v>10008</v>
      </c>
      <c r="B10" s="3" t="s">
        <v>3219</v>
      </c>
      <c r="C10" s="3" t="s">
        <v>3219</v>
      </c>
      <c r="D10" s="5" t="s">
        <v>3220</v>
      </c>
      <c r="E10" s="5" t="s">
        <v>3221</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2194</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row>
    <row r="11" spans="1:73" ht="15.75" customHeight="1" x14ac:dyDescent="0.2">
      <c r="A11" s="3">
        <f t="shared" si="0"/>
        <v>10009</v>
      </c>
      <c r="B11" s="3" t="s">
        <v>596</v>
      </c>
      <c r="C11" s="3" t="s">
        <v>596</v>
      </c>
      <c r="D11" s="5" t="s">
        <v>595</v>
      </c>
      <c r="E11" s="5" t="s">
        <v>597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2064</v>
      </c>
      <c r="AO11" s="3" t="s">
        <v>1850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row>
    <row r="12" spans="1:73" ht="15.75" customHeight="1" x14ac:dyDescent="0.2">
      <c r="A12" s="3">
        <f t="shared" si="0"/>
        <v>10010</v>
      </c>
      <c r="B12" s="3" t="s">
        <v>1562</v>
      </c>
      <c r="C12" s="3" t="s">
        <v>1562</v>
      </c>
      <c r="D12" s="5" t="s">
        <v>1561</v>
      </c>
      <c r="E12" s="5" t="s">
        <v>1563</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2064</v>
      </c>
      <c r="AO12" s="3" t="s">
        <v>1850</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row>
    <row r="13" spans="1:73" ht="15.75" customHeight="1" x14ac:dyDescent="0.2">
      <c r="A13" s="3">
        <f t="shared" si="0"/>
        <v>10011</v>
      </c>
      <c r="B13" s="3" t="s">
        <v>2261</v>
      </c>
      <c r="C13" s="3" t="s">
        <v>2261</v>
      </c>
      <c r="D13" s="5" t="s">
        <v>2537</v>
      </c>
      <c r="E13" s="5" t="s">
        <v>2260</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2064</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row>
    <row r="14" spans="1:73" ht="15.75" customHeight="1" x14ac:dyDescent="0.2">
      <c r="A14" s="3">
        <f t="shared" si="0"/>
        <v>10012</v>
      </c>
      <c r="B14" s="3" t="s">
        <v>2589</v>
      </c>
      <c r="C14" s="3" t="s">
        <v>2589</v>
      </c>
      <c r="D14" s="5" t="s">
        <v>2588</v>
      </c>
      <c r="E14" s="5" t="s">
        <v>2587</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2064</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row>
    <row r="15" spans="1:73" ht="15.75" customHeight="1" x14ac:dyDescent="0.2">
      <c r="A15" s="3">
        <f t="shared" si="0"/>
        <v>10013</v>
      </c>
      <c r="B15" s="3" t="s">
        <v>1351</v>
      </c>
      <c r="C15" s="3" t="s">
        <v>701</v>
      </c>
      <c r="D15" s="5" t="s">
        <v>699</v>
      </c>
      <c r="E15" s="5" t="s">
        <v>700</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2065</v>
      </c>
      <c r="AO15" s="3" t="s">
        <v>1850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row>
    <row r="16" spans="1:73" ht="15.75" customHeight="1" x14ac:dyDescent="0.2">
      <c r="A16" s="3">
        <f t="shared" si="0"/>
        <v>10014</v>
      </c>
      <c r="B16" s="3" t="s">
        <v>620</v>
      </c>
      <c r="C16" s="3" t="s">
        <v>620</v>
      </c>
      <c r="D16" s="5" t="s">
        <v>857</v>
      </c>
      <c r="E16" s="5" t="s">
        <v>621</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2195</v>
      </c>
      <c r="AO16" s="3" t="s">
        <v>1850</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row>
    <row r="17" spans="1:73" ht="15.75" customHeight="1" x14ac:dyDescent="0.2">
      <c r="A17" s="3">
        <f t="shared" si="0"/>
        <v>10015</v>
      </c>
      <c r="B17" s="3" t="s">
        <v>858</v>
      </c>
      <c r="C17" s="3" t="s">
        <v>858</v>
      </c>
      <c r="D17" s="5" t="s">
        <v>889</v>
      </c>
      <c r="E17" s="5" t="s">
        <v>887</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2196</v>
      </c>
      <c r="AO17" s="3" t="s">
        <v>1850</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row>
    <row r="18" spans="1:73" ht="15.75" customHeight="1" x14ac:dyDescent="0.2">
      <c r="A18" s="3">
        <f t="shared" si="0"/>
        <v>10016</v>
      </c>
      <c r="B18" s="3" t="s">
        <v>2268</v>
      </c>
      <c r="C18" s="3" t="s">
        <v>2268</v>
      </c>
      <c r="D18" s="5" t="s">
        <v>2590</v>
      </c>
      <c r="E18" s="5" t="s">
        <v>2263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2196</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row>
    <row r="19" spans="1:73" ht="15.75" customHeight="1" x14ac:dyDescent="0.2">
      <c r="A19" s="3">
        <f t="shared" si="0"/>
        <v>10017</v>
      </c>
      <c r="B19" s="3" t="s">
        <v>2043</v>
      </c>
      <c r="C19" s="3" t="s">
        <v>2043</v>
      </c>
      <c r="D19" s="5" t="s">
        <v>2595</v>
      </c>
      <c r="E19" s="5" t="s">
        <v>2594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2197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row>
    <row r="20" spans="1:73" ht="15.75" customHeight="1" x14ac:dyDescent="0.2">
      <c r="A20" s="3">
        <f t="shared" si="0"/>
        <v>10018</v>
      </c>
      <c r="B20" s="3" t="s">
        <v>3522</v>
      </c>
      <c r="C20" s="3" t="s">
        <v>3522</v>
      </c>
      <c r="D20" s="5" t="s">
        <v>3520</v>
      </c>
      <c r="E20" s="5" t="s">
        <v>3521</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2197</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row>
    <row r="21" spans="1:73" s="9" customFormat="1" ht="15.75" customHeight="1" x14ac:dyDescent="0.2">
      <c r="A21" s="7">
        <f t="shared" si="0"/>
        <v>10019</v>
      </c>
      <c r="B21" s="7" t="s">
        <v>620</v>
      </c>
      <c r="C21" s="7" t="s">
        <v>2057</v>
      </c>
      <c r="D21" s="8" t="s">
        <v>2385</v>
      </c>
      <c r="E21" s="8" t="s">
        <v>2099</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375</v>
      </c>
      <c r="AN21" s="7" t="s">
        <v>1930</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c r="BP21" s="10" t="s">
        <v>50</v>
      </c>
      <c r="BQ21" s="9">
        <v>0</v>
      </c>
      <c r="BR21" s="10" t="s">
        <v>50</v>
      </c>
      <c r="BS21" s="9">
        <v>0</v>
      </c>
      <c r="BT21" s="10" t="s">
        <v>50</v>
      </c>
      <c r="BU21" s="9">
        <v>0</v>
      </c>
    </row>
    <row r="22" spans="1:73" s="9" customFormat="1" ht="15.75" customHeight="1" x14ac:dyDescent="0.2">
      <c r="A22" s="7">
        <f t="shared" si="0"/>
        <v>10020</v>
      </c>
      <c r="B22" s="7" t="s">
        <v>620</v>
      </c>
      <c r="C22" s="7" t="s">
        <v>2097</v>
      </c>
      <c r="D22" s="8" t="s">
        <v>2386</v>
      </c>
      <c r="E22" s="8" t="s">
        <v>2098</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1930</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row>
    <row r="23" spans="1:73" s="9" customFormat="1" ht="15.75" customHeight="1" x14ac:dyDescent="0.2">
      <c r="A23" s="7">
        <f t="shared" si="0"/>
        <v>10021</v>
      </c>
      <c r="B23" s="7" t="s">
        <v>620</v>
      </c>
      <c r="C23" s="7" t="s">
        <v>2101</v>
      </c>
      <c r="D23" s="8" t="s">
        <v>2387</v>
      </c>
      <c r="E23" s="8" t="s">
        <v>2100</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1930</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row>
    <row r="24" spans="1:73" ht="15.75" customHeight="1" x14ac:dyDescent="0.2">
      <c r="A24" s="3">
        <f t="shared" si="0"/>
        <v>10022</v>
      </c>
      <c r="B24" s="3" t="s">
        <v>626</v>
      </c>
      <c r="C24" s="3" t="s">
        <v>626</v>
      </c>
      <c r="D24" s="5" t="s">
        <v>909</v>
      </c>
      <c r="E24" s="5" t="s">
        <v>1056</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375</v>
      </c>
      <c r="AN24" s="3" t="s">
        <v>2198</v>
      </c>
      <c r="AO24" s="3" t="s">
        <v>1850</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row>
    <row r="25" spans="1:73" s="9" customFormat="1" ht="17.25" customHeight="1" x14ac:dyDescent="0.2">
      <c r="A25" s="3">
        <f t="shared" si="0"/>
        <v>10023</v>
      </c>
      <c r="B25" s="7" t="s">
        <v>1307</v>
      </c>
      <c r="C25" s="7" t="s">
        <v>1307</v>
      </c>
      <c r="D25" s="8" t="s">
        <v>1331</v>
      </c>
      <c r="E25" s="8" t="s">
        <v>1332</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375</v>
      </c>
      <c r="AN25" s="7" t="s">
        <v>1930</v>
      </c>
      <c r="AO25" s="7" t="s">
        <v>1850</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c r="BP25" s="10" t="s">
        <v>50</v>
      </c>
      <c r="BQ25" s="9">
        <v>0</v>
      </c>
      <c r="BR25" s="10" t="s">
        <v>50</v>
      </c>
      <c r="BS25" s="9">
        <v>0</v>
      </c>
      <c r="BT25" s="10" t="s">
        <v>50</v>
      </c>
      <c r="BU25" s="9">
        <v>0</v>
      </c>
    </row>
    <row r="26" spans="1:73" ht="15.75" customHeight="1" x14ac:dyDescent="0.2">
      <c r="A26" s="3">
        <f t="shared" si="0"/>
        <v>10024</v>
      </c>
      <c r="B26" s="3" t="s">
        <v>1329</v>
      </c>
      <c r="C26" s="3" t="s">
        <v>1329</v>
      </c>
      <c r="D26" s="5" t="s">
        <v>1328</v>
      </c>
      <c r="E26" s="5" t="s">
        <v>1330</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375</v>
      </c>
      <c r="AN26" s="3" t="s">
        <v>2199</v>
      </c>
      <c r="AO26" s="3" t="s">
        <v>1850</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row>
    <row r="27" spans="1:73" s="9" customFormat="1" ht="15.75" customHeight="1" x14ac:dyDescent="0.2">
      <c r="A27" s="3">
        <f t="shared" si="0"/>
        <v>10025</v>
      </c>
      <c r="B27" s="7" t="s">
        <v>664</v>
      </c>
      <c r="C27" s="7" t="s">
        <v>664</v>
      </c>
      <c r="D27" s="8" t="s">
        <v>663</v>
      </c>
      <c r="E27" s="8" t="s">
        <v>665</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375</v>
      </c>
      <c r="AN27" s="7" t="s">
        <v>1930</v>
      </c>
      <c r="AO27" s="7" t="s">
        <v>1850</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c r="BP27" s="10" t="s">
        <v>50</v>
      </c>
      <c r="BQ27" s="9">
        <v>0</v>
      </c>
      <c r="BR27" s="10" t="s">
        <v>50</v>
      </c>
      <c r="BS27" s="9">
        <v>0</v>
      </c>
      <c r="BT27" s="10" t="s">
        <v>50</v>
      </c>
      <c r="BU27" s="9">
        <v>0</v>
      </c>
    </row>
    <row r="28" spans="1:73" ht="15.75" customHeight="1" x14ac:dyDescent="0.2">
      <c r="A28" s="3">
        <f t="shared" si="0"/>
        <v>10026</v>
      </c>
      <c r="B28" s="3" t="s">
        <v>912</v>
      </c>
      <c r="C28" s="3" t="s">
        <v>912</v>
      </c>
      <c r="D28" s="5" t="s">
        <v>1348</v>
      </c>
      <c r="E28" s="5" t="s">
        <v>1313</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375</v>
      </c>
      <c r="AN28" s="3" t="s">
        <v>2200</v>
      </c>
      <c r="AO28" s="3" t="s">
        <v>1850</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row>
    <row r="29" spans="1:73" s="9" customFormat="1" ht="15.75" customHeight="1" x14ac:dyDescent="0.2">
      <c r="A29" s="7">
        <f t="shared" si="0"/>
        <v>10027</v>
      </c>
      <c r="B29" s="7" t="s">
        <v>1562</v>
      </c>
      <c r="C29" s="7" t="s">
        <v>2264</v>
      </c>
      <c r="D29" s="8" t="s">
        <v>2256</v>
      </c>
      <c r="E29" s="8" t="s">
        <v>2398</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906</v>
      </c>
      <c r="AN29" s="7" t="s">
        <v>2262</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c r="BP29" s="10" t="s">
        <v>50</v>
      </c>
      <c r="BQ29" s="9">
        <v>0</v>
      </c>
      <c r="BR29" s="10" t="s">
        <v>50</v>
      </c>
      <c r="BS29" s="9">
        <v>0</v>
      </c>
      <c r="BT29" s="10" t="s">
        <v>50</v>
      </c>
      <c r="BU29" s="9">
        <v>0</v>
      </c>
    </row>
    <row r="30" spans="1:73" ht="15.75" customHeight="1" x14ac:dyDescent="0.2">
      <c r="A30" s="3">
        <f t="shared" si="0"/>
        <v>10028</v>
      </c>
      <c r="B30" s="3" t="s">
        <v>2270</v>
      </c>
      <c r="C30" s="3" t="s">
        <v>2270</v>
      </c>
      <c r="D30" s="5" t="s">
        <v>2269</v>
      </c>
      <c r="E30" s="5" t="s">
        <v>2394</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906</v>
      </c>
      <c r="AN30" s="3" t="s">
        <v>2262</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10029</v>
      </c>
      <c r="B31" s="3" t="s">
        <v>2265</v>
      </c>
      <c r="C31" s="3" t="s">
        <v>2265</v>
      </c>
      <c r="D31" s="5" t="s">
        <v>2257</v>
      </c>
      <c r="E31" s="5" t="s">
        <v>2395</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906</v>
      </c>
      <c r="AN31" s="3" t="s">
        <v>2262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si="0"/>
        <v>10030</v>
      </c>
      <c r="B32" s="3" t="s">
        <v>2266</v>
      </c>
      <c r="C32" s="3" t="s">
        <v>2266</v>
      </c>
      <c r="D32" s="5" t="s">
        <v>2258</v>
      </c>
      <c r="E32" s="5" t="s">
        <v>2396</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906</v>
      </c>
      <c r="AN32" s="3" t="s">
        <v>2262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row>
    <row r="33" spans="1:73" ht="15.75" customHeight="1" x14ac:dyDescent="0.2">
      <c r="A33" s="3">
        <f t="shared" si="0"/>
        <v>10031</v>
      </c>
      <c r="B33" s="3" t="s">
        <v>2267</v>
      </c>
      <c r="C33" s="3" t="s">
        <v>2267</v>
      </c>
      <c r="D33" s="5" t="s">
        <v>2259</v>
      </c>
      <c r="E33" s="5" t="s">
        <v>2397</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906</v>
      </c>
      <c r="AN33" s="3" t="s">
        <v>2262</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row>
    <row r="34" spans="1:73" ht="15.75" customHeight="1" x14ac:dyDescent="0.2">
      <c r="A34" s="3">
        <f t="shared" si="0"/>
        <v>10032</v>
      </c>
      <c r="B34" s="3" t="s">
        <v>2963</v>
      </c>
      <c r="C34" s="3" t="s">
        <v>2963</v>
      </c>
      <c r="D34" s="5" t="s">
        <v>2607</v>
      </c>
      <c r="E34" s="5" t="s">
        <v>2608</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906</v>
      </c>
      <c r="AN34" s="3" t="s">
        <v>2624</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row>
    <row r="35" spans="1:73" s="14" customFormat="1" ht="15.75" customHeight="1" x14ac:dyDescent="0.2">
      <c r="A35" s="3">
        <f t="shared" si="0"/>
        <v>10033</v>
      </c>
      <c r="B35" s="12" t="s">
        <v>1486</v>
      </c>
      <c r="C35" s="12" t="s">
        <v>662</v>
      </c>
      <c r="D35" s="13" t="s">
        <v>1477</v>
      </c>
      <c r="E35" s="13" t="s">
        <v>1478</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906</v>
      </c>
      <c r="AN35" s="3" t="s">
        <v>1931</v>
      </c>
      <c r="AO35" s="3" t="s">
        <v>1850</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row>
    <row r="36" spans="1:73" s="14" customFormat="1" ht="15.75" customHeight="1" x14ac:dyDescent="0.2">
      <c r="A36" s="3">
        <f t="shared" si="0"/>
        <v>10034</v>
      </c>
      <c r="B36" s="12" t="s">
        <v>1484</v>
      </c>
      <c r="C36" s="12" t="s">
        <v>1479</v>
      </c>
      <c r="D36" s="13" t="s">
        <v>1481</v>
      </c>
      <c r="E36" s="13" t="s">
        <v>1519</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906</v>
      </c>
      <c r="AN36" s="3" t="s">
        <v>1931</v>
      </c>
      <c r="AO36" s="3" t="s">
        <v>1850</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row>
    <row r="37" spans="1:73" s="14" customFormat="1" ht="15.75" customHeight="1" x14ac:dyDescent="0.2">
      <c r="A37" s="3">
        <f t="shared" si="0"/>
        <v>10035</v>
      </c>
      <c r="B37" s="12" t="s">
        <v>1485</v>
      </c>
      <c r="C37" s="12" t="s">
        <v>1480</v>
      </c>
      <c r="D37" s="13" t="s">
        <v>1482</v>
      </c>
      <c r="E37" s="13" t="s">
        <v>1520</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906</v>
      </c>
      <c r="AN37" s="3" t="s">
        <v>1931</v>
      </c>
      <c r="AO37" s="3" t="s">
        <v>1850</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row>
    <row r="38" spans="1:73" ht="15.75" customHeight="1" x14ac:dyDescent="0.2">
      <c r="A38" s="3">
        <f t="shared" si="0"/>
        <v>10036</v>
      </c>
      <c r="B38" s="3" t="s">
        <v>2593</v>
      </c>
      <c r="C38" s="3" t="s">
        <v>2582</v>
      </c>
      <c r="D38" s="5" t="s">
        <v>2583</v>
      </c>
      <c r="E38" s="5" t="s">
        <v>2584</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906</v>
      </c>
      <c r="AN38" s="3" t="s">
        <v>1931</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row>
    <row r="39" spans="1:73" ht="15.75" customHeight="1" x14ac:dyDescent="0.2">
      <c r="A39" s="3">
        <f t="shared" si="0"/>
        <v>10037</v>
      </c>
      <c r="B39" s="3" t="s">
        <v>2585</v>
      </c>
      <c r="C39" s="3" t="s">
        <v>2585</v>
      </c>
      <c r="D39" s="5" t="s">
        <v>3636</v>
      </c>
      <c r="E39" s="5" t="s">
        <v>3639</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906</v>
      </c>
      <c r="AN39" s="3" t="s">
        <v>1931</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row>
    <row r="40" spans="1:73" ht="15.75" customHeight="1" x14ac:dyDescent="0.2">
      <c r="A40" s="3">
        <f t="shared" si="0"/>
        <v>10038</v>
      </c>
      <c r="B40" s="3" t="s">
        <v>2586</v>
      </c>
      <c r="C40" s="3" t="s">
        <v>2586</v>
      </c>
      <c r="D40" s="5" t="s">
        <v>3637</v>
      </c>
      <c r="E40" s="5" t="s">
        <v>3638</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906</v>
      </c>
      <c r="AN40" s="3" t="s">
        <v>1931</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row>
    <row r="41" spans="1:73" ht="15.75" customHeight="1" x14ac:dyDescent="0.2">
      <c r="A41" s="3">
        <f t="shared" si="0"/>
        <v>10039</v>
      </c>
      <c r="B41" s="3" t="s">
        <v>2616</v>
      </c>
      <c r="C41" s="3" t="s">
        <v>2616</v>
      </c>
      <c r="D41" s="5" t="s">
        <v>2615</v>
      </c>
      <c r="E41" s="5" t="s">
        <v>2617</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906</v>
      </c>
      <c r="AN41" s="3" t="s">
        <v>2625</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row>
    <row r="42" spans="1:73" ht="15.75" customHeight="1" x14ac:dyDescent="0.2">
      <c r="A42" s="3">
        <f t="shared" si="0"/>
        <v>10040</v>
      </c>
      <c r="B42" s="3" t="s">
        <v>2620</v>
      </c>
      <c r="C42" s="3" t="s">
        <v>2620</v>
      </c>
      <c r="D42" s="5" t="s">
        <v>2618</v>
      </c>
      <c r="E42" s="5" t="s">
        <v>2619</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906</v>
      </c>
      <c r="AN42" s="3" t="s">
        <v>2626</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row>
    <row r="43" spans="1:73" ht="15.75" customHeight="1" x14ac:dyDescent="0.2">
      <c r="A43" s="3">
        <f t="shared" si="0"/>
        <v>10041</v>
      </c>
      <c r="B43" s="3" t="s">
        <v>880</v>
      </c>
      <c r="C43" s="3" t="s">
        <v>874</v>
      </c>
      <c r="D43" s="5" t="s">
        <v>890</v>
      </c>
      <c r="E43" s="5" t="s">
        <v>875</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906</v>
      </c>
      <c r="AN43" s="3" t="s">
        <v>1932</v>
      </c>
      <c r="AO43" s="3" t="s">
        <v>1850</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0"/>
        <v>10042</v>
      </c>
      <c r="B44" s="3" t="s">
        <v>881</v>
      </c>
      <c r="C44" s="3" t="s">
        <v>876</v>
      </c>
      <c r="D44" s="5" t="s">
        <v>892</v>
      </c>
      <c r="E44" s="5" t="s">
        <v>877</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906</v>
      </c>
      <c r="AN44" s="3" t="s">
        <v>1932</v>
      </c>
      <c r="AO44" s="3" t="s">
        <v>1850</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0"/>
        <v>10043</v>
      </c>
      <c r="B45" s="3" t="s">
        <v>882</v>
      </c>
      <c r="C45" s="3" t="s">
        <v>879</v>
      </c>
      <c r="D45" s="5" t="s">
        <v>891</v>
      </c>
      <c r="E45" s="5" t="s">
        <v>878</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906</v>
      </c>
      <c r="AN45" s="3" t="s">
        <v>1932</v>
      </c>
      <c r="AO45" s="3" t="s">
        <v>1850</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0"/>
        <v>10044</v>
      </c>
      <c r="B46" s="3" t="s">
        <v>3401</v>
      </c>
      <c r="C46" s="3" t="s">
        <v>3401</v>
      </c>
      <c r="D46" s="5" t="s">
        <v>3402</v>
      </c>
      <c r="E46" s="5" t="s">
        <v>3403</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906</v>
      </c>
      <c r="AN46" s="3" t="s">
        <v>1933</v>
      </c>
      <c r="AO46" s="3" t="s">
        <v>50</v>
      </c>
      <c r="AP46" s="3">
        <v>0</v>
      </c>
      <c r="AQ46" s="3">
        <v>0</v>
      </c>
      <c r="AR46">
        <v>0</v>
      </c>
      <c r="AS46">
        <v>500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si="0"/>
        <v>10045</v>
      </c>
      <c r="B47" s="3" t="s">
        <v>3355</v>
      </c>
      <c r="C47" s="3" t="s">
        <v>3355</v>
      </c>
      <c r="D47" s="5" t="s">
        <v>3354</v>
      </c>
      <c r="E47" s="5" t="s">
        <v>3357</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906</v>
      </c>
      <c r="AN47" s="3" t="s">
        <v>1933</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row>
    <row r="48" spans="1:73" ht="15.75" customHeight="1" x14ac:dyDescent="0.2">
      <c r="A48" s="3">
        <f t="shared" si="0"/>
        <v>10046</v>
      </c>
      <c r="B48" s="3" t="s">
        <v>3535</v>
      </c>
      <c r="C48" s="3" t="s">
        <v>3535</v>
      </c>
      <c r="D48" s="5" t="s">
        <v>3536</v>
      </c>
      <c r="E48" s="5" t="s">
        <v>3537</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906</v>
      </c>
      <c r="AN48" s="3" t="s">
        <v>1933</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row>
    <row r="49" spans="1:73" s="32" customFormat="1" ht="15.75" customHeight="1" x14ac:dyDescent="0.2">
      <c r="A49" s="30">
        <f t="shared" si="0"/>
        <v>10047</v>
      </c>
      <c r="B49" s="30" t="s">
        <v>882</v>
      </c>
      <c r="C49" s="30" t="s">
        <v>991</v>
      </c>
      <c r="D49" s="50" t="s">
        <v>990</v>
      </c>
      <c r="E49" s="50" t="s">
        <v>3356</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906</v>
      </c>
      <c r="AN49" s="30" t="s">
        <v>1933</v>
      </c>
      <c r="AO49" s="30" t="s">
        <v>1850</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c r="BP49" s="33" t="s">
        <v>50</v>
      </c>
      <c r="BQ49" s="32">
        <v>0</v>
      </c>
      <c r="BR49" s="33" t="s">
        <v>50</v>
      </c>
      <c r="BS49" s="32">
        <v>0</v>
      </c>
      <c r="BT49" s="33" t="s">
        <v>50</v>
      </c>
      <c r="BU49" s="32">
        <v>0</v>
      </c>
    </row>
    <row r="50" spans="1:73" ht="15.75" customHeight="1" x14ac:dyDescent="0.2">
      <c r="A50" s="3">
        <f t="shared" si="0"/>
        <v>10048</v>
      </c>
      <c r="B50" s="3" t="s">
        <v>1054</v>
      </c>
      <c r="C50" s="3" t="s">
        <v>1054</v>
      </c>
      <c r="D50" s="5" t="s">
        <v>1055</v>
      </c>
      <c r="E50" s="5" t="s">
        <v>1297</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906</v>
      </c>
      <c r="AN50" s="3" t="s">
        <v>1934</v>
      </c>
      <c r="AO50" s="3" t="s">
        <v>1850</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0"/>
        <v>10049</v>
      </c>
      <c r="B51" s="3" t="s">
        <v>982</v>
      </c>
      <c r="C51" s="3" t="s">
        <v>982</v>
      </c>
      <c r="D51" s="5" t="s">
        <v>985</v>
      </c>
      <c r="E51" s="5" t="s">
        <v>3610</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1935</v>
      </c>
      <c r="AO51" s="3" t="s">
        <v>1850</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row>
    <row r="52" spans="1:73" ht="15.75" customHeight="1" x14ac:dyDescent="0.2">
      <c r="A52" s="3">
        <f t="shared" si="0"/>
        <v>10050</v>
      </c>
      <c r="B52" s="3" t="s">
        <v>984</v>
      </c>
      <c r="C52" s="3" t="s">
        <v>984</v>
      </c>
      <c r="D52" s="5" t="s">
        <v>983</v>
      </c>
      <c r="E52" s="5" t="s">
        <v>3611</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1935</v>
      </c>
      <c r="AO52" s="3" t="s">
        <v>1850</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row>
    <row r="53" spans="1:73" ht="15.75" customHeight="1" x14ac:dyDescent="0.2">
      <c r="A53" s="3">
        <f t="shared" si="0"/>
        <v>10051</v>
      </c>
      <c r="B53" s="3" t="s">
        <v>987</v>
      </c>
      <c r="C53" s="3" t="s">
        <v>987</v>
      </c>
      <c r="D53" s="5" t="s">
        <v>986</v>
      </c>
      <c r="E53" s="5" t="s">
        <v>3612</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1935</v>
      </c>
      <c r="AO53" s="3" t="s">
        <v>1850</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row>
    <row r="54" spans="1:73" ht="15.75" customHeight="1" x14ac:dyDescent="0.2">
      <c r="A54" s="3">
        <f t="shared" si="0"/>
        <v>10052</v>
      </c>
      <c r="B54" s="3" t="s">
        <v>1726</v>
      </c>
      <c r="C54" s="3" t="s">
        <v>1654</v>
      </c>
      <c r="D54" s="5" t="s">
        <v>1652</v>
      </c>
      <c r="E54" s="5" t="s">
        <v>1653</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1936</v>
      </c>
      <c r="AO54" s="3" t="s">
        <v>1850</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0"/>
        <v>10053</v>
      </c>
      <c r="B55" s="3" t="s">
        <v>1727</v>
      </c>
      <c r="C55" s="3" t="s">
        <v>1655</v>
      </c>
      <c r="D55" s="5" t="s">
        <v>1659</v>
      </c>
      <c r="E55" s="5" t="s">
        <v>2606</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906</v>
      </c>
      <c r="AN55" s="3" t="s">
        <v>1936</v>
      </c>
      <c r="AO55" s="3" t="s">
        <v>1850</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0"/>
        <v>10054</v>
      </c>
      <c r="B56" s="3" t="s">
        <v>1726</v>
      </c>
      <c r="C56" s="3" t="s">
        <v>1656</v>
      </c>
      <c r="D56" s="5" t="s">
        <v>1660</v>
      </c>
      <c r="E56" s="5" t="s">
        <v>1653</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1936</v>
      </c>
      <c r="AO56" s="3" t="s">
        <v>1850</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row>
    <row r="57" spans="1:73" ht="15.75" customHeight="1" x14ac:dyDescent="0.2">
      <c r="A57" s="3">
        <f t="shared" si="0"/>
        <v>10055</v>
      </c>
      <c r="B57" s="3" t="s">
        <v>1757</v>
      </c>
      <c r="C57" s="3" t="s">
        <v>1657</v>
      </c>
      <c r="D57" s="5" t="s">
        <v>1661</v>
      </c>
      <c r="E57" s="5" t="s">
        <v>1653</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1936</v>
      </c>
      <c r="AO57" s="3" t="s">
        <v>1850</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row>
    <row r="58" spans="1:73" ht="15.75" customHeight="1" x14ac:dyDescent="0.2">
      <c r="A58" s="3">
        <f t="shared" si="0"/>
        <v>10056</v>
      </c>
      <c r="B58" s="3" t="s">
        <v>1726</v>
      </c>
      <c r="C58" s="3" t="s">
        <v>1658</v>
      </c>
      <c r="D58" s="5" t="s">
        <v>1662</v>
      </c>
      <c r="E58" s="5" t="s">
        <v>1653</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1936</v>
      </c>
      <c r="AO58" s="3" t="s">
        <v>1850</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0"/>
        <v>10057</v>
      </c>
      <c r="B59" s="3" t="s">
        <v>1650</v>
      </c>
      <c r="C59" s="3" t="s">
        <v>1650</v>
      </c>
      <c r="D59" s="5" t="s">
        <v>1649</v>
      </c>
      <c r="E59" s="5" t="s">
        <v>1651</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907</v>
      </c>
      <c r="AN59" s="3" t="s">
        <v>1934</v>
      </c>
      <c r="AO59" s="3" t="s">
        <v>1850</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0"/>
        <v>10058</v>
      </c>
      <c r="B60" s="3" t="s">
        <v>1665</v>
      </c>
      <c r="C60" s="3" t="s">
        <v>1665</v>
      </c>
      <c r="D60" s="5" t="s">
        <v>1710</v>
      </c>
      <c r="E60" s="5" t="s">
        <v>1714</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907</v>
      </c>
      <c r="AN60" s="3" t="s">
        <v>1934</v>
      </c>
      <c r="AO60" s="3" t="s">
        <v>1850</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0"/>
        <v>10059</v>
      </c>
      <c r="B61" s="3" t="s">
        <v>1666</v>
      </c>
      <c r="C61" s="3" t="s">
        <v>1666</v>
      </c>
      <c r="D61" s="5" t="s">
        <v>1704</v>
      </c>
      <c r="E61" s="5" t="s">
        <v>1715</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907</v>
      </c>
      <c r="AN61" s="3" t="s">
        <v>1934</v>
      </c>
      <c r="AO61" s="3" t="s">
        <v>1850</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0"/>
        <v>10060</v>
      </c>
      <c r="B62" s="3" t="s">
        <v>1667</v>
      </c>
      <c r="C62" s="3" t="s">
        <v>1667</v>
      </c>
      <c r="D62" s="5" t="s">
        <v>1703</v>
      </c>
      <c r="E62" s="5" t="s">
        <v>1716</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907</v>
      </c>
      <c r="AN62" s="3" t="s">
        <v>1934</v>
      </c>
      <c r="AO62" s="3" t="s">
        <v>1850</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0"/>
        <v>10061</v>
      </c>
      <c r="B63" s="3" t="s">
        <v>1650</v>
      </c>
      <c r="C63" s="3" t="s">
        <v>1668</v>
      </c>
      <c r="D63" s="5" t="s">
        <v>1663</v>
      </c>
      <c r="E63" s="5" t="s">
        <v>1664</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907</v>
      </c>
      <c r="AN63" s="3" t="s">
        <v>1934</v>
      </c>
      <c r="AO63" s="3" t="s">
        <v>1850</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0"/>
        <v>10062</v>
      </c>
      <c r="B64" s="3" t="s">
        <v>1650</v>
      </c>
      <c r="C64" s="3" t="s">
        <v>1669</v>
      </c>
      <c r="D64" s="5" t="s">
        <v>1676</v>
      </c>
      <c r="E64" s="5" t="s">
        <v>1674</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907</v>
      </c>
      <c r="AN64" s="3" t="s">
        <v>1934</v>
      </c>
      <c r="AO64" s="3" t="s">
        <v>1850</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0"/>
        <v>10063</v>
      </c>
      <c r="B65" s="3" t="s">
        <v>1670</v>
      </c>
      <c r="C65" s="3" t="s">
        <v>1670</v>
      </c>
      <c r="D65" s="5" t="s">
        <v>1697</v>
      </c>
      <c r="E65" s="5" t="s">
        <v>1717</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907</v>
      </c>
      <c r="AN65" s="3" t="s">
        <v>1934</v>
      </c>
      <c r="AO65" s="3" t="s">
        <v>1850</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si="0"/>
        <v>10064</v>
      </c>
      <c r="B66" s="3" t="s">
        <v>1671</v>
      </c>
      <c r="C66" s="3" t="s">
        <v>1671</v>
      </c>
      <c r="D66" s="5" t="s">
        <v>1709</v>
      </c>
      <c r="E66" s="5" t="s">
        <v>1718</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907</v>
      </c>
      <c r="AN66" s="3" t="s">
        <v>1934</v>
      </c>
      <c r="AO66" s="3" t="s">
        <v>1850</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0"/>
        <v>10065</v>
      </c>
      <c r="B67" s="3" t="s">
        <v>1672</v>
      </c>
      <c r="C67" s="3" t="s">
        <v>1672</v>
      </c>
      <c r="D67" s="5" t="s">
        <v>1698</v>
      </c>
      <c r="E67" s="5" t="s">
        <v>1719</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907</v>
      </c>
      <c r="AN67" s="3" t="s">
        <v>1934</v>
      </c>
      <c r="AO67" s="3" t="s">
        <v>1850</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0"/>
        <v>10066</v>
      </c>
      <c r="B68" s="3" t="s">
        <v>1650</v>
      </c>
      <c r="C68" s="3" t="s">
        <v>1673</v>
      </c>
      <c r="D68" s="5" t="s">
        <v>1677</v>
      </c>
      <c r="E68" s="5" t="s">
        <v>1675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907</v>
      </c>
      <c r="AN68" s="3" t="s">
        <v>1934</v>
      </c>
      <c r="AO68" s="3" t="s">
        <v>1850</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0"/>
        <v>10067</v>
      </c>
      <c r="B69" s="3" t="s">
        <v>1650</v>
      </c>
      <c r="C69" s="3" t="s">
        <v>1680</v>
      </c>
      <c r="D69" s="5" t="s">
        <v>1678</v>
      </c>
      <c r="E69" s="5" t="s">
        <v>1685</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907</v>
      </c>
      <c r="AN69" s="3" t="s">
        <v>1934</v>
      </c>
      <c r="AO69" s="3" t="s">
        <v>1850</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0"/>
        <v>10068</v>
      </c>
      <c r="B70" s="3" t="s">
        <v>1681</v>
      </c>
      <c r="C70" s="3" t="s">
        <v>1681</v>
      </c>
      <c r="D70" s="5" t="s">
        <v>1690</v>
      </c>
      <c r="E70" s="5" t="s">
        <v>1720</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907</v>
      </c>
      <c r="AN70" s="3" t="s">
        <v>1934</v>
      </c>
      <c r="AO70" s="3" t="s">
        <v>1850</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s="9" customFormat="1" ht="15.75" customHeight="1" x14ac:dyDescent="0.2">
      <c r="A71" s="3">
        <f t="shared" si="0"/>
        <v>10069</v>
      </c>
      <c r="B71" s="7" t="s">
        <v>1682</v>
      </c>
      <c r="C71" s="7" t="s">
        <v>1682</v>
      </c>
      <c r="D71" s="8" t="s">
        <v>1691</v>
      </c>
      <c r="E71" s="8" t="s">
        <v>1777</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907</v>
      </c>
      <c r="AN71" s="7" t="s">
        <v>1934</v>
      </c>
      <c r="AO71" s="7" t="s">
        <v>1850</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c r="BP71" s="10" t="s">
        <v>50</v>
      </c>
      <c r="BQ71" s="9">
        <v>0</v>
      </c>
      <c r="BR71" s="10" t="s">
        <v>50</v>
      </c>
      <c r="BS71" s="9">
        <v>0</v>
      </c>
      <c r="BT71" s="10" t="s">
        <v>50</v>
      </c>
      <c r="BU71" s="9">
        <v>0</v>
      </c>
    </row>
    <row r="72" spans="1:73" ht="15.75" customHeight="1" x14ac:dyDescent="0.2">
      <c r="A72" s="3">
        <f t="shared" si="0"/>
        <v>10070</v>
      </c>
      <c r="B72" s="3" t="s">
        <v>1683</v>
      </c>
      <c r="C72" s="3" t="s">
        <v>1683</v>
      </c>
      <c r="D72" s="5" t="s">
        <v>1702</v>
      </c>
      <c r="E72" s="5" t="s">
        <v>1776</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907</v>
      </c>
      <c r="AN72" s="3" t="s">
        <v>1934</v>
      </c>
      <c r="AO72" s="3" t="s">
        <v>1850</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ht="15.75" customHeight="1" x14ac:dyDescent="0.2">
      <c r="A73" s="3">
        <f t="shared" si="0"/>
        <v>10071</v>
      </c>
      <c r="B73" s="3" t="s">
        <v>1650</v>
      </c>
      <c r="C73" s="3" t="s">
        <v>1684</v>
      </c>
      <c r="D73" s="5" t="s">
        <v>1679</v>
      </c>
      <c r="E73" s="5" t="s">
        <v>1686</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907</v>
      </c>
      <c r="AN73" s="3" t="s">
        <v>1934</v>
      </c>
      <c r="AO73" s="3" t="s">
        <v>1850</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row>
    <row r="74" spans="1:73" ht="15.75" customHeight="1" x14ac:dyDescent="0.2">
      <c r="A74" s="3">
        <f t="shared" si="0"/>
        <v>10072</v>
      </c>
      <c r="B74" s="3" t="s">
        <v>1712</v>
      </c>
      <c r="C74" s="3" t="s">
        <v>1692</v>
      </c>
      <c r="D74" s="5" t="s">
        <v>1713</v>
      </c>
      <c r="E74" s="5" t="s">
        <v>1722</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907</v>
      </c>
      <c r="AN74" s="3" t="s">
        <v>1934</v>
      </c>
      <c r="AO74" s="3" t="s">
        <v>1850</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row>
    <row r="75" spans="1:73" ht="15.75" customHeight="1" x14ac:dyDescent="0.2">
      <c r="A75" s="3">
        <f t="shared" si="0"/>
        <v>10073</v>
      </c>
      <c r="B75" s="3" t="s">
        <v>1711</v>
      </c>
      <c r="C75" s="3" t="s">
        <v>1693</v>
      </c>
      <c r="D75" s="5" t="s">
        <v>1687</v>
      </c>
      <c r="E75" s="5" t="s">
        <v>1721</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907</v>
      </c>
      <c r="AN75" s="3" t="s">
        <v>1934</v>
      </c>
      <c r="AO75" s="3" t="s">
        <v>1850</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row>
    <row r="76" spans="1:73" ht="15.75" customHeight="1" x14ac:dyDescent="0.2">
      <c r="A76" s="3">
        <f t="shared" si="0"/>
        <v>10074</v>
      </c>
      <c r="B76" s="3" t="s">
        <v>1705</v>
      </c>
      <c r="C76" s="3" t="s">
        <v>1705</v>
      </c>
      <c r="D76" s="5" t="s">
        <v>1688</v>
      </c>
      <c r="E76" s="5" t="s">
        <v>1773</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907</v>
      </c>
      <c r="AN76" s="3" t="s">
        <v>1934</v>
      </c>
      <c r="AO76" s="3" t="s">
        <v>1850</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row>
    <row r="77" spans="1:73" ht="15.75" customHeight="1" x14ac:dyDescent="0.2">
      <c r="A77" s="3">
        <f t="shared" si="0"/>
        <v>10075</v>
      </c>
      <c r="B77" s="3" t="s">
        <v>1706</v>
      </c>
      <c r="C77" s="3" t="s">
        <v>1706</v>
      </c>
      <c r="D77" s="5" t="s">
        <v>1689</v>
      </c>
      <c r="E77" s="5" t="s">
        <v>1774</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907</v>
      </c>
      <c r="AN77" s="3" t="s">
        <v>1934</v>
      </c>
      <c r="AO77" s="3" t="s">
        <v>1850</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row>
    <row r="78" spans="1:73" ht="15.75" customHeight="1" x14ac:dyDescent="0.2">
      <c r="A78" s="3">
        <f t="shared" si="0"/>
        <v>10076</v>
      </c>
      <c r="B78" s="3" t="s">
        <v>1707</v>
      </c>
      <c r="C78" s="3" t="s">
        <v>1707</v>
      </c>
      <c r="D78" s="5" t="s">
        <v>1708</v>
      </c>
      <c r="E78" s="5" t="s">
        <v>1775</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907</v>
      </c>
      <c r="AN78" s="3" t="s">
        <v>1934</v>
      </c>
      <c r="AO78" s="3" t="s">
        <v>1850</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row>
    <row r="79" spans="1:73" ht="15.75" customHeight="1" x14ac:dyDescent="0.2">
      <c r="A79" s="3">
        <f t="shared" si="0"/>
        <v>10077</v>
      </c>
      <c r="B79" s="3" t="s">
        <v>1700</v>
      </c>
      <c r="C79" s="3" t="s">
        <v>1700</v>
      </c>
      <c r="D79" s="5" t="s">
        <v>1694</v>
      </c>
      <c r="E79" s="5" t="s">
        <v>1723</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907</v>
      </c>
      <c r="AN79" s="3" t="s">
        <v>1934</v>
      </c>
      <c r="AO79" s="3" t="s">
        <v>1850</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row>
    <row r="80" spans="1:73" s="9" customFormat="1" ht="15.75" customHeight="1" x14ac:dyDescent="0.2">
      <c r="A80" s="3">
        <f t="shared" si="0"/>
        <v>10078</v>
      </c>
      <c r="B80" s="7" t="s">
        <v>1701</v>
      </c>
      <c r="C80" s="7" t="s">
        <v>1701</v>
      </c>
      <c r="D80" s="8" t="s">
        <v>1695</v>
      </c>
      <c r="E80" s="8" t="s">
        <v>1724</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907</v>
      </c>
      <c r="AN80" s="7" t="s">
        <v>1934</v>
      </c>
      <c r="AO80" s="7" t="s">
        <v>1850</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row>
    <row r="81" spans="1:73" ht="15.75" customHeight="1" x14ac:dyDescent="0.2">
      <c r="A81" s="3">
        <f t="shared" si="0"/>
        <v>10079</v>
      </c>
      <c r="B81" s="3" t="s">
        <v>1699</v>
      </c>
      <c r="C81" s="3" t="s">
        <v>1699</v>
      </c>
      <c r="D81" s="5" t="s">
        <v>1696</v>
      </c>
      <c r="E81" s="5" t="s">
        <v>1725</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907</v>
      </c>
      <c r="AN81" s="3" t="s">
        <v>1934</v>
      </c>
      <c r="AO81" s="3" t="s">
        <v>1850</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row>
    <row r="82" spans="1:73" s="9" customFormat="1" ht="15.75" customHeight="1" x14ac:dyDescent="0.2">
      <c r="A82" s="3">
        <f t="shared" si="0"/>
        <v>10080</v>
      </c>
      <c r="B82" s="7" t="s">
        <v>1729</v>
      </c>
      <c r="C82" s="7" t="s">
        <v>1729</v>
      </c>
      <c r="D82" s="8" t="s">
        <v>1732</v>
      </c>
      <c r="E82" s="8" t="s">
        <v>1814</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907</v>
      </c>
      <c r="AN82" s="7" t="s">
        <v>1934</v>
      </c>
      <c r="AO82" s="7" t="s">
        <v>1850</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row>
    <row r="83" spans="1:73" ht="15.75" customHeight="1" x14ac:dyDescent="0.2">
      <c r="A83" s="3">
        <f t="shared" si="0"/>
        <v>10081</v>
      </c>
      <c r="B83" s="3" t="s">
        <v>1730</v>
      </c>
      <c r="C83" s="3" t="s">
        <v>1730</v>
      </c>
      <c r="D83" s="5" t="s">
        <v>1728</v>
      </c>
      <c r="E83" s="5" t="s">
        <v>1815</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907</v>
      </c>
      <c r="AN83" s="3" t="s">
        <v>1934</v>
      </c>
      <c r="AO83" s="3" t="s">
        <v>1850</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row>
    <row r="84" spans="1:73" s="9" customFormat="1" ht="15.75" customHeight="1" x14ac:dyDescent="0.2">
      <c r="A84" s="3">
        <f t="shared" si="0"/>
        <v>10082</v>
      </c>
      <c r="B84" s="7" t="s">
        <v>1731</v>
      </c>
      <c r="C84" s="7" t="s">
        <v>1731</v>
      </c>
      <c r="D84" s="8" t="s">
        <v>1733</v>
      </c>
      <c r="E84" s="8" t="s">
        <v>1816</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907</v>
      </c>
      <c r="AN84" s="7" t="s">
        <v>1934</v>
      </c>
      <c r="AO84" s="7" t="s">
        <v>1850</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row>
    <row r="85" spans="1:73" s="9" customFormat="1" ht="15.75" customHeight="1" x14ac:dyDescent="0.2">
      <c r="A85" s="3">
        <f t="shared" si="0"/>
        <v>10083</v>
      </c>
      <c r="B85" s="7" t="s">
        <v>1740</v>
      </c>
      <c r="C85" s="7" t="s">
        <v>1740</v>
      </c>
      <c r="D85" s="8" t="s">
        <v>1734</v>
      </c>
      <c r="E85" s="8" t="s">
        <v>1737</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907</v>
      </c>
      <c r="AN85" s="7" t="s">
        <v>1934</v>
      </c>
      <c r="AO85" s="7" t="s">
        <v>1850</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row>
    <row r="86" spans="1:73" ht="15.75" customHeight="1" x14ac:dyDescent="0.2">
      <c r="A86" s="3">
        <f t="shared" si="0"/>
        <v>10084</v>
      </c>
      <c r="B86" s="3" t="s">
        <v>1741</v>
      </c>
      <c r="C86" s="3" t="s">
        <v>1741</v>
      </c>
      <c r="D86" s="5" t="s">
        <v>1735</v>
      </c>
      <c r="E86" s="5" t="s">
        <v>1738</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907</v>
      </c>
      <c r="AN86" s="3" t="s">
        <v>1934</v>
      </c>
      <c r="AO86" s="3" t="s">
        <v>1850</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row>
    <row r="87" spans="1:73" s="9" customFormat="1" ht="15.75" customHeight="1" x14ac:dyDescent="0.2">
      <c r="A87" s="3">
        <f t="shared" si="0"/>
        <v>10085</v>
      </c>
      <c r="B87" s="7" t="s">
        <v>1742</v>
      </c>
      <c r="C87" s="7" t="s">
        <v>1742</v>
      </c>
      <c r="D87" s="8" t="s">
        <v>1736</v>
      </c>
      <c r="E87" s="8" t="s">
        <v>1739</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907</v>
      </c>
      <c r="AN87" s="7" t="s">
        <v>1934</v>
      </c>
      <c r="AO87" s="7" t="s">
        <v>1850</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c r="BP87" s="10" t="s">
        <v>50</v>
      </c>
      <c r="BQ87" s="9">
        <v>0</v>
      </c>
      <c r="BR87" s="10" t="s">
        <v>50</v>
      </c>
      <c r="BS87" s="9">
        <v>0</v>
      </c>
      <c r="BT87" s="10" t="s">
        <v>50</v>
      </c>
      <c r="BU87" s="9">
        <v>0</v>
      </c>
    </row>
    <row r="88" spans="1:73" s="9" customFormat="1" ht="15.75" customHeight="1" x14ac:dyDescent="0.2">
      <c r="A88" s="3">
        <f t="shared" si="0"/>
        <v>10086</v>
      </c>
      <c r="B88" s="7" t="s">
        <v>1749</v>
      </c>
      <c r="C88" s="7" t="s">
        <v>1749</v>
      </c>
      <c r="D88" s="8" t="s">
        <v>1745</v>
      </c>
      <c r="E88" s="8" t="s">
        <v>1747</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907</v>
      </c>
      <c r="AN88" s="7" t="s">
        <v>1934</v>
      </c>
      <c r="AO88" s="7" t="s">
        <v>1850</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row>
    <row r="89" spans="1:73" s="9" customFormat="1" ht="15.75" customHeight="1" x14ac:dyDescent="0.2">
      <c r="A89" s="3">
        <f t="shared" si="0"/>
        <v>10087</v>
      </c>
      <c r="B89" s="7" t="s">
        <v>1750</v>
      </c>
      <c r="C89" s="7" t="s">
        <v>1750</v>
      </c>
      <c r="D89" s="8" t="s">
        <v>1746</v>
      </c>
      <c r="E89" s="8" t="s">
        <v>1748</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907</v>
      </c>
      <c r="AN89" s="7" t="s">
        <v>1934</v>
      </c>
      <c r="AO89" s="7" t="s">
        <v>1850</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row>
    <row r="90" spans="1:73" ht="15.75" customHeight="1" x14ac:dyDescent="0.2">
      <c r="A90" s="3">
        <f t="shared" si="0"/>
        <v>10088</v>
      </c>
      <c r="B90" s="3" t="s">
        <v>1743</v>
      </c>
      <c r="C90" s="3" t="s">
        <v>1743</v>
      </c>
      <c r="D90" s="5" t="s">
        <v>1744</v>
      </c>
      <c r="E90" s="5" t="s">
        <v>1782</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907</v>
      </c>
      <c r="AN90" s="3" t="s">
        <v>1934</v>
      </c>
      <c r="AO90" s="3" t="s">
        <v>1850</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row>
    <row r="91" spans="1:73" ht="15.75" customHeight="1" x14ac:dyDescent="0.2">
      <c r="A91" s="3">
        <f t="shared" si="0"/>
        <v>10089</v>
      </c>
      <c r="B91" s="3" t="s">
        <v>1756</v>
      </c>
      <c r="C91" s="3" t="s">
        <v>1756</v>
      </c>
      <c r="D91" s="5" t="s">
        <v>1751</v>
      </c>
      <c r="E91" s="5" t="s">
        <v>1786</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907</v>
      </c>
      <c r="AN91" s="3" t="s">
        <v>1934</v>
      </c>
      <c r="AO91" s="3" t="s">
        <v>1850</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row>
    <row r="92" spans="1:73" s="9" customFormat="1" ht="15.75" customHeight="1" x14ac:dyDescent="0.2">
      <c r="A92" s="3">
        <f t="shared" si="0"/>
        <v>10090</v>
      </c>
      <c r="B92" s="7" t="s">
        <v>1755</v>
      </c>
      <c r="C92" s="7" t="s">
        <v>1755</v>
      </c>
      <c r="D92" s="8" t="s">
        <v>1752</v>
      </c>
      <c r="E92" s="8" t="s">
        <v>1784</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907</v>
      </c>
      <c r="AN92" s="7" t="s">
        <v>1934</v>
      </c>
      <c r="AO92" s="7" t="s">
        <v>1850</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row>
    <row r="93" spans="1:73" s="9" customFormat="1" ht="15.75" customHeight="1" x14ac:dyDescent="0.2">
      <c r="A93" s="3">
        <f t="shared" ref="A93:A163" si="1">ROW()+9998</f>
        <v>10091</v>
      </c>
      <c r="B93" s="7" t="s">
        <v>1754</v>
      </c>
      <c r="C93" s="7" t="s">
        <v>1754</v>
      </c>
      <c r="D93" s="8" t="s">
        <v>1753</v>
      </c>
      <c r="E93" s="8" t="s">
        <v>1785</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907</v>
      </c>
      <c r="AN93" s="7" t="s">
        <v>1934</v>
      </c>
      <c r="AO93" s="7" t="s">
        <v>1850</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row>
    <row r="94" spans="1:73" ht="15.75" customHeight="1" x14ac:dyDescent="0.2">
      <c r="A94" s="3">
        <f t="shared" si="1"/>
        <v>10092</v>
      </c>
      <c r="B94" s="3" t="s">
        <v>1761</v>
      </c>
      <c r="C94" s="3" t="s">
        <v>1761</v>
      </c>
      <c r="D94" s="5" t="s">
        <v>1758</v>
      </c>
      <c r="E94" s="5" t="s">
        <v>1764</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907</v>
      </c>
      <c r="AN94" s="3" t="s">
        <v>1934</v>
      </c>
      <c r="AO94" s="3" t="s">
        <v>1850</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row>
    <row r="95" spans="1:73" ht="15.75" customHeight="1" x14ac:dyDescent="0.2">
      <c r="A95" s="3">
        <f t="shared" si="1"/>
        <v>10093</v>
      </c>
      <c r="B95" s="3" t="s">
        <v>1762</v>
      </c>
      <c r="C95" s="3" t="s">
        <v>1762</v>
      </c>
      <c r="D95" s="5" t="s">
        <v>1759</v>
      </c>
      <c r="E95" s="5" t="s">
        <v>1765</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907</v>
      </c>
      <c r="AN95" s="3" t="s">
        <v>1934</v>
      </c>
      <c r="AO95" s="3" t="s">
        <v>1850</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row>
    <row r="96" spans="1:73" s="9" customFormat="1" ht="15.75" customHeight="1" x14ac:dyDescent="0.2">
      <c r="A96" s="3">
        <f t="shared" si="1"/>
        <v>10094</v>
      </c>
      <c r="B96" s="7" t="s">
        <v>1763</v>
      </c>
      <c r="C96" s="7" t="s">
        <v>1763</v>
      </c>
      <c r="D96" s="8" t="s">
        <v>1760</v>
      </c>
      <c r="E96" s="8" t="s">
        <v>1766</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907</v>
      </c>
      <c r="AN96" s="7" t="s">
        <v>1934</v>
      </c>
      <c r="AO96" s="7" t="s">
        <v>1850</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row>
    <row r="97" spans="1:73" s="9" customFormat="1" ht="15.75" customHeight="1" x14ac:dyDescent="0.2">
      <c r="A97" s="3">
        <f t="shared" si="1"/>
        <v>10095</v>
      </c>
      <c r="B97" s="7" t="s">
        <v>1770</v>
      </c>
      <c r="C97" s="7" t="s">
        <v>1770</v>
      </c>
      <c r="D97" s="8" t="s">
        <v>1767</v>
      </c>
      <c r="E97" s="8" t="s">
        <v>1791</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907</v>
      </c>
      <c r="AN97" s="7" t="s">
        <v>1934</v>
      </c>
      <c r="AO97" s="7" t="s">
        <v>1850</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row>
    <row r="98" spans="1:73" s="9" customFormat="1" ht="15.75" customHeight="1" x14ac:dyDescent="0.2">
      <c r="A98" s="3">
        <f t="shared" si="1"/>
        <v>10096</v>
      </c>
      <c r="B98" s="7" t="s">
        <v>1771</v>
      </c>
      <c r="C98" s="7" t="s">
        <v>1771</v>
      </c>
      <c r="D98" s="8" t="s">
        <v>1768</v>
      </c>
      <c r="E98" s="8" t="s">
        <v>1789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907</v>
      </c>
      <c r="AN98" s="7" t="s">
        <v>1934</v>
      </c>
      <c r="AO98" s="7" t="s">
        <v>1850</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row>
    <row r="99" spans="1:73" s="9" customFormat="1" ht="15.75" customHeight="1" x14ac:dyDescent="0.2">
      <c r="A99" s="3">
        <f t="shared" si="1"/>
        <v>10097</v>
      </c>
      <c r="B99" s="7" t="s">
        <v>1772</v>
      </c>
      <c r="C99" s="7" t="s">
        <v>1772</v>
      </c>
      <c r="D99" s="8" t="s">
        <v>1769</v>
      </c>
      <c r="E99" s="8" t="s">
        <v>1790</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907</v>
      </c>
      <c r="AN99" s="7" t="s">
        <v>1934</v>
      </c>
      <c r="AO99" s="7" t="s">
        <v>1850</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row>
    <row r="100" spans="1:73" s="9" customFormat="1" ht="15.75" customHeight="1" x14ac:dyDescent="0.2">
      <c r="A100" s="3">
        <f t="shared" si="1"/>
        <v>10098</v>
      </c>
      <c r="B100" s="7" t="s">
        <v>1793</v>
      </c>
      <c r="C100" s="7" t="s">
        <v>1778</v>
      </c>
      <c r="D100" s="8" t="s">
        <v>1798</v>
      </c>
      <c r="E100" s="8" t="s">
        <v>1796</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907</v>
      </c>
      <c r="AN100" s="7" t="s">
        <v>1934</v>
      </c>
      <c r="AO100" s="7" t="s">
        <v>1850</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row>
    <row r="101" spans="1:73" s="9" customFormat="1" ht="15.75" customHeight="1" x14ac:dyDescent="0.2">
      <c r="A101" s="3">
        <f t="shared" si="1"/>
        <v>10099</v>
      </c>
      <c r="B101" s="7" t="s">
        <v>1794</v>
      </c>
      <c r="C101" s="7" t="s">
        <v>1779</v>
      </c>
      <c r="D101" s="8" t="s">
        <v>1799</v>
      </c>
      <c r="E101" s="8" t="s">
        <v>1797</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907</v>
      </c>
      <c r="AN101" s="7" t="s">
        <v>1934</v>
      </c>
      <c r="AO101" s="7" t="s">
        <v>1850</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row>
    <row r="102" spans="1:73" s="9" customFormat="1" ht="15.75" customHeight="1" x14ac:dyDescent="0.2">
      <c r="A102" s="3">
        <f t="shared" si="1"/>
        <v>10100</v>
      </c>
      <c r="B102" s="7" t="s">
        <v>1795</v>
      </c>
      <c r="C102" s="7" t="s">
        <v>1780</v>
      </c>
      <c r="D102" s="8" t="s">
        <v>1800</v>
      </c>
      <c r="E102" s="8" t="s">
        <v>1788</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907</v>
      </c>
      <c r="AN102" s="7" t="s">
        <v>1934</v>
      </c>
      <c r="AO102" s="7" t="s">
        <v>1850</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row>
    <row r="103" spans="1:73" ht="15.75" customHeight="1" x14ac:dyDescent="0.2">
      <c r="A103" s="3">
        <f t="shared" si="1"/>
        <v>10101</v>
      </c>
      <c r="B103" s="3" t="s">
        <v>1807</v>
      </c>
      <c r="C103" s="3" t="s">
        <v>1817</v>
      </c>
      <c r="D103" s="5" t="s">
        <v>1804</v>
      </c>
      <c r="E103" s="5" t="s">
        <v>1811</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907</v>
      </c>
      <c r="AN103" s="3" t="s">
        <v>1934</v>
      </c>
      <c r="AO103" s="3" t="s">
        <v>1850</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row>
    <row r="104" spans="1:73" ht="15.75" customHeight="1" x14ac:dyDescent="0.2">
      <c r="A104" s="3">
        <f t="shared" si="1"/>
        <v>10102</v>
      </c>
      <c r="B104" s="3" t="s">
        <v>1808</v>
      </c>
      <c r="C104" s="3" t="s">
        <v>1783</v>
      </c>
      <c r="D104" s="5" t="s">
        <v>1810</v>
      </c>
      <c r="E104" s="5" t="s">
        <v>1805</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907</v>
      </c>
      <c r="AN104" s="3" t="s">
        <v>1934</v>
      </c>
      <c r="AO104" s="3" t="s">
        <v>1850</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row>
    <row r="105" spans="1:73" ht="15.75" customHeight="1" x14ac:dyDescent="0.2">
      <c r="A105" s="3">
        <f t="shared" si="1"/>
        <v>10103</v>
      </c>
      <c r="B105" s="3" t="s">
        <v>1812</v>
      </c>
      <c r="C105" s="3" t="s">
        <v>1787</v>
      </c>
      <c r="D105" s="5" t="s">
        <v>1813</v>
      </c>
      <c r="E105" s="5" t="s">
        <v>1806</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907</v>
      </c>
      <c r="AN105" s="3" t="s">
        <v>1934</v>
      </c>
      <c r="AO105" s="3" t="s">
        <v>1850</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row>
    <row r="106" spans="1:73" ht="15.75" customHeight="1" x14ac:dyDescent="0.2">
      <c r="A106" s="3">
        <f t="shared" si="1"/>
        <v>10104</v>
      </c>
      <c r="B106" s="3" t="s">
        <v>1792</v>
      </c>
      <c r="C106" s="3" t="s">
        <v>1781</v>
      </c>
      <c r="D106" s="5" t="s">
        <v>1803</v>
      </c>
      <c r="E106" s="5" t="s">
        <v>1802</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907</v>
      </c>
      <c r="AN106" s="3" t="s">
        <v>1934</v>
      </c>
      <c r="AO106" s="3" t="s">
        <v>1850</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row>
    <row r="107" spans="1:73" s="9" customFormat="1" ht="15.75" customHeight="1" x14ac:dyDescent="0.2">
      <c r="A107" s="3">
        <f t="shared" si="1"/>
        <v>10105</v>
      </c>
      <c r="B107" s="7" t="s">
        <v>1819</v>
      </c>
      <c r="C107" s="7" t="s">
        <v>1819</v>
      </c>
      <c r="D107" s="8" t="s">
        <v>1818</v>
      </c>
      <c r="E107" s="8" t="s">
        <v>1823</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907</v>
      </c>
      <c r="AN107" s="7" t="s">
        <v>1934</v>
      </c>
      <c r="AO107" s="7" t="s">
        <v>1850</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c r="BP107" s="10" t="s">
        <v>50</v>
      </c>
      <c r="BQ107" s="9">
        <v>0</v>
      </c>
      <c r="BR107" s="10" t="s">
        <v>50</v>
      </c>
      <c r="BS107" s="9">
        <v>0</v>
      </c>
      <c r="BT107" s="10" t="s">
        <v>50</v>
      </c>
      <c r="BU107" s="9">
        <v>0</v>
      </c>
    </row>
    <row r="108" spans="1:73" s="9" customFormat="1" ht="15.75" customHeight="1" x14ac:dyDescent="0.2">
      <c r="A108" s="3">
        <f t="shared" si="1"/>
        <v>10106</v>
      </c>
      <c r="B108" s="7" t="s">
        <v>1820</v>
      </c>
      <c r="C108" s="7" t="s">
        <v>1820</v>
      </c>
      <c r="D108" s="8" t="s">
        <v>1821</v>
      </c>
      <c r="E108" s="8" t="s">
        <v>1822</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907</v>
      </c>
      <c r="AN108" s="7" t="s">
        <v>1934</v>
      </c>
      <c r="AO108" s="7" t="s">
        <v>1850</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row>
    <row r="109" spans="1:73" ht="15.75" customHeight="1" x14ac:dyDescent="0.2">
      <c r="A109" s="3">
        <f t="shared" si="1"/>
        <v>10107</v>
      </c>
      <c r="B109" s="3" t="s">
        <v>1431</v>
      </c>
      <c r="C109" s="3" t="s">
        <v>1431</v>
      </c>
      <c r="D109" s="5" t="s">
        <v>1429</v>
      </c>
      <c r="E109" s="5" t="s">
        <v>1430</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907</v>
      </c>
      <c r="AN109" s="3" t="s">
        <v>1934</v>
      </c>
      <c r="AO109" s="3" t="s">
        <v>1850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row>
    <row r="110" spans="1:73" ht="15.75" customHeight="1" x14ac:dyDescent="0.2">
      <c r="A110" s="3">
        <f t="shared" si="1"/>
        <v>10108</v>
      </c>
      <c r="B110" s="3" t="s">
        <v>1642</v>
      </c>
      <c r="C110" s="3" t="s">
        <v>1642</v>
      </c>
      <c r="D110" s="5" t="s">
        <v>1643</v>
      </c>
      <c r="E110" s="5" t="s">
        <v>1801</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907</v>
      </c>
      <c r="AN110" s="3" t="s">
        <v>1934</v>
      </c>
      <c r="AO110" s="3" t="s">
        <v>1850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row>
    <row r="111" spans="1:73" ht="15.75" customHeight="1" x14ac:dyDescent="0.2">
      <c r="A111" s="3">
        <f t="shared" si="1"/>
        <v>10109</v>
      </c>
      <c r="B111" s="3" t="s">
        <v>3541</v>
      </c>
      <c r="C111" s="3" t="s">
        <v>3541</v>
      </c>
      <c r="D111" s="5" t="s">
        <v>3539</v>
      </c>
      <c r="E111" s="5" t="s">
        <v>3540</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907</v>
      </c>
      <c r="AN111" s="3" t="s">
        <v>1934</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row>
    <row r="112" spans="1:73" ht="15.75" customHeight="1" x14ac:dyDescent="0.2">
      <c r="A112" s="3">
        <f t="shared" si="1"/>
        <v>10110</v>
      </c>
      <c r="B112" s="3" t="s">
        <v>886</v>
      </c>
      <c r="C112" s="3" t="s">
        <v>886</v>
      </c>
      <c r="D112" s="5" t="s">
        <v>885</v>
      </c>
      <c r="E112" s="5" t="s">
        <v>1043</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907</v>
      </c>
      <c r="AN112" s="3" t="s">
        <v>1934</v>
      </c>
      <c r="AO112" s="3" t="s">
        <v>1850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row>
    <row r="113" spans="1:73" ht="15.75" customHeight="1" x14ac:dyDescent="0.2">
      <c r="A113" s="3">
        <f t="shared" si="1"/>
        <v>10111</v>
      </c>
      <c r="B113" s="3" t="s">
        <v>940</v>
      </c>
      <c r="C113" s="3" t="s">
        <v>940</v>
      </c>
      <c r="D113" s="5" t="s">
        <v>1298</v>
      </c>
      <c r="E113" s="5" t="s">
        <v>1299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907</v>
      </c>
      <c r="AN113" s="3" t="s">
        <v>1934</v>
      </c>
      <c r="AO113" s="3" t="s">
        <v>1850</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row>
    <row r="114" spans="1:73" ht="15.75" customHeight="1" x14ac:dyDescent="0.2">
      <c r="A114" s="3">
        <f t="shared" si="1"/>
        <v>10112</v>
      </c>
      <c r="B114" s="3" t="s">
        <v>1547</v>
      </c>
      <c r="C114" s="3" t="s">
        <v>1547</v>
      </c>
      <c r="D114" s="5" t="s">
        <v>1546</v>
      </c>
      <c r="E114" s="5" t="s">
        <v>1548</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907</v>
      </c>
      <c r="AN114" s="3" t="s">
        <v>1934</v>
      </c>
      <c r="AO114" s="3" t="s">
        <v>1850</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row>
    <row r="115" spans="1:73" ht="15.75" customHeight="1" x14ac:dyDescent="0.2">
      <c r="A115" s="3">
        <f t="shared" si="1"/>
        <v>10113</v>
      </c>
      <c r="B115" s="3" t="s">
        <v>1560</v>
      </c>
      <c r="C115" s="3" t="s">
        <v>1549</v>
      </c>
      <c r="D115" s="5" t="s">
        <v>1609</v>
      </c>
      <c r="E115" s="5" t="s">
        <v>1610</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1648</v>
      </c>
      <c r="AN115" s="3" t="s">
        <v>1937</v>
      </c>
      <c r="AO115" s="3" t="s">
        <v>1850</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row>
    <row r="116" spans="1:73" ht="15.75" customHeight="1" x14ac:dyDescent="0.2">
      <c r="A116" s="3">
        <f t="shared" si="1"/>
        <v>10114</v>
      </c>
      <c r="B116" s="3" t="s">
        <v>1560</v>
      </c>
      <c r="C116" s="3" t="s">
        <v>1550</v>
      </c>
      <c r="D116" s="5" t="s">
        <v>1613</v>
      </c>
      <c r="E116" s="5" t="s">
        <v>1556</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1648</v>
      </c>
      <c r="AN116" s="3" t="s">
        <v>1937</v>
      </c>
      <c r="AO116" s="3" t="s">
        <v>1850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row>
    <row r="117" spans="1:73" ht="15.75" customHeight="1" x14ac:dyDescent="0.2">
      <c r="A117" s="3">
        <f t="shared" si="1"/>
        <v>10115</v>
      </c>
      <c r="B117" s="3" t="s">
        <v>1560</v>
      </c>
      <c r="C117" s="3" t="s">
        <v>1551</v>
      </c>
      <c r="D117" s="5" t="s">
        <v>1571</v>
      </c>
      <c r="E117" s="5" t="s">
        <v>1572</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1648</v>
      </c>
      <c r="AN117" s="3" t="s">
        <v>1937</v>
      </c>
      <c r="AO117" s="3" t="s">
        <v>1850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row>
    <row r="118" spans="1:73" ht="15.75" customHeight="1" x14ac:dyDescent="0.2">
      <c r="A118" s="3">
        <f t="shared" si="1"/>
        <v>10116</v>
      </c>
      <c r="B118" s="3" t="s">
        <v>1560</v>
      </c>
      <c r="C118" s="3" t="s">
        <v>1552</v>
      </c>
      <c r="D118" s="5" t="s">
        <v>1570</v>
      </c>
      <c r="E118" s="5" t="s">
        <v>1558</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1648</v>
      </c>
      <c r="AN118" s="3" t="s">
        <v>1937</v>
      </c>
      <c r="AO118" s="3" t="s">
        <v>1850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row>
    <row r="119" spans="1:73" ht="15.75" customHeight="1" x14ac:dyDescent="0.2">
      <c r="A119" s="3">
        <f t="shared" si="1"/>
        <v>10117</v>
      </c>
      <c r="B119" s="3" t="s">
        <v>1560</v>
      </c>
      <c r="C119" s="3" t="s">
        <v>1553</v>
      </c>
      <c r="D119" s="5" t="s">
        <v>1554</v>
      </c>
      <c r="E119" s="5" t="s">
        <v>1559</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1648</v>
      </c>
      <c r="AN119" s="3" t="s">
        <v>1937</v>
      </c>
      <c r="AO119" s="3" t="s">
        <v>1850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row>
    <row r="120" spans="1:73" ht="15.75" customHeight="1" x14ac:dyDescent="0.2">
      <c r="A120" s="3">
        <f t="shared" si="1"/>
        <v>10118</v>
      </c>
      <c r="B120" s="3" t="s">
        <v>1560</v>
      </c>
      <c r="C120" s="3" t="s">
        <v>1564</v>
      </c>
      <c r="D120" s="5" t="s">
        <v>1565</v>
      </c>
      <c r="E120" s="5" t="s">
        <v>1557</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1648</v>
      </c>
      <c r="AN120" s="3" t="s">
        <v>1937</v>
      </c>
      <c r="AO120" s="3" t="s">
        <v>1850</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row>
    <row r="121" spans="1:73" ht="15.75" customHeight="1" x14ac:dyDescent="0.2">
      <c r="A121" s="3">
        <f t="shared" si="1"/>
        <v>10119</v>
      </c>
      <c r="B121" s="3" t="s">
        <v>1560</v>
      </c>
      <c r="C121" s="3" t="s">
        <v>1566</v>
      </c>
      <c r="D121" s="5" t="s">
        <v>1567</v>
      </c>
      <c r="E121" s="5" t="s">
        <v>1580</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1648</v>
      </c>
      <c r="AN121" s="3" t="s">
        <v>1937</v>
      </c>
      <c r="AO121" s="3" t="s">
        <v>1850</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row>
    <row r="122" spans="1:73" ht="15.75" customHeight="1" x14ac:dyDescent="0.2">
      <c r="A122" s="3">
        <f t="shared" si="1"/>
        <v>10120</v>
      </c>
      <c r="B122" s="3" t="s">
        <v>1560</v>
      </c>
      <c r="C122" s="3" t="s">
        <v>1568</v>
      </c>
      <c r="D122" s="5" t="s">
        <v>1569</v>
      </c>
      <c r="E122" s="5" t="s">
        <v>1579</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1648</v>
      </c>
      <c r="AN122" s="3" t="s">
        <v>1937</v>
      </c>
      <c r="AO122" s="3" t="s">
        <v>1850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row>
    <row r="123" spans="1:73" ht="15.75" customHeight="1" x14ac:dyDescent="0.2">
      <c r="A123" s="3">
        <f t="shared" si="1"/>
        <v>10121</v>
      </c>
      <c r="B123" s="3" t="s">
        <v>1560</v>
      </c>
      <c r="C123" s="3" t="s">
        <v>1573</v>
      </c>
      <c r="D123" s="5" t="s">
        <v>1574</v>
      </c>
      <c r="E123" s="5" t="s">
        <v>1575</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1648</v>
      </c>
      <c r="AN123" s="3" t="s">
        <v>1937</v>
      </c>
      <c r="AO123" s="3" t="s">
        <v>1850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row>
    <row r="124" spans="1:73" ht="15.75" customHeight="1" x14ac:dyDescent="0.2">
      <c r="A124" s="3">
        <f t="shared" si="1"/>
        <v>10122</v>
      </c>
      <c r="B124" s="3" t="s">
        <v>1560</v>
      </c>
      <c r="C124" s="3" t="s">
        <v>1576</v>
      </c>
      <c r="D124" s="5" t="s">
        <v>1577</v>
      </c>
      <c r="E124" s="5" t="s">
        <v>1578</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1648</v>
      </c>
      <c r="AN124" s="3" t="s">
        <v>1937</v>
      </c>
      <c r="AO124" s="3" t="s">
        <v>1850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row>
    <row r="125" spans="1:73" ht="15.75" customHeight="1" x14ac:dyDescent="0.2">
      <c r="A125" s="3">
        <f t="shared" si="1"/>
        <v>10123</v>
      </c>
      <c r="B125" s="3" t="s">
        <v>1560</v>
      </c>
      <c r="C125" s="3" t="s">
        <v>1581</v>
      </c>
      <c r="D125" s="5" t="s">
        <v>1582</v>
      </c>
      <c r="E125" s="5" t="s">
        <v>1583</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1648</v>
      </c>
      <c r="AN125" s="3" t="s">
        <v>1937</v>
      </c>
      <c r="AO125" s="3" t="s">
        <v>1850</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row>
    <row r="126" spans="1:73" ht="15.75" customHeight="1" x14ac:dyDescent="0.2">
      <c r="A126" s="3">
        <f t="shared" si="1"/>
        <v>10124</v>
      </c>
      <c r="B126" s="3" t="s">
        <v>1560</v>
      </c>
      <c r="C126" s="3" t="s">
        <v>1584</v>
      </c>
      <c r="D126" s="5" t="s">
        <v>1612</v>
      </c>
      <c r="E126" s="5" t="s">
        <v>1585</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1648</v>
      </c>
      <c r="AN126" s="3" t="s">
        <v>1937</v>
      </c>
      <c r="AO126" s="3" t="s">
        <v>1850</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row>
    <row r="127" spans="1:73" ht="15.75" customHeight="1" x14ac:dyDescent="0.2">
      <c r="A127" s="3">
        <f t="shared" si="1"/>
        <v>10125</v>
      </c>
      <c r="B127" s="3" t="s">
        <v>1560</v>
      </c>
      <c r="C127" s="3" t="s">
        <v>1587</v>
      </c>
      <c r="D127" s="5" t="s">
        <v>1586</v>
      </c>
      <c r="E127" s="5" t="s">
        <v>1588</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1648</v>
      </c>
      <c r="AN127" s="3" t="s">
        <v>1937</v>
      </c>
      <c r="AO127" s="3" t="s">
        <v>1850</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row>
    <row r="128" spans="1:73" ht="15.75" customHeight="1" x14ac:dyDescent="0.2">
      <c r="A128" s="3">
        <f t="shared" si="1"/>
        <v>10126</v>
      </c>
      <c r="B128" s="3" t="s">
        <v>1560</v>
      </c>
      <c r="C128" s="3" t="s">
        <v>1589</v>
      </c>
      <c r="D128" s="5" t="s">
        <v>1607</v>
      </c>
      <c r="E128" s="5" t="s">
        <v>1611</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1648</v>
      </c>
      <c r="AN128" s="3" t="s">
        <v>1937</v>
      </c>
      <c r="AO128" s="3" t="s">
        <v>1850</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row>
    <row r="129" spans="1:73" ht="15.75" customHeight="1" x14ac:dyDescent="0.2">
      <c r="A129" s="3">
        <f t="shared" si="1"/>
        <v>10127</v>
      </c>
      <c r="B129" s="3" t="s">
        <v>1560</v>
      </c>
      <c r="C129" s="3" t="s">
        <v>1590</v>
      </c>
      <c r="D129" s="5" t="s">
        <v>1591</v>
      </c>
      <c r="E129" s="5" t="s">
        <v>1555</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1648</v>
      </c>
      <c r="AN129" s="3" t="s">
        <v>1937</v>
      </c>
      <c r="AO129" s="3" t="s">
        <v>1850</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row>
    <row r="130" spans="1:73" ht="15.75" customHeight="1" x14ac:dyDescent="0.2">
      <c r="A130" s="3">
        <f t="shared" si="1"/>
        <v>10128</v>
      </c>
      <c r="B130" s="3" t="s">
        <v>1560</v>
      </c>
      <c r="C130" s="3" t="s">
        <v>1615</v>
      </c>
      <c r="D130" s="5" t="s">
        <v>1616</v>
      </c>
      <c r="E130" s="5" t="s">
        <v>1617</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1648</v>
      </c>
      <c r="AN130" s="3" t="s">
        <v>1937</v>
      </c>
      <c r="AO130" s="3" t="s">
        <v>1850</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row>
    <row r="131" spans="1:73" ht="15.75" customHeight="1" x14ac:dyDescent="0.2">
      <c r="A131" s="3">
        <f t="shared" si="1"/>
        <v>10129</v>
      </c>
      <c r="B131" s="3" t="s">
        <v>1560</v>
      </c>
      <c r="C131" s="3" t="s">
        <v>1618</v>
      </c>
      <c r="D131" s="5" t="s">
        <v>1619</v>
      </c>
      <c r="E131" s="5" t="s">
        <v>1620</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1648</v>
      </c>
      <c r="AN131" s="3" t="s">
        <v>1937</v>
      </c>
      <c r="AO131" s="3" t="s">
        <v>1850</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row>
    <row r="132" spans="1:73" ht="15.75" customHeight="1" x14ac:dyDescent="0.2">
      <c r="A132" s="3">
        <f t="shared" si="1"/>
        <v>10130</v>
      </c>
      <c r="B132" s="3" t="s">
        <v>1560</v>
      </c>
      <c r="C132" s="3" t="s">
        <v>1621</v>
      </c>
      <c r="D132" s="5" t="s">
        <v>1622</v>
      </c>
      <c r="E132" s="5" t="s">
        <v>1623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1648</v>
      </c>
      <c r="AN132" s="3" t="s">
        <v>1937</v>
      </c>
      <c r="AO132" s="3" t="s">
        <v>1850</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row>
    <row r="133" spans="1:73" ht="15.75" customHeight="1" x14ac:dyDescent="0.2">
      <c r="A133" s="3">
        <f t="shared" si="1"/>
        <v>10131</v>
      </c>
      <c r="B133" s="3" t="s">
        <v>1560</v>
      </c>
      <c r="C133" s="3" t="s">
        <v>1624</v>
      </c>
      <c r="D133" s="5" t="s">
        <v>1626</v>
      </c>
      <c r="E133" s="5" t="s">
        <v>1628</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1648</v>
      </c>
      <c r="AN133" s="3" t="s">
        <v>1937</v>
      </c>
      <c r="AO133" s="3" t="s">
        <v>1850</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row>
    <row r="134" spans="1:73" ht="15.75" customHeight="1" x14ac:dyDescent="0.2">
      <c r="A134" s="3">
        <f t="shared" si="1"/>
        <v>10132</v>
      </c>
      <c r="B134" s="3" t="s">
        <v>1560</v>
      </c>
      <c r="C134" s="3" t="s">
        <v>1625</v>
      </c>
      <c r="D134" s="5" t="s">
        <v>1627</v>
      </c>
      <c r="E134" s="5" t="s">
        <v>1629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1648</v>
      </c>
      <c r="AN134" s="3" t="s">
        <v>1937</v>
      </c>
      <c r="AO134" s="3" t="s">
        <v>1850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row>
    <row r="135" spans="1:73" ht="15.75" customHeight="1" x14ac:dyDescent="0.2">
      <c r="A135" s="3">
        <f t="shared" si="1"/>
        <v>10133</v>
      </c>
      <c r="B135" s="3" t="s">
        <v>1560</v>
      </c>
      <c r="C135" s="3" t="s">
        <v>1639</v>
      </c>
      <c r="D135" s="5" t="s">
        <v>1641</v>
      </c>
      <c r="E135" s="5" t="s">
        <v>1640</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1648</v>
      </c>
      <c r="AN135" s="3" t="s">
        <v>1937</v>
      </c>
      <c r="AO135" s="3" t="s">
        <v>1850</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row>
    <row r="136" spans="1:73" ht="15.75" customHeight="1" x14ac:dyDescent="0.2">
      <c r="A136" s="3">
        <f t="shared" si="1"/>
        <v>10134</v>
      </c>
      <c r="B136" s="3" t="s">
        <v>989</v>
      </c>
      <c r="C136" s="3" t="s">
        <v>989</v>
      </c>
      <c r="D136" s="5" t="s">
        <v>988</v>
      </c>
      <c r="E136" s="5" t="s">
        <v>1301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907</v>
      </c>
      <c r="AN136" s="3" t="s">
        <v>1934</v>
      </c>
      <c r="AO136" s="3" t="s">
        <v>1850</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row>
    <row r="137" spans="1:73" ht="15.75" customHeight="1" x14ac:dyDescent="0.2">
      <c r="A137" s="3">
        <f t="shared" si="1"/>
        <v>10135</v>
      </c>
      <c r="B137" s="3" t="s">
        <v>1428</v>
      </c>
      <c r="C137" s="3" t="s">
        <v>1428</v>
      </c>
      <c r="D137" s="5" t="s">
        <v>1427</v>
      </c>
      <c r="E137" s="5" t="s">
        <v>1432</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907</v>
      </c>
      <c r="AN137" s="3" t="s">
        <v>1934</v>
      </c>
      <c r="AO137" s="3" t="s">
        <v>1850</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row>
    <row r="138" spans="1:73" ht="15.75" customHeight="1" x14ac:dyDescent="0.2">
      <c r="A138" s="3">
        <f t="shared" si="1"/>
        <v>10136</v>
      </c>
      <c r="B138" s="3" t="s">
        <v>1059</v>
      </c>
      <c r="C138" s="3" t="s">
        <v>1059</v>
      </c>
      <c r="D138" s="5" t="s">
        <v>1057</v>
      </c>
      <c r="E138" s="5" t="s">
        <v>1058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907</v>
      </c>
      <c r="AN138" s="3" t="s">
        <v>1934</v>
      </c>
      <c r="AO138" s="3" t="s">
        <v>1850</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row>
    <row r="139" spans="1:73" s="18" customFormat="1" ht="15.75" customHeight="1" x14ac:dyDescent="0.2">
      <c r="A139" s="16">
        <f t="shared" si="1"/>
        <v>10137</v>
      </c>
      <c r="B139" s="16" t="s">
        <v>1059</v>
      </c>
      <c r="C139" s="16" t="s">
        <v>2611</v>
      </c>
      <c r="D139" s="17" t="s">
        <v>2609</v>
      </c>
      <c r="E139" s="17" t="s">
        <v>2610</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907</v>
      </c>
      <c r="AN139" s="16" t="s">
        <v>1934</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c r="BP139" s="19" t="s">
        <v>50</v>
      </c>
      <c r="BQ139" s="18">
        <v>0</v>
      </c>
      <c r="BR139" s="19" t="s">
        <v>50</v>
      </c>
      <c r="BS139" s="18">
        <v>0</v>
      </c>
      <c r="BT139" s="19" t="s">
        <v>50</v>
      </c>
      <c r="BU139" s="18">
        <v>0</v>
      </c>
    </row>
    <row r="140" spans="1:73" s="18" customFormat="1" ht="15.75" customHeight="1" x14ac:dyDescent="0.2">
      <c r="A140" s="16">
        <f t="shared" si="1"/>
        <v>10138</v>
      </c>
      <c r="B140" s="16" t="s">
        <v>1059</v>
      </c>
      <c r="C140" s="16" t="s">
        <v>2401</v>
      </c>
      <c r="D140" s="17" t="s">
        <v>2399</v>
      </c>
      <c r="E140" s="17" t="s">
        <v>2400</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907</v>
      </c>
      <c r="AN140" s="16" t="s">
        <v>1934</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c r="BP140" s="19" t="s">
        <v>50</v>
      </c>
      <c r="BQ140" s="18">
        <v>0</v>
      </c>
      <c r="BR140" s="19" t="s">
        <v>50</v>
      </c>
      <c r="BS140" s="18">
        <v>0</v>
      </c>
      <c r="BT140" s="19" t="s">
        <v>50</v>
      </c>
      <c r="BU140" s="18">
        <v>0</v>
      </c>
    </row>
    <row r="141" spans="1:73" s="18" customFormat="1" ht="15.75" customHeight="1" x14ac:dyDescent="0.2">
      <c r="A141" s="16">
        <f t="shared" si="1"/>
        <v>10139</v>
      </c>
      <c r="B141" s="16" t="s">
        <v>1059</v>
      </c>
      <c r="C141" s="16" t="s">
        <v>2428</v>
      </c>
      <c r="D141" s="17" t="s">
        <v>2402</v>
      </c>
      <c r="E141" s="17" t="s">
        <v>2403</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907</v>
      </c>
      <c r="AN141" s="16" t="s">
        <v>1934</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c r="BP141" s="19" t="s">
        <v>50</v>
      </c>
      <c r="BQ141" s="18">
        <v>0</v>
      </c>
      <c r="BR141" s="19" t="s">
        <v>50</v>
      </c>
      <c r="BS141" s="18">
        <v>0</v>
      </c>
      <c r="BT141" s="19" t="s">
        <v>50</v>
      </c>
      <c r="BU141" s="18">
        <v>0</v>
      </c>
    </row>
    <row r="142" spans="1:73" ht="15.75" customHeight="1" x14ac:dyDescent="0.2">
      <c r="A142" s="3">
        <f t="shared" si="1"/>
        <v>10140</v>
      </c>
      <c r="B142" s="3" t="s">
        <v>609</v>
      </c>
      <c r="C142" s="3" t="s">
        <v>605</v>
      </c>
      <c r="D142" s="5" t="s">
        <v>606</v>
      </c>
      <c r="E142" s="5" t="s">
        <v>607</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608</v>
      </c>
      <c r="AN142" s="3" t="s">
        <v>1938</v>
      </c>
      <c r="AO142" s="3" t="s">
        <v>1850</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row>
    <row r="143" spans="1:73" ht="15.75" customHeight="1" x14ac:dyDescent="0.2">
      <c r="A143" s="3">
        <f t="shared" si="1"/>
        <v>10141</v>
      </c>
      <c r="B143" s="3" t="s">
        <v>999</v>
      </c>
      <c r="C143" s="3" t="s">
        <v>998</v>
      </c>
      <c r="D143" s="5" t="s">
        <v>996</v>
      </c>
      <c r="E143" s="5" t="s">
        <v>997</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1938</v>
      </c>
      <c r="AO143" s="3" t="s">
        <v>1850</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row>
    <row r="144" spans="1:73" ht="15.75" customHeight="1" x14ac:dyDescent="0.2">
      <c r="A144" s="3">
        <f t="shared" si="1"/>
        <v>10142</v>
      </c>
      <c r="B144" s="3" t="s">
        <v>1647</v>
      </c>
      <c r="C144" s="3" t="s">
        <v>1644</v>
      </c>
      <c r="D144" s="5" t="s">
        <v>1645</v>
      </c>
      <c r="E144" s="5" t="s">
        <v>1646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1938</v>
      </c>
      <c r="AO144" s="3" t="s">
        <v>1850</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row>
    <row r="145" spans="1:73" ht="15.75" customHeight="1" x14ac:dyDescent="0.2">
      <c r="A145" s="3">
        <f t="shared" si="1"/>
        <v>10143</v>
      </c>
      <c r="B145" s="3" t="s">
        <v>698</v>
      </c>
      <c r="C145" s="3" t="s">
        <v>698</v>
      </c>
      <c r="D145" s="5" t="s">
        <v>905</v>
      </c>
      <c r="E145" s="5" t="s">
        <v>888</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859</v>
      </c>
      <c r="AN145" s="3" t="s">
        <v>1939</v>
      </c>
      <c r="AO145" s="3" t="s">
        <v>1850</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row>
    <row r="146" spans="1:73" ht="15.75" customHeight="1" x14ac:dyDescent="0.2">
      <c r="A146" s="3">
        <f t="shared" si="1"/>
        <v>10144</v>
      </c>
      <c r="B146" s="3" t="s">
        <v>1333</v>
      </c>
      <c r="C146" s="3" t="s">
        <v>1333</v>
      </c>
      <c r="D146" s="5" t="s">
        <v>1334</v>
      </c>
      <c r="E146" s="5" t="s">
        <v>1335</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1939</v>
      </c>
      <c r="AO146" s="3" t="s">
        <v>1850</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c r="BP146" s="6" t="s">
        <v>50</v>
      </c>
      <c r="BQ146">
        <v>0</v>
      </c>
      <c r="BR146" s="6" t="s">
        <v>50</v>
      </c>
      <c r="BS146">
        <v>0</v>
      </c>
      <c r="BT146" s="6" t="s">
        <v>50</v>
      </c>
      <c r="BU146">
        <v>0</v>
      </c>
    </row>
    <row r="147" spans="1:73" ht="15.75" customHeight="1" x14ac:dyDescent="0.2">
      <c r="A147" s="3">
        <f t="shared" si="1"/>
        <v>10145</v>
      </c>
      <c r="B147" s="3" t="s">
        <v>1338</v>
      </c>
      <c r="C147" s="3" t="s">
        <v>1338</v>
      </c>
      <c r="D147" s="5" t="s">
        <v>1336</v>
      </c>
      <c r="E147" s="5" t="s">
        <v>1337</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1939</v>
      </c>
      <c r="AO147" s="3" t="s">
        <v>1850</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c r="BP147" s="6" t="s">
        <v>50</v>
      </c>
      <c r="BQ147">
        <v>0</v>
      </c>
      <c r="BR147" s="6" t="s">
        <v>50</v>
      </c>
      <c r="BS147">
        <v>0</v>
      </c>
      <c r="BT147" s="6" t="s">
        <v>50</v>
      </c>
      <c r="BU147">
        <v>0</v>
      </c>
    </row>
    <row r="148" spans="1:73" ht="15.75" customHeight="1" x14ac:dyDescent="0.2">
      <c r="A148" s="3">
        <f t="shared" si="1"/>
        <v>10146</v>
      </c>
      <c r="B148" s="3" t="s">
        <v>2426</v>
      </c>
      <c r="C148" s="3" t="s">
        <v>2426</v>
      </c>
      <c r="D148" s="5" t="s">
        <v>2591</v>
      </c>
      <c r="E148" s="5" t="s">
        <v>2427</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1939</v>
      </c>
      <c r="AO148" s="3" t="s">
        <v>50</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row>
    <row r="149" spans="1:73" ht="15.75" customHeight="1" x14ac:dyDescent="0.2">
      <c r="A149" s="3">
        <f t="shared" si="1"/>
        <v>10147</v>
      </c>
      <c r="B149" s="3" t="s">
        <v>893</v>
      </c>
      <c r="C149" s="3" t="s">
        <v>893</v>
      </c>
      <c r="D149" s="5" t="s">
        <v>894</v>
      </c>
      <c r="E149" s="5" t="s">
        <v>895</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1939</v>
      </c>
      <c r="AO149" s="3" t="s">
        <v>1850</v>
      </c>
      <c r="AP149" s="3">
        <v>0</v>
      </c>
      <c r="AQ149" s="3">
        <v>0</v>
      </c>
      <c r="AR149">
        <v>0</v>
      </c>
      <c r="AS149">
        <v>1000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row>
    <row r="150" spans="1:73" s="18" customFormat="1" ht="15.75" customHeight="1" x14ac:dyDescent="0.2">
      <c r="A150" s="16">
        <f t="shared" si="1"/>
        <v>10148</v>
      </c>
      <c r="B150" s="16" t="s">
        <v>893</v>
      </c>
      <c r="C150" s="16" t="s">
        <v>896</v>
      </c>
      <c r="D150" s="17" t="s">
        <v>897</v>
      </c>
      <c r="E150" s="17" t="s">
        <v>898</v>
      </c>
      <c r="F150" s="16">
        <v>0</v>
      </c>
      <c r="G150" s="16">
        <v>0</v>
      </c>
      <c r="H150" s="16">
        <v>0</v>
      </c>
      <c r="I150" s="16">
        <v>0</v>
      </c>
      <c r="J150" s="16">
        <v>0</v>
      </c>
      <c r="K150" s="16">
        <v>0</v>
      </c>
      <c r="L150" s="16">
        <v>0</v>
      </c>
      <c r="M150" s="16">
        <v>0</v>
      </c>
      <c r="N150" s="16">
        <v>0</v>
      </c>
      <c r="O150" s="16">
        <v>0</v>
      </c>
      <c r="P150" s="16">
        <v>0</v>
      </c>
      <c r="Q150" s="16">
        <v>0</v>
      </c>
      <c r="R150" s="16">
        <v>0</v>
      </c>
      <c r="S150" s="16">
        <v>0</v>
      </c>
      <c r="T150" s="16">
        <v>0</v>
      </c>
      <c r="U150" s="16">
        <v>0</v>
      </c>
      <c r="V150" s="16">
        <v>0</v>
      </c>
      <c r="W150" s="16">
        <v>0</v>
      </c>
      <c r="X150" s="16">
        <v>0</v>
      </c>
      <c r="Y150" s="16">
        <v>0</v>
      </c>
      <c r="Z150" s="16">
        <v>0</v>
      </c>
      <c r="AA150" s="16">
        <v>0</v>
      </c>
      <c r="AB150" s="16">
        <v>0</v>
      </c>
      <c r="AC150" s="16">
        <v>0</v>
      </c>
      <c r="AD150" s="16">
        <v>0</v>
      </c>
      <c r="AE150" s="16">
        <v>0</v>
      </c>
      <c r="AF150" s="16">
        <v>0</v>
      </c>
      <c r="AG150" s="16">
        <v>0</v>
      </c>
      <c r="AH150" s="16">
        <v>0</v>
      </c>
      <c r="AI150" s="16">
        <v>0</v>
      </c>
      <c r="AJ150" s="16">
        <v>0</v>
      </c>
      <c r="AK150" s="16">
        <v>0</v>
      </c>
      <c r="AL150" s="16" t="s">
        <v>72</v>
      </c>
      <c r="AM150" s="16" t="s">
        <v>859</v>
      </c>
      <c r="AN150" s="16" t="s">
        <v>1939</v>
      </c>
      <c r="AO150" s="16" t="s">
        <v>1850</v>
      </c>
      <c r="AP150" s="16">
        <v>0</v>
      </c>
      <c r="AQ150" s="16">
        <v>0</v>
      </c>
      <c r="AR150" s="18">
        <v>0</v>
      </c>
      <c r="AS150" s="18">
        <v>2000</v>
      </c>
      <c r="AT150" s="19" t="s">
        <v>50</v>
      </c>
      <c r="AU150" s="19" t="s">
        <v>50</v>
      </c>
      <c r="AV150" s="19" t="s">
        <v>50</v>
      </c>
      <c r="AW150" s="19" t="s">
        <v>50</v>
      </c>
      <c r="AX150" s="19" t="s">
        <v>50</v>
      </c>
      <c r="AY150" s="19" t="s">
        <v>50</v>
      </c>
      <c r="AZ150" s="19" t="s">
        <v>50</v>
      </c>
      <c r="BA150" s="19" t="s">
        <v>50</v>
      </c>
      <c r="BB150" s="19" t="s">
        <v>50</v>
      </c>
      <c r="BC150" s="19" t="s">
        <v>50</v>
      </c>
      <c r="BD150" s="19" t="s">
        <v>50</v>
      </c>
      <c r="BE150" s="19" t="s">
        <v>50</v>
      </c>
      <c r="BF150" s="19" t="s">
        <v>50</v>
      </c>
      <c r="BG150" s="19" t="s">
        <v>50</v>
      </c>
      <c r="BH150" s="19" t="s">
        <v>50</v>
      </c>
      <c r="BI150" s="18">
        <v>1</v>
      </c>
      <c r="BJ150" s="18">
        <v>0</v>
      </c>
      <c r="BK150" s="18">
        <v>1</v>
      </c>
      <c r="BL150" s="18">
        <v>0</v>
      </c>
      <c r="BM150" s="18">
        <v>0</v>
      </c>
      <c r="BN150" s="18">
        <v>0</v>
      </c>
      <c r="BO150" s="18">
        <v>0</v>
      </c>
      <c r="BP150" s="19" t="s">
        <v>50</v>
      </c>
      <c r="BQ150" s="18">
        <v>0</v>
      </c>
      <c r="BR150" s="19" t="s">
        <v>50</v>
      </c>
      <c r="BS150" s="18">
        <v>0</v>
      </c>
      <c r="BT150" s="19" t="s">
        <v>50</v>
      </c>
      <c r="BU150" s="18">
        <v>0</v>
      </c>
    </row>
    <row r="151" spans="1:73" s="18" customFormat="1" ht="15.75" customHeight="1" x14ac:dyDescent="0.2">
      <c r="A151" s="16">
        <f t="shared" si="1"/>
        <v>10149</v>
      </c>
      <c r="B151" s="16" t="s">
        <v>893</v>
      </c>
      <c r="C151" s="16" t="s">
        <v>899</v>
      </c>
      <c r="D151" s="17" t="s">
        <v>900</v>
      </c>
      <c r="E151" s="17" t="s">
        <v>901</v>
      </c>
      <c r="F151" s="16">
        <v>0</v>
      </c>
      <c r="G151" s="16">
        <v>0</v>
      </c>
      <c r="H151" s="16">
        <v>0</v>
      </c>
      <c r="I151" s="16">
        <v>0</v>
      </c>
      <c r="J151" s="16">
        <v>0</v>
      </c>
      <c r="K151" s="16">
        <v>0</v>
      </c>
      <c r="L151" s="16">
        <v>0</v>
      </c>
      <c r="M151" s="16">
        <v>0</v>
      </c>
      <c r="N151" s="16">
        <v>0</v>
      </c>
      <c r="O151" s="16">
        <v>0</v>
      </c>
      <c r="P151" s="16">
        <v>0</v>
      </c>
      <c r="Q151" s="16">
        <v>0</v>
      </c>
      <c r="R151" s="16">
        <v>0</v>
      </c>
      <c r="S151" s="16">
        <v>0</v>
      </c>
      <c r="T151" s="16">
        <v>0</v>
      </c>
      <c r="U151" s="16">
        <v>0</v>
      </c>
      <c r="V151" s="16">
        <v>0</v>
      </c>
      <c r="W151" s="16">
        <v>0</v>
      </c>
      <c r="X151" s="16">
        <v>0</v>
      </c>
      <c r="Y151" s="16">
        <v>0</v>
      </c>
      <c r="Z151" s="16">
        <v>0</v>
      </c>
      <c r="AA151" s="16">
        <v>0</v>
      </c>
      <c r="AB151" s="16">
        <v>0</v>
      </c>
      <c r="AC151" s="16">
        <v>0</v>
      </c>
      <c r="AD151" s="16">
        <v>0</v>
      </c>
      <c r="AE151" s="16">
        <v>0</v>
      </c>
      <c r="AF151" s="16">
        <v>0</v>
      </c>
      <c r="AG151" s="16">
        <v>0</v>
      </c>
      <c r="AH151" s="16">
        <v>0</v>
      </c>
      <c r="AI151" s="16">
        <v>0</v>
      </c>
      <c r="AJ151" s="16">
        <v>0</v>
      </c>
      <c r="AK151" s="16">
        <v>0</v>
      </c>
      <c r="AL151" s="16" t="s">
        <v>72</v>
      </c>
      <c r="AM151" s="16" t="s">
        <v>859</v>
      </c>
      <c r="AN151" s="16" t="s">
        <v>1939</v>
      </c>
      <c r="AO151" s="16" t="s">
        <v>1850</v>
      </c>
      <c r="AP151" s="16">
        <v>0</v>
      </c>
      <c r="AQ151" s="16">
        <v>0</v>
      </c>
      <c r="AR151" s="18">
        <v>0</v>
      </c>
      <c r="AS151" s="18">
        <v>10000</v>
      </c>
      <c r="AT151" s="19" t="s">
        <v>50</v>
      </c>
      <c r="AU151" s="19" t="s">
        <v>50</v>
      </c>
      <c r="AV151" s="19" t="s">
        <v>50</v>
      </c>
      <c r="AW151" s="19" t="s">
        <v>50</v>
      </c>
      <c r="AX151" s="19" t="s">
        <v>50</v>
      </c>
      <c r="AY151" s="19" t="s">
        <v>50</v>
      </c>
      <c r="AZ151" s="19" t="s">
        <v>50</v>
      </c>
      <c r="BA151" s="19" t="s">
        <v>50</v>
      </c>
      <c r="BB151" s="19" t="s">
        <v>50</v>
      </c>
      <c r="BC151" s="19" t="s">
        <v>50</v>
      </c>
      <c r="BD151" s="19" t="s">
        <v>50</v>
      </c>
      <c r="BE151" s="19" t="s">
        <v>50</v>
      </c>
      <c r="BF151" s="19" t="s">
        <v>50</v>
      </c>
      <c r="BG151" s="19" t="s">
        <v>50</v>
      </c>
      <c r="BH151" s="19" t="s">
        <v>50</v>
      </c>
      <c r="BI151" s="18">
        <v>1</v>
      </c>
      <c r="BJ151" s="18">
        <v>0</v>
      </c>
      <c r="BK151" s="18">
        <v>1</v>
      </c>
      <c r="BL151" s="18">
        <v>0</v>
      </c>
      <c r="BM151" s="18">
        <v>0</v>
      </c>
      <c r="BN151" s="18">
        <v>0</v>
      </c>
      <c r="BO151" s="18">
        <v>0</v>
      </c>
      <c r="BP151" s="19" t="s">
        <v>50</v>
      </c>
      <c r="BQ151" s="18">
        <v>0</v>
      </c>
      <c r="BR151" s="19" t="s">
        <v>50</v>
      </c>
      <c r="BS151" s="18">
        <v>0</v>
      </c>
      <c r="BT151" s="19" t="s">
        <v>50</v>
      </c>
      <c r="BU151" s="18">
        <v>0</v>
      </c>
    </row>
    <row r="152" spans="1:73" s="18" customFormat="1" ht="15.75" customHeight="1" x14ac:dyDescent="0.2">
      <c r="A152" s="16">
        <f t="shared" si="1"/>
        <v>10150</v>
      </c>
      <c r="B152" s="16" t="s">
        <v>893</v>
      </c>
      <c r="C152" s="16" t="s">
        <v>902</v>
      </c>
      <c r="D152" s="17" t="s">
        <v>903</v>
      </c>
      <c r="E152" s="17" t="s">
        <v>904</v>
      </c>
      <c r="F152" s="16">
        <v>0</v>
      </c>
      <c r="G152" s="16">
        <v>0</v>
      </c>
      <c r="H152" s="16">
        <v>0</v>
      </c>
      <c r="I152" s="16">
        <v>0</v>
      </c>
      <c r="J152" s="16">
        <v>0</v>
      </c>
      <c r="K152" s="16">
        <v>0</v>
      </c>
      <c r="L152" s="16">
        <v>0</v>
      </c>
      <c r="M152" s="16">
        <v>0</v>
      </c>
      <c r="N152" s="16">
        <v>0</v>
      </c>
      <c r="O152" s="16">
        <v>0</v>
      </c>
      <c r="P152" s="16">
        <v>0</v>
      </c>
      <c r="Q152" s="16">
        <v>0</v>
      </c>
      <c r="R152" s="16">
        <v>0</v>
      </c>
      <c r="S152" s="16">
        <v>0</v>
      </c>
      <c r="T152" s="16">
        <v>0</v>
      </c>
      <c r="U152" s="16">
        <v>0</v>
      </c>
      <c r="V152" s="16">
        <v>0</v>
      </c>
      <c r="W152" s="16">
        <v>0</v>
      </c>
      <c r="X152" s="16">
        <v>0</v>
      </c>
      <c r="Y152" s="16">
        <v>0</v>
      </c>
      <c r="Z152" s="16">
        <v>0</v>
      </c>
      <c r="AA152" s="16">
        <v>0</v>
      </c>
      <c r="AB152" s="16">
        <v>0</v>
      </c>
      <c r="AC152" s="16">
        <v>0</v>
      </c>
      <c r="AD152" s="16">
        <v>0</v>
      </c>
      <c r="AE152" s="16">
        <v>0</v>
      </c>
      <c r="AF152" s="16">
        <v>0</v>
      </c>
      <c r="AG152" s="16">
        <v>0</v>
      </c>
      <c r="AH152" s="16">
        <v>0</v>
      </c>
      <c r="AI152" s="16">
        <v>0</v>
      </c>
      <c r="AJ152" s="16">
        <v>0</v>
      </c>
      <c r="AK152" s="16">
        <v>0</v>
      </c>
      <c r="AL152" s="16" t="s">
        <v>72</v>
      </c>
      <c r="AM152" s="16" t="s">
        <v>859</v>
      </c>
      <c r="AN152" s="16" t="s">
        <v>1939</v>
      </c>
      <c r="AO152" s="16" t="s">
        <v>1850</v>
      </c>
      <c r="AP152" s="16">
        <v>0</v>
      </c>
      <c r="AQ152" s="16">
        <v>0</v>
      </c>
      <c r="AR152" s="18">
        <v>0</v>
      </c>
      <c r="AS152" s="18">
        <v>50000</v>
      </c>
      <c r="AT152" s="19" t="s">
        <v>50</v>
      </c>
      <c r="AU152" s="19" t="s">
        <v>50</v>
      </c>
      <c r="AV152" s="19" t="s">
        <v>50</v>
      </c>
      <c r="AW152" s="19" t="s">
        <v>50</v>
      </c>
      <c r="AX152" s="19" t="s">
        <v>50</v>
      </c>
      <c r="AY152" s="19" t="s">
        <v>50</v>
      </c>
      <c r="AZ152" s="19" t="s">
        <v>50</v>
      </c>
      <c r="BA152" s="19" t="s">
        <v>50</v>
      </c>
      <c r="BB152" s="19" t="s">
        <v>50</v>
      </c>
      <c r="BC152" s="19" t="s">
        <v>50</v>
      </c>
      <c r="BD152" s="19" t="s">
        <v>50</v>
      </c>
      <c r="BE152" s="19" t="s">
        <v>50</v>
      </c>
      <c r="BF152" s="19" t="s">
        <v>50</v>
      </c>
      <c r="BG152" s="19" t="s">
        <v>50</v>
      </c>
      <c r="BH152" s="19" t="s">
        <v>50</v>
      </c>
      <c r="BI152" s="18">
        <v>1</v>
      </c>
      <c r="BJ152" s="18">
        <v>0</v>
      </c>
      <c r="BK152" s="18">
        <v>1</v>
      </c>
      <c r="BL152" s="18">
        <v>0</v>
      </c>
      <c r="BM152" s="18">
        <v>0</v>
      </c>
      <c r="BN152" s="18">
        <v>0</v>
      </c>
      <c r="BO152" s="18">
        <v>0</v>
      </c>
      <c r="BP152" s="19" t="s">
        <v>50</v>
      </c>
      <c r="BQ152" s="18">
        <v>0</v>
      </c>
      <c r="BR152" s="19" t="s">
        <v>50</v>
      </c>
      <c r="BS152" s="18">
        <v>0</v>
      </c>
      <c r="BT152" s="19" t="s">
        <v>50</v>
      </c>
      <c r="BU152" s="18">
        <v>0</v>
      </c>
    </row>
    <row r="153" spans="1:73" ht="15.75" customHeight="1" x14ac:dyDescent="0.2">
      <c r="A153" s="3">
        <f t="shared" si="1"/>
        <v>10151</v>
      </c>
      <c r="B153" s="3" t="s">
        <v>911</v>
      </c>
      <c r="C153" s="3" t="s">
        <v>911</v>
      </c>
      <c r="D153" s="5" t="s">
        <v>910</v>
      </c>
      <c r="E153" s="5" t="s">
        <v>1302</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1939</v>
      </c>
      <c r="AO153" s="3" t="s">
        <v>1850</v>
      </c>
      <c r="AP153" s="3">
        <v>0</v>
      </c>
      <c r="AQ153" s="3">
        <v>0</v>
      </c>
      <c r="AR153">
        <v>0</v>
      </c>
      <c r="AS153">
        <v>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row>
    <row r="154" spans="1:73" ht="15.75" customHeight="1" x14ac:dyDescent="0.2">
      <c r="A154" s="3">
        <f t="shared" si="1"/>
        <v>10152</v>
      </c>
      <c r="B154" s="3" t="s">
        <v>1025</v>
      </c>
      <c r="C154" s="3" t="s">
        <v>1025</v>
      </c>
      <c r="D154" s="5" t="s">
        <v>1026</v>
      </c>
      <c r="E154" s="5" t="s">
        <v>1809</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1939</v>
      </c>
      <c r="AO154" s="3" t="s">
        <v>1850</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row>
    <row r="155" spans="1:73" ht="15.75" customHeight="1" x14ac:dyDescent="0.2">
      <c r="A155" s="3">
        <f t="shared" si="1"/>
        <v>10153</v>
      </c>
      <c r="B155" s="3" t="s">
        <v>1028</v>
      </c>
      <c r="C155" s="3" t="s">
        <v>1028</v>
      </c>
      <c r="D155" s="5" t="s">
        <v>1027</v>
      </c>
      <c r="E155" s="5" t="s">
        <v>1303</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1939</v>
      </c>
      <c r="AO155" s="3" t="s">
        <v>1850</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row>
    <row r="156" spans="1:73" ht="15.75" customHeight="1" x14ac:dyDescent="0.2">
      <c r="A156" s="3">
        <f t="shared" si="1"/>
        <v>10154</v>
      </c>
      <c r="B156" s="3" t="s">
        <v>1028</v>
      </c>
      <c r="C156" s="3" t="s">
        <v>1053</v>
      </c>
      <c r="D156" s="5" t="s">
        <v>1052</v>
      </c>
      <c r="E156" s="5" t="s">
        <v>1300</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1939</v>
      </c>
      <c r="AO156" s="3" t="s">
        <v>1850</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row>
    <row r="157" spans="1:73" ht="15.75" customHeight="1" x14ac:dyDescent="0.2">
      <c r="A157" s="3">
        <f t="shared" si="1"/>
        <v>10155</v>
      </c>
      <c r="B157" s="3" t="s">
        <v>2602</v>
      </c>
      <c r="C157" s="3" t="s">
        <v>2602</v>
      </c>
      <c r="D157" s="5" t="s">
        <v>2600</v>
      </c>
      <c r="E157" s="5" t="s">
        <v>2601</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1939</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row>
    <row r="158" spans="1:73" ht="15.75" customHeight="1" x14ac:dyDescent="0.2">
      <c r="A158" s="3">
        <f t="shared" si="1"/>
        <v>10156</v>
      </c>
      <c r="B158" s="3" t="s">
        <v>2605</v>
      </c>
      <c r="C158" s="3" t="s">
        <v>2605</v>
      </c>
      <c r="D158" s="5" t="s">
        <v>2603</v>
      </c>
      <c r="E158" s="5" t="s">
        <v>2604</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1939</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row>
    <row r="159" spans="1:73" ht="15.75" customHeight="1" x14ac:dyDescent="0.2">
      <c r="A159" s="3">
        <f t="shared" si="1"/>
        <v>10157</v>
      </c>
      <c r="B159" s="3" t="s">
        <v>3358</v>
      </c>
      <c r="C159" s="3" t="s">
        <v>3358</v>
      </c>
      <c r="D159" s="5" t="s">
        <v>3562</v>
      </c>
      <c r="E159" s="5" t="s">
        <v>3563</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1939</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row>
    <row r="160" spans="1:73" ht="15.75" customHeight="1" x14ac:dyDescent="0.2">
      <c r="A160" s="3">
        <f t="shared" si="1"/>
        <v>10158</v>
      </c>
      <c r="B160" s="3" t="s">
        <v>2605</v>
      </c>
      <c r="C160" s="3" t="s">
        <v>3116</v>
      </c>
      <c r="D160" s="5" t="s">
        <v>3114</v>
      </c>
      <c r="E160" s="5" t="s">
        <v>3115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1939</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row>
    <row r="161" spans="1:73" s="9" customFormat="1" ht="15.75" customHeight="1" x14ac:dyDescent="0.2">
      <c r="A161" s="7">
        <f t="shared" si="1"/>
        <v>10159</v>
      </c>
      <c r="B161" s="7" t="s">
        <v>2605</v>
      </c>
      <c r="C161" s="7" t="s">
        <v>3435</v>
      </c>
      <c r="D161" s="8" t="s">
        <v>3434</v>
      </c>
      <c r="E161" s="8" t="s">
        <v>3436</v>
      </c>
      <c r="F161" s="7">
        <v>0</v>
      </c>
      <c r="G161" s="7">
        <v>0</v>
      </c>
      <c r="H161" s="7">
        <v>0</v>
      </c>
      <c r="I161" s="7">
        <v>0</v>
      </c>
      <c r="J161" s="7">
        <v>0</v>
      </c>
      <c r="K161" s="7">
        <v>0</v>
      </c>
      <c r="L161" s="7">
        <v>0</v>
      </c>
      <c r="M161" s="7">
        <v>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72</v>
      </c>
      <c r="AM161" s="7" t="s">
        <v>2383</v>
      </c>
      <c r="AN161" s="7" t="s">
        <v>2384</v>
      </c>
      <c r="AO161" s="7" t="s">
        <v>50</v>
      </c>
      <c r="AP161" s="7">
        <v>0</v>
      </c>
      <c r="AQ161" s="7">
        <v>0</v>
      </c>
      <c r="AR161" s="9">
        <v>0</v>
      </c>
      <c r="AS161" s="9">
        <v>200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1</v>
      </c>
      <c r="BJ161" s="9">
        <v>0</v>
      </c>
      <c r="BK161" s="9">
        <v>1</v>
      </c>
      <c r="BL161" s="9">
        <v>0</v>
      </c>
      <c r="BM161" s="9">
        <v>0</v>
      </c>
      <c r="BN161" s="9">
        <v>0</v>
      </c>
      <c r="BO161" s="9">
        <v>0</v>
      </c>
      <c r="BP161" s="10" t="s">
        <v>50</v>
      </c>
      <c r="BQ161" s="9">
        <v>0</v>
      </c>
      <c r="BR161" s="10" t="s">
        <v>50</v>
      </c>
      <c r="BS161" s="9">
        <v>0</v>
      </c>
      <c r="BT161" s="10" t="s">
        <v>50</v>
      </c>
      <c r="BU161" s="9">
        <v>0</v>
      </c>
    </row>
    <row r="162" spans="1:73" ht="15.75" customHeight="1" x14ac:dyDescent="0.2">
      <c r="A162" s="3">
        <f t="shared" si="1"/>
        <v>10160</v>
      </c>
      <c r="B162" s="3" t="s">
        <v>2381</v>
      </c>
      <c r="C162" s="3" t="s">
        <v>2381</v>
      </c>
      <c r="D162" s="5" t="s">
        <v>2380</v>
      </c>
      <c r="E162" s="5" t="s">
        <v>2382</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2383</v>
      </c>
      <c r="AN162" s="3" t="s">
        <v>2384</v>
      </c>
      <c r="AO162" s="3" t="s">
        <v>50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row>
    <row r="163" spans="1:73" ht="15.75" customHeight="1" x14ac:dyDescent="0.2">
      <c r="A163" s="3">
        <f t="shared" si="1"/>
        <v>10161</v>
      </c>
      <c r="B163" s="3" t="s">
        <v>1028</v>
      </c>
      <c r="C163" s="3" t="s">
        <v>1906</v>
      </c>
      <c r="D163" s="5" t="s">
        <v>1907</v>
      </c>
      <c r="E163" s="5" t="s">
        <v>1908</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1909</v>
      </c>
      <c r="AN163" s="3" t="s">
        <v>1940</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0</v>
      </c>
      <c r="BJ163">
        <v>0</v>
      </c>
      <c r="BK163">
        <v>1</v>
      </c>
      <c r="BL163">
        <v>0</v>
      </c>
      <c r="BM163">
        <v>0</v>
      </c>
      <c r="BN163">
        <v>0</v>
      </c>
      <c r="BO163">
        <v>0</v>
      </c>
      <c r="BP163" s="6" t="s">
        <v>50</v>
      </c>
      <c r="BQ163">
        <v>0</v>
      </c>
      <c r="BR163" s="6" t="s">
        <v>50</v>
      </c>
      <c r="BS163">
        <v>0</v>
      </c>
      <c r="BT163" s="6" t="s">
        <v>50</v>
      </c>
      <c r="BU16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2025-02-12T15:18:12Z</dcterms:modified>
</cp:coreProperties>
</file>