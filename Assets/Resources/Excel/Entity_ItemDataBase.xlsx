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0B055988-C201-498F-A9F2-A8F6E02DF076}" xr6:coauthVersionLast="47" xr6:coauthVersionMax="47" xr10:uidLastSave="{00000000-0000-0000-0000-000000000000}"/>
  <bookViews>
    <workbookView xWindow="1905" yWindow="1185" windowWidth="25560" windowHeight="14325"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30" i="1" l="1"/>
  <c r="A319" i="2"/>
  <c r="A32" i="3"/>
  <c r="A238" i="1"/>
  <c r="A275" i="2"/>
  <c r="A274" i="2"/>
  <c r="A273" i="2"/>
  <c r="A272" i="2"/>
  <c r="A271" i="2"/>
  <c r="A270" i="2"/>
  <c r="A269" i="2"/>
  <c r="A268" i="2"/>
  <c r="A267" i="2"/>
  <c r="A266" i="2"/>
  <c r="A265" i="2"/>
  <c r="A264" i="2"/>
  <c r="A158" i="4"/>
  <c r="A178" i="1"/>
  <c r="A111" i="1"/>
  <c r="A110" i="1"/>
  <c r="A271" i="1"/>
  <c r="A25" i="2"/>
  <c r="A69" i="1"/>
  <c r="A237" i="1"/>
  <c r="A179" i="1"/>
  <c r="A46" i="4"/>
  <c r="A8" i="4"/>
  <c r="A9" i="1"/>
  <c r="A4" i="1"/>
  <c r="A132" i="1"/>
  <c r="A131" i="1"/>
  <c r="A282" i="1"/>
  <c r="A287" i="1"/>
  <c r="A286" i="1"/>
  <c r="A285" i="1"/>
  <c r="A284" i="1"/>
  <c r="A283" i="1"/>
  <c r="A281" i="1"/>
  <c r="A280" i="1"/>
  <c r="A349" i="2"/>
  <c r="A239" i="1"/>
  <c r="A112" i="2"/>
  <c r="A156" i="4"/>
  <c r="A47" i="4"/>
  <c r="A120" i="1"/>
  <c r="A61" i="1"/>
  <c r="A203" i="2"/>
  <c r="A215" i="1"/>
  <c r="A205" i="2"/>
  <c r="A204" i="2"/>
  <c r="A202" i="2"/>
  <c r="A201" i="2"/>
  <c r="A217" i="2"/>
  <c r="A7" i="4"/>
  <c r="A188" i="1"/>
  <c r="A6" i="4"/>
  <c r="A220" i="2"/>
  <c r="A219" i="2"/>
  <c r="A218" i="2"/>
  <c r="A216" i="2"/>
  <c r="A205" i="1"/>
  <c r="A207" i="1"/>
  <c r="A204" i="1"/>
  <c r="A203" i="1"/>
  <c r="A169" i="1"/>
  <c r="A17" i="3"/>
  <c r="A214" i="2"/>
  <c r="A213" i="2"/>
  <c r="A212" i="2"/>
  <c r="A211" i="2"/>
  <c r="A210" i="2"/>
  <c r="A209" i="2"/>
  <c r="A208" i="2"/>
  <c r="A164" i="1"/>
  <c r="A165" i="1"/>
  <c r="A163" i="1"/>
  <c r="A214" i="1"/>
  <c r="A206" i="1"/>
  <c r="A207" i="2"/>
  <c r="A211" i="1"/>
  <c r="A177" i="1"/>
  <c r="A255" i="1"/>
  <c r="A210" i="1"/>
  <c r="A254" i="1"/>
  <c r="A10" i="4"/>
  <c r="A50" i="3"/>
  <c r="A162" i="1"/>
  <c r="A212" i="1"/>
  <c r="A264" i="1"/>
  <c r="A197" i="2"/>
  <c r="A196" i="2"/>
  <c r="A109" i="1"/>
  <c r="A276" i="1"/>
  <c r="A31" i="3"/>
  <c r="A30" i="3"/>
  <c r="A29" i="3"/>
  <c r="A362" i="2"/>
  <c r="A364" i="2"/>
  <c r="A368" i="2"/>
  <c r="A369" i="2"/>
  <c r="A366" i="2"/>
  <c r="A367" i="2"/>
  <c r="A365" i="2"/>
  <c r="A363" i="2"/>
  <c r="A77" i="3"/>
  <c r="A78" i="3"/>
  <c r="A76" i="3"/>
  <c r="A75" i="3"/>
  <c r="A74" i="3"/>
  <c r="A73" i="3"/>
  <c r="A72" i="3"/>
  <c r="A71" i="3"/>
  <c r="A69" i="3"/>
  <c r="A70" i="3"/>
  <c r="A68" i="3"/>
  <c r="A157" i="4"/>
  <c r="A75" i="2"/>
  <c r="A74" i="2"/>
  <c r="A73" i="2"/>
  <c r="A346" i="2"/>
  <c r="A345" i="2"/>
  <c r="A344" i="2"/>
  <c r="A343" i="2"/>
  <c r="A342" i="2"/>
  <c r="A341" i="2"/>
  <c r="A50" i="2"/>
  <c r="A49" i="2"/>
  <c r="A48" i="2"/>
  <c r="A47" i="2"/>
  <c r="A46" i="2"/>
  <c r="A84" i="3"/>
  <c r="A83" i="3"/>
  <c r="A60" i="2"/>
  <c r="A61" i="2"/>
  <c r="A59" i="2"/>
  <c r="A88" i="3"/>
  <c r="A87" i="3"/>
  <c r="A86" i="3"/>
  <c r="A85" i="3"/>
  <c r="A82" i="3"/>
  <c r="A81" i="3"/>
  <c r="A80" i="3"/>
  <c r="A79" i="3"/>
  <c r="A12" i="3"/>
  <c r="A11" i="3"/>
  <c r="A10" i="3"/>
  <c r="A9" i="3"/>
  <c r="A222" i="2"/>
  <c r="A221" i="2"/>
  <c r="A199" i="2"/>
  <c r="A198" i="2"/>
  <c r="A384" i="2"/>
  <c r="A275" i="1"/>
  <c r="A184" i="2"/>
  <c r="A181" i="2"/>
  <c r="A279" i="1"/>
  <c r="A117" i="2"/>
  <c r="A122" i="1"/>
  <c r="A268" i="1"/>
  <c r="A267" i="1"/>
  <c r="A57" i="2"/>
  <c r="A56" i="2"/>
  <c r="A55" i="2"/>
  <c r="A310" i="1"/>
  <c r="A257" i="1"/>
  <c r="A200" i="1"/>
  <c r="A314" i="2"/>
  <c r="A261" i="1"/>
  <c r="A260" i="1"/>
  <c r="A265" i="1"/>
  <c r="A266" i="1"/>
  <c r="A120" i="2"/>
  <c r="A259" i="1"/>
  <c r="A258" i="1"/>
  <c r="A213" i="1"/>
  <c r="A263" i="1"/>
  <c r="A161" i="2"/>
  <c r="A262" i="1"/>
  <c r="A133" i="1"/>
  <c r="A129" i="1"/>
  <c r="A195" i="2"/>
  <c r="A194" i="2"/>
  <c r="A191" i="2"/>
  <c r="A192" i="2"/>
  <c r="A263" i="2"/>
  <c r="A257" i="2"/>
  <c r="A251" i="2"/>
  <c r="A235" i="1"/>
  <c r="A229" i="1"/>
  <c r="A223" i="1"/>
  <c r="A193" i="2"/>
  <c r="A278" i="1"/>
  <c r="A277" i="1"/>
  <c r="A274" i="1"/>
  <c r="A122" i="2"/>
  <c r="A54" i="2"/>
  <c r="A190" i="2"/>
  <c r="A52" i="1"/>
  <c r="A251" i="1"/>
  <c r="A175" i="1"/>
  <c r="A248" i="1"/>
  <c r="A249" i="1"/>
  <c r="A52" i="2"/>
  <c r="A176" i="1"/>
  <c r="A256" i="1"/>
  <c r="A250" i="1"/>
  <c r="A247" i="1"/>
  <c r="A195" i="1"/>
  <c r="A246" i="1"/>
  <c r="A285" i="2"/>
  <c r="A287" i="2"/>
  <c r="A197" i="1"/>
  <c r="A196" i="1"/>
  <c r="A53" i="2"/>
  <c r="A174" i="1"/>
  <c r="A28" i="3"/>
  <c r="A121" i="2"/>
  <c r="A68" i="1"/>
  <c r="A67" i="1"/>
  <c r="A236" i="1"/>
  <c r="A299" i="2"/>
  <c r="A156" i="2"/>
  <c r="A164" i="2"/>
  <c r="A163" i="2"/>
  <c r="A162" i="2"/>
  <c r="A160" i="2"/>
  <c r="A159" i="2"/>
  <c r="A119" i="2"/>
  <c r="A26" i="3"/>
  <c r="A360" i="2"/>
  <c r="A359" i="2"/>
  <c r="A357" i="2"/>
  <c r="A358" i="2"/>
  <c r="A356" i="2"/>
  <c r="A352" i="2"/>
  <c r="A355" i="2"/>
  <c r="A354" i="2"/>
  <c r="A353" i="2"/>
  <c r="A351" i="2"/>
  <c r="A183" i="1"/>
  <c r="A184" i="1"/>
  <c r="A185" i="1"/>
  <c r="A186" i="1"/>
  <c r="A187" i="1"/>
  <c r="A182" i="1"/>
  <c r="A181" i="1"/>
  <c r="A119" i="1"/>
  <c r="A361" i="2"/>
  <c r="A350" i="2"/>
  <c r="A60" i="1"/>
  <c r="A41" i="4"/>
  <c r="A40" i="4"/>
  <c r="A136" i="4"/>
  <c r="A33" i="4"/>
  <c r="A155" i="4"/>
  <c r="A154" i="4"/>
  <c r="A126" i="1"/>
  <c r="A39" i="4"/>
  <c r="A38" i="4"/>
  <c r="A37" i="4"/>
  <c r="A55" i="3"/>
  <c r="A67" i="3"/>
  <c r="A56" i="3"/>
  <c r="A166" i="1"/>
  <c r="A158" i="2"/>
  <c r="A299" i="1"/>
  <c r="A298" i="1"/>
  <c r="A297" i="1"/>
  <c r="A296" i="1"/>
  <c r="A295" i="1"/>
  <c r="A294" i="1"/>
  <c r="A293" i="1"/>
  <c r="A292" i="1"/>
  <c r="A291" i="1"/>
  <c r="A290" i="1"/>
  <c r="A289" i="1"/>
  <c r="A288" i="1"/>
  <c r="A26" i="1"/>
  <c r="A60" i="3"/>
  <c r="A37" i="1"/>
  <c r="A36" i="1"/>
  <c r="A35" i="1"/>
  <c r="A34" i="1"/>
  <c r="A33" i="1"/>
  <c r="A25" i="1"/>
  <c r="A24" i="1"/>
  <c r="A23" i="1"/>
  <c r="A28" i="1"/>
  <c r="A27" i="1"/>
  <c r="A22" i="1"/>
  <c r="A21" i="1"/>
  <c r="A145" i="4"/>
  <c r="A82" i="1"/>
  <c r="A128" i="1"/>
  <c r="A97" i="1"/>
  <c r="A100" i="1"/>
  <c r="A105" i="1"/>
  <c r="A125" i="1"/>
  <c r="A80" i="1"/>
  <c r="A118" i="1"/>
  <c r="A138" i="4"/>
  <c r="A137" i="4"/>
  <c r="A117" i="1"/>
  <c r="A159" i="4"/>
  <c r="A37" i="2"/>
  <c r="A301" i="2"/>
  <c r="A279" i="2"/>
  <c r="A300" i="2"/>
  <c r="A321" i="2"/>
  <c r="A115" i="2"/>
  <c r="A143" i="2"/>
  <c r="A147" i="2"/>
  <c r="A148" i="2"/>
  <c r="A149" i="2"/>
  <c r="A380" i="2"/>
  <c r="A129" i="2"/>
  <c r="A132" i="2"/>
  <c r="A63" i="2"/>
  <c r="A113" i="2"/>
  <c r="A76" i="2"/>
  <c r="A123" i="2"/>
  <c r="A133" i="2"/>
  <c r="A139" i="2"/>
  <c r="A169" i="2"/>
  <c r="A165" i="2"/>
  <c r="A215" i="2"/>
  <c r="A104" i="1"/>
  <c r="A106" i="1"/>
  <c r="A107" i="1"/>
  <c r="A206" i="2"/>
  <c r="A288" i="2"/>
  <c r="A281" i="2"/>
  <c r="A280" i="2"/>
  <c r="A208" i="1"/>
  <c r="A290" i="2"/>
  <c r="A370" i="2"/>
  <c r="A327" i="2"/>
  <c r="A323" i="2"/>
  <c r="A302" i="2"/>
  <c r="A185" i="2"/>
  <c r="A243" i="2"/>
  <c r="A29" i="4"/>
  <c r="A18" i="4"/>
  <c r="A14" i="4"/>
  <c r="A13" i="4"/>
  <c r="A32" i="4"/>
  <c r="A31" i="4"/>
  <c r="A30" i="4"/>
  <c r="A28" i="4"/>
  <c r="A32" i="1"/>
  <c r="A137" i="2"/>
  <c r="A66" i="3"/>
  <c r="A65" i="3"/>
  <c r="A64" i="3"/>
  <c r="A63" i="3"/>
  <c r="A62" i="3"/>
  <c r="A61" i="3"/>
  <c r="A59" i="3"/>
  <c r="A58" i="3"/>
  <c r="A57" i="3"/>
  <c r="A138" i="2"/>
  <c r="A143" i="1"/>
  <c r="A45" i="2"/>
  <c r="A44" i="2"/>
  <c r="A40" i="2"/>
  <c r="A43" i="2"/>
  <c r="A42" i="2"/>
  <c r="A41" i="2"/>
  <c r="A12" i="1"/>
  <c r="A8" i="1"/>
  <c r="A3" i="1"/>
  <c r="A18" i="1"/>
  <c r="A223" i="2"/>
  <c r="A66" i="1"/>
  <c r="A115" i="1"/>
  <c r="A114" i="1"/>
  <c r="A71" i="1"/>
  <c r="A262" i="2"/>
  <c r="A261" i="2"/>
  <c r="A260" i="2"/>
  <c r="A259" i="2"/>
  <c r="A258" i="2"/>
  <c r="A234" i="1"/>
  <c r="A233" i="1"/>
  <c r="A232" i="1"/>
  <c r="A231" i="1"/>
  <c r="A230" i="1"/>
  <c r="A256" i="2"/>
  <c r="A255" i="2"/>
  <c r="A254" i="2"/>
  <c r="A253" i="2"/>
  <c r="A252" i="2"/>
  <c r="A249" i="2"/>
  <c r="A250" i="2"/>
  <c r="A228" i="1"/>
  <c r="A227" i="1"/>
  <c r="A226" i="1"/>
  <c r="A225" i="1"/>
  <c r="A224" i="1"/>
  <c r="A222" i="1"/>
  <c r="A221" i="1"/>
  <c r="A22" i="4"/>
  <c r="A21" i="4"/>
  <c r="A246" i="2"/>
  <c r="A218" i="1"/>
  <c r="A247" i="2"/>
  <c r="A219" i="1"/>
  <c r="A136" i="2"/>
  <c r="A135" i="2"/>
  <c r="A316" i="2"/>
  <c r="A318" i="2"/>
  <c r="A320" i="2"/>
  <c r="A315" i="2"/>
  <c r="A317" i="2"/>
  <c r="A242" i="1"/>
  <c r="A241" i="1"/>
  <c r="A240" i="1"/>
  <c r="A248" i="2"/>
  <c r="A220" i="1"/>
  <c r="A20" i="4"/>
  <c r="A245" i="2"/>
  <c r="A217" i="1"/>
  <c r="A216" i="1"/>
  <c r="A65" i="1"/>
  <c r="A19" i="4"/>
  <c r="A64" i="1"/>
  <c r="A63" i="1"/>
  <c r="A31" i="1"/>
  <c r="A92" i="1"/>
  <c r="A91" i="1"/>
  <c r="A390" i="2"/>
  <c r="A389" i="2"/>
  <c r="A388" i="2"/>
  <c r="A387" i="2"/>
  <c r="A386" i="2"/>
  <c r="A385" i="2"/>
  <c r="A383" i="2"/>
  <c r="A382" i="2"/>
  <c r="A381" i="2"/>
  <c r="A379" i="2"/>
  <c r="A378" i="2"/>
  <c r="A377" i="2"/>
  <c r="A376" i="2"/>
  <c r="A375" i="2"/>
  <c r="A374" i="2"/>
  <c r="A373" i="2"/>
  <c r="A372" i="2"/>
  <c r="A371" i="2"/>
  <c r="A348" i="2"/>
  <c r="A347" i="2"/>
  <c r="A340" i="2"/>
  <c r="A339" i="2"/>
  <c r="A338" i="2"/>
  <c r="A337" i="2"/>
  <c r="A336" i="2"/>
  <c r="A335" i="2"/>
  <c r="A334" i="2"/>
  <c r="A333" i="2"/>
  <c r="A332" i="2"/>
  <c r="A331" i="2"/>
  <c r="A330" i="2"/>
  <c r="A329" i="2"/>
  <c r="A328" i="2"/>
  <c r="A326" i="2"/>
  <c r="A325" i="2"/>
  <c r="A324" i="2"/>
  <c r="A313" i="2"/>
  <c r="A312" i="2"/>
  <c r="A311" i="2"/>
  <c r="A310" i="2"/>
  <c r="A309" i="2"/>
  <c r="A308" i="2"/>
  <c r="A307" i="2"/>
  <c r="A306" i="2"/>
  <c r="A305" i="2"/>
  <c r="A304" i="2"/>
  <c r="A303" i="2"/>
  <c r="A298" i="2"/>
  <c r="A297" i="2"/>
  <c r="A296" i="2"/>
  <c r="A295" i="2"/>
  <c r="A294" i="2"/>
  <c r="A293" i="2"/>
  <c r="A292" i="2"/>
  <c r="A291" i="2"/>
  <c r="A289" i="2"/>
  <c r="A284" i="2"/>
  <c r="A58" i="2"/>
  <c r="A278" i="2"/>
  <c r="A277" i="2"/>
  <c r="A276" i="2"/>
  <c r="A244" i="2"/>
  <c r="A282" i="2"/>
  <c r="A240" i="2"/>
  <c r="A239" i="2"/>
  <c r="A322" i="2"/>
  <c r="A238" i="2"/>
  <c r="A237" i="2"/>
  <c r="A236" i="2"/>
  <c r="A157" i="2"/>
  <c r="A235" i="2"/>
  <c r="A234" i="2"/>
  <c r="A283" i="2"/>
  <c r="A233" i="2"/>
  <c r="A232" i="2"/>
  <c r="A231" i="2"/>
  <c r="A230" i="2"/>
  <c r="A229" i="2"/>
  <c r="A228" i="2"/>
  <c r="A227" i="2"/>
  <c r="A226" i="2"/>
  <c r="A225" i="2"/>
  <c r="A242" i="2"/>
  <c r="A241" i="2"/>
  <c r="A224" i="2"/>
  <c r="A200" i="2"/>
  <c r="A189" i="2"/>
  <c r="A188" i="2"/>
  <c r="A187" i="2"/>
  <c r="A186"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6"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89" i="3"/>
  <c r="A54" i="3"/>
  <c r="A53" i="3"/>
  <c r="A52" i="3"/>
  <c r="A51" i="3"/>
  <c r="A49" i="3"/>
  <c r="A48" i="3"/>
  <c r="A47" i="3"/>
  <c r="A46" i="3"/>
  <c r="A45" i="3"/>
  <c r="A44" i="3"/>
  <c r="A43" i="3"/>
  <c r="A42" i="3"/>
  <c r="A41" i="3"/>
  <c r="A40" i="3"/>
  <c r="A39" i="3"/>
  <c r="A38" i="3"/>
  <c r="A37" i="3"/>
  <c r="A36" i="3"/>
  <c r="A35" i="3"/>
  <c r="A34" i="3"/>
  <c r="A33" i="3"/>
  <c r="A27" i="3"/>
  <c r="A25" i="3"/>
  <c r="A24" i="3"/>
  <c r="A23" i="3"/>
  <c r="A22" i="3"/>
  <c r="A21" i="3"/>
  <c r="A20" i="3"/>
  <c r="A19" i="3"/>
  <c r="A18" i="3"/>
  <c r="A16" i="3"/>
  <c r="A15" i="3"/>
  <c r="A14" i="3"/>
  <c r="A13" i="3"/>
  <c r="A8" i="3"/>
  <c r="A7" i="3"/>
  <c r="A6" i="3"/>
  <c r="A5" i="3"/>
  <c r="A4" i="3"/>
  <c r="A3" i="3"/>
  <c r="A2" i="3"/>
  <c r="A160" i="4"/>
  <c r="A153" i="4"/>
  <c r="A152" i="4"/>
  <c r="A151" i="4"/>
  <c r="A150" i="4"/>
  <c r="A149" i="4"/>
  <c r="A148" i="4"/>
  <c r="A147" i="4"/>
  <c r="A146" i="4"/>
  <c r="A144" i="4"/>
  <c r="A143" i="4"/>
  <c r="A142" i="4"/>
  <c r="A141" i="4"/>
  <c r="A140" i="4"/>
  <c r="A139" i="4"/>
  <c r="A135" i="4"/>
  <c r="A134" i="4"/>
  <c r="A133" i="4"/>
  <c r="A132" i="4"/>
  <c r="A131" i="4"/>
  <c r="A130" i="4"/>
  <c r="A129" i="4"/>
  <c r="A128" i="4"/>
  <c r="A127" i="4"/>
  <c r="A126" i="4"/>
  <c r="A125" i="4"/>
  <c r="A124" i="4"/>
  <c r="A123" i="4"/>
  <c r="A122" i="4"/>
  <c r="A121" i="4"/>
  <c r="A120" i="4"/>
  <c r="A119" i="4"/>
  <c r="A118" i="4"/>
  <c r="A117" i="4"/>
  <c r="A116" i="4"/>
  <c r="A115" i="4"/>
  <c r="A114" i="4"/>
  <c r="A113" i="4"/>
  <c r="A112" i="4"/>
  <c r="A111"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9" i="4"/>
  <c r="A48" i="4"/>
  <c r="A45" i="4"/>
  <c r="A44" i="4"/>
  <c r="A43" i="4"/>
  <c r="A42" i="4"/>
  <c r="A36" i="4"/>
  <c r="A35" i="4"/>
  <c r="A34" i="4"/>
  <c r="A27" i="4"/>
  <c r="A26" i="4"/>
  <c r="A25" i="4"/>
  <c r="A24" i="4"/>
  <c r="A23" i="4"/>
  <c r="A17" i="4"/>
  <c r="A16" i="4"/>
  <c r="A15" i="4"/>
  <c r="A12" i="4"/>
  <c r="A11" i="4"/>
  <c r="A9" i="4"/>
  <c r="A5" i="4"/>
  <c r="A4" i="4"/>
  <c r="A3" i="4"/>
  <c r="A2" i="4"/>
  <c r="A39" i="1"/>
  <c r="A38" i="1"/>
  <c r="A29" i="1"/>
  <c r="A30" i="1"/>
  <c r="A86" i="1"/>
  <c r="A170" i="1"/>
  <c r="A245" i="1"/>
  <c r="A144" i="1"/>
  <c r="A160" i="1"/>
  <c r="A76" i="1"/>
  <c r="A102" i="1"/>
  <c r="A113" i="1"/>
  <c r="A85" i="1"/>
  <c r="A173" i="1"/>
  <c r="A161" i="1"/>
  <c r="A20" i="1"/>
  <c r="A19" i="1"/>
  <c r="A72" i="1"/>
  <c r="A123" i="1"/>
  <c r="A121" i="1"/>
  <c r="A127" i="1"/>
  <c r="A252" i="1"/>
  <c r="A198" i="1"/>
  <c r="A201" i="1"/>
  <c r="A159" i="1"/>
  <c r="A70" i="1"/>
  <c r="A158" i="1"/>
  <c r="A45" i="1"/>
  <c r="A44" i="1"/>
  <c r="A81" i="1"/>
  <c r="A140" i="1"/>
  <c r="A153" i="1"/>
  <c r="A156" i="1"/>
  <c r="A155" i="1"/>
  <c r="A154" i="1"/>
  <c r="A48" i="1"/>
  <c r="A253" i="1"/>
  <c r="A5" i="1"/>
  <c r="A270" i="1"/>
  <c r="A101" i="1"/>
  <c r="A273" i="1"/>
  <c r="A272" i="1"/>
  <c r="A59" i="1"/>
  <c r="A15" i="1"/>
  <c r="A269" i="1"/>
  <c r="A142" i="1"/>
  <c r="A141" i="1"/>
  <c r="A139" i="1"/>
  <c r="A134" i="1"/>
  <c r="A56" i="1"/>
  <c r="A89" i="1"/>
  <c r="A88" i="1"/>
  <c r="A87" i="1"/>
  <c r="A84" i="1"/>
  <c r="A180" i="1"/>
  <c r="A194" i="1"/>
  <c r="A135" i="1"/>
  <c r="A55" i="1"/>
  <c r="A148" i="1"/>
  <c r="A54" i="1"/>
  <c r="A51" i="1"/>
  <c r="A53" i="1"/>
  <c r="A138" i="1"/>
  <c r="A43" i="1"/>
  <c r="A99" i="1"/>
  <c r="A49" i="1"/>
  <c r="A137" i="1"/>
  <c r="A93" i="1"/>
  <c r="A157" i="1"/>
  <c r="A151" i="1"/>
  <c r="A150" i="1"/>
  <c r="A149" i="1"/>
  <c r="A152" i="1"/>
  <c r="A193" i="1"/>
  <c r="A136" i="1"/>
  <c r="A124" i="1"/>
  <c r="A147" i="1"/>
  <c r="A191" i="1"/>
  <c r="A190" i="1"/>
  <c r="A189" i="1"/>
  <c r="A146" i="1"/>
  <c r="A98" i="1"/>
  <c r="A103" i="1"/>
  <c r="A50" i="1"/>
  <c r="A96" i="1"/>
  <c r="A244" i="1"/>
  <c r="A58" i="1"/>
  <c r="A46" i="1"/>
  <c r="A168" i="1"/>
  <c r="A78" i="1"/>
  <c r="A243" i="1"/>
  <c r="A202" i="1"/>
  <c r="A209" i="1"/>
  <c r="A199" i="1"/>
  <c r="A172" i="1"/>
  <c r="A116" i="1"/>
  <c r="A171" i="1"/>
  <c r="A108" i="1"/>
  <c r="A145" i="1"/>
  <c r="A95" i="1"/>
  <c r="A94" i="1"/>
  <c r="A302" i="1"/>
  <c r="A73" i="1"/>
  <c r="A17" i="1"/>
  <c r="A16" i="1"/>
  <c r="A300" i="1"/>
  <c r="A167" i="1"/>
  <c r="A192" i="1"/>
  <c r="A77" i="1"/>
  <c r="A14" i="1"/>
  <c r="A42" i="1"/>
  <c r="A74" i="1"/>
  <c r="A10" i="1"/>
  <c r="A312" i="1"/>
  <c r="A57" i="1"/>
  <c r="A41" i="1"/>
  <c r="A309" i="1"/>
  <c r="A311" i="1"/>
  <c r="A62" i="1"/>
  <c r="A308" i="1"/>
  <c r="A307" i="1"/>
  <c r="A306" i="1"/>
  <c r="A304" i="1"/>
  <c r="A305" i="1"/>
  <c r="A301" i="1"/>
  <c r="A13" i="1"/>
  <c r="A75" i="1"/>
  <c r="A6" i="1"/>
  <c r="A79" i="1"/>
  <c r="A83" i="1"/>
  <c r="A90" i="1"/>
  <c r="A112" i="1"/>
  <c r="A2" i="1"/>
  <c r="A40" i="1"/>
  <c r="A7" i="1"/>
  <c r="A11" i="1"/>
  <c r="A47" i="1"/>
  <c r="A303" i="1"/>
</calcChain>
</file>

<file path=xl/sharedStrings.xml><?xml version="1.0" encoding="utf-8"?>
<sst xmlns="http://schemas.openxmlformats.org/spreadsheetml/2006/main" count="22049" uniqueCount="3546">
  <si>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</si>
  <si>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</si>
  <si>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</si>
  <si>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</si>
  <si>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</si>
  <si>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</si>
  <si>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</si>
  <si>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</si>
  <si>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</si>
  <si>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</si>
  <si>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</si>
  <si>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</si>
  <si>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</si>
  <si>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</si>
  <si>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</si>
  <si>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</si>
  <si>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</si>
  <si>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</si>
  <si>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</si>
  <si>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</si>
  <si>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</si>
  <si>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</si>
  <si>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</si>
  <si>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</si>
  <si>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</si>
  <si>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</si>
  <si>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</si>
  <si>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</si>
  <si>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</si>
  <si>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</si>
  <si>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</si>
  <si>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</si>
  <si>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</si>
  <si>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</si>
  <si>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</si>
  <si>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</si>
  <si>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</si>
  <si>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</si>
  <si>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</si>
  <si>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</si>
  <si>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</si>
  <si>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</si>
  <si>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</si>
  <si>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</si>
  <si>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</si>
  <si>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</si>
  <si>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</si>
  <si>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</si>
  <si>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</si>
  <si>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</si>
  <si>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</si>
  <si>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</si>
  <si>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</si>
  <si>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</si>
  <si>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</si>
  <si>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</si>
  <si>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</si>
  <si>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</si>
  <si>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</si>
  <si>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</si>
  <si>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</si>
  <si>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</si>
  <si>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</si>
  <si>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</si>
  <si>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</si>
  <si>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</si>
  <si>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</si>
  <si>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</si>
  <si>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</si>
  <si>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</si>
  <si>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</si>
  <si>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</si>
  <si>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</si>
  <si>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</si>
  <si>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</si>
  <si>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</si>
  <si>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</si>
  <si>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</si>
  <si>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</si>
  <si>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</si>
  <si>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</si>
  <si>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</si>
  <si>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</si>
  <si>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</si>
  <si>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</si>
  <si>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</si>
  <si>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</si>
  <si>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</si>
  <si>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</si>
  <si>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</si>
  <si>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</si>
  <si>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</si>
  <si>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</si>
  <si>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</si>
  <si>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</si>
  <si>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</si>
  <si>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</si>
  <si>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</si>
  <si>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</si>
  <si>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</si>
  <si>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</si>
  <si>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</si>
  <si>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</si>
  <si>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</si>
  <si>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</si>
  <si>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</si>
  <si>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</si>
  <si>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</si>
  <si>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</si>
  <si>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</si>
  <si>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</si>
  <si>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</si>
  <si>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</si>
  <si>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</si>
  <si>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</si>
  <si>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</si>
  <si>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</si>
  <si>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</si>
  <si>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</si>
  <si>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</si>
  <si>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</si>
  <si>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</si>
  <si>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</si>
  <si>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</si>
  <si>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</si>
  <si>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</si>
  <si>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</si>
  <si>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</si>
  <si>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</si>
  <si>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</si>
  <si>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</si>
  <si>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</si>
  <si>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</si>
  <si>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</si>
  <si>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</si>
  <si>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</si>
  <si>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</si>
  <si>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</si>
  <si>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</si>
  <si>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</si>
  <si>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</si>
  <si>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</si>
  <si>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</si>
  <si>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</si>
  <si>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</si>
  <si>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</si>
  <si>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</si>
  <si>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</si>
  <si>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</si>
  <si>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</si>
  <si>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</si>
  <si>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</si>
  <si>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</si>
  <si>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</si>
  <si>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</si>
  <si>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</si>
  <si>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</si>
  <si>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</si>
  <si>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</si>
  <si>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</si>
  <si>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</si>
  <si>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</si>
  <si>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</si>
  <si>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</si>
  <si>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</si>
  <si>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</si>
  <si>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</si>
  <si>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</si>
  <si>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</si>
  <si>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</si>
  <si>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</si>
  <si>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</si>
  <si>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</si>
  <si>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</si>
  <si>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</si>
  <si>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</si>
  <si>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</si>
  <si>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</si>
  <si>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</si>
  <si>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</si>
  <si>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</si>
  <si>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</si>
  <si>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</si>
  <si>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</si>
  <si>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</si>
  <si>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</si>
  <si>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</si>
  <si>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</si>
  <si>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</si>
  <si>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</si>
  <si>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</si>
  <si>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</si>
  <si>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</si>
  <si>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</si>
  <si>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</si>
  <si>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</si>
  <si>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</si>
  <si>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</si>
  <si>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</si>
  <si>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</si>
  <si>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</si>
  <si>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</si>
  <si>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</si>
  <si>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</si>
  <si>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</si>
  <si>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</si>
  <si>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</si>
  <si>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</si>
  <si>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</si>
  <si>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</si>
  <si>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</si>
  <si>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</si>
  <si>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</si>
  <si>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</si>
  <si>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</si>
  <si>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</si>
  <si>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</si>
  <si>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</si>
  <si>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</si>
  <si>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</si>
  <si>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</si>
  <si>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</si>
  <si>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</si>
  <si>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</si>
  <si>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</si>
  <si>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</si>
  <si>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</si>
  <si>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</si>
  <si>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</si>
  <si>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</si>
  <si>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</si>
  <si>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</si>
  <si>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</si>
  <si>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</si>
  <si>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</si>
  <si>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</si>
  <si>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</si>
  <si>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</si>
  <si>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</si>
  <si>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</si>
  <si>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</si>
  <si>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</si>
  <si>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</si>
  <si>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</si>
  <si>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</si>
  <si>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</si>
  <si>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</si>
  <si>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</si>
  <si>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</si>
  <si>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</si>
  <si>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</si>
  <si>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</si>
  <si>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</si>
  <si>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</si>
  <si>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</si>
  <si>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</si>
  <si>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</si>
  <si>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</si>
  <si>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</si>
  <si>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</si>
  <si>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</si>
  <si>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</si>
  <si>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</si>
  <si>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</si>
  <si>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</si>
  <si>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</si>
  <si>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</si>
  <si>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</si>
  <si>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</si>
  <si>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</si>
  <si>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</si>
  <si>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</si>
  <si>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</si>
  <si>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</si>
  <si>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</si>
  <si>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</si>
  <si>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</si>
  <si>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</si>
  <si>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</si>
  <si>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</si>
  <si>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</si>
  <si>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</si>
  <si>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</si>
  <si>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</si>
  <si>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</si>
  <si>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</si>
  <si>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</si>
  <si>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</si>
  <si>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</si>
  <si>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</si>
  <si>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</si>
  <si>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</si>
  <si>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</si>
  <si>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</si>
  <si>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</si>
  <si>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</si>
  <si>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</si>
  <si>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</si>
  <si>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</si>
  <si>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</si>
  <si>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</si>
  <si>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</si>
  <si>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</si>
  <si>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</si>
  <si>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</si>
  <si>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</si>
  <si>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</si>
  <si>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</si>
  <si>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</si>
  <si>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</si>
  <si>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</si>
  <si>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</si>
  <si>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</si>
  <si>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</si>
  <si>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</si>
  <si>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</si>
  <si>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</si>
  <si>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</si>
  <si>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</si>
  <si>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</si>
  <si>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</si>
  <si>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</si>
  <si>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</si>
  <si>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</si>
  <si>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</si>
  <si>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</si>
  <si>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</si>
  <si>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</si>
  <si>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</si>
  <si>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</si>
  <si>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</si>
  <si>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</si>
  <si>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</si>
  <si>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</si>
  <si>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</si>
  <si>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</si>
  <si>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</si>
  <si>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</si>
  <si>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</si>
  <si>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</si>
  <si>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</si>
  <si>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チョコアイスとコーンフレーク、バニラアイスを3段に重ねて、さらにバナナなどをのせた豪華なデザート。</t>
    <rPh sb="23" eb="24">
      <t>ダン</t>
    </rPh>
    <rPh sb="25" eb="26">
      <t>カサ</t>
    </rPh>
    <rPh sb="41" eb="43">
      <t>ゴウカ</t>
    </rPh>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</si>
  <si>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</si>
  <si>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</si>
  <si>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</si>
  <si>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</si>
  <si>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</si>
  <si>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</si>
  <si>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</si>
  <si>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</si>
  <si>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</si>
  <si>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</si>
  <si>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</si>
  <si>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</si>
  <si>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</si>
  <si>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</si>
  <si>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</si>
  <si>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</si>
  <si>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</si>
  <si>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</si>
  <si>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</si>
  <si>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</si>
  <si>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</si>
  <si>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</si>
  <si>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</si>
  <si>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</si>
  <si>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</si>
  <si>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</si>
  <si>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</si>
  <si>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</si>
  <si>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</si>
  <si>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</si>
  <si>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</si>
  <si>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</si>
  <si>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</si>
  <si>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</si>
  <si>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</si>
  <si>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</si>
  <si>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</si>
  <si>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</si>
  <si>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</si>
  <si>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</si>
  <si>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</si>
  <si>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</si>
  <si>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</si>
  <si>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</si>
  <si>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</si>
  <si>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</si>
  <si>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</si>
  <si>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</si>
  <si>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</si>
  <si>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</si>
  <si>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</si>
  <si>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</si>
  <si>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</si>
  <si>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</si>
  <si>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</si>
  <si>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</si>
  <si>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</si>
  <si>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</si>
  <si>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</si>
  <si>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</si>
  <si>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</si>
  <si>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</si>
  <si>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</si>
  <si>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</si>
  <si>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</si>
  <si>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</si>
  <si>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</si>
  <si>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</si>
  <si>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</si>
  <si>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</si>
  <si>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</si>
  <si>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</si>
  <si>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</si>
  <si>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</si>
  <si>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</si>
  <si>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</si>
  <si>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</si>
  <si>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</si>
  <si>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</si>
  <si>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</si>
  <si>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</si>
  <si>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</si>
  <si>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</si>
  <si>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</si>
  <si>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</si>
  <si>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</si>
  <si>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</si>
  <si>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</si>
  <si>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</si>
  <si>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</si>
  <si>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</si>
  <si>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</si>
  <si>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</si>
  <si>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</si>
  <si>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</si>
  <si>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</si>
  <si>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</si>
  <si>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</si>
  <si>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</si>
  <si>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</si>
  <si>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</si>
  <si>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</si>
  <si>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</si>
  <si>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</si>
  <si>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</si>
  <si>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</si>
  <si>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</si>
  <si>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</si>
  <si>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</si>
  <si>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</si>
  <si>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</si>
  <si>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</si>
  <si>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</si>
  <si>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</si>
  <si>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</si>
  <si>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</si>
  <si>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</si>
  <si>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</si>
  <si>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</si>
  <si>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</si>
  <si>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</si>
  <si>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</si>
  <si>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</si>
  <si>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</si>
  <si>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</si>
  <si>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</si>
  <si>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</si>
  <si>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</si>
  <si>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</si>
  <si>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</si>
  <si>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</si>
  <si>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</si>
  <si>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</si>
  <si>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</si>
  <si>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</si>
  <si>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</si>
  <si>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</si>
  <si>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</si>
  <si>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</si>
  <si>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</si>
  <si>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</si>
  <si>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</si>
  <si>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</si>
  <si>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</si>
  <si>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</si>
  <si>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</si>
  <si>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</si>
  <si>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</si>
  <si>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</si>
  <si>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</si>
  <si>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</si>
  <si>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</si>
  <si>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</si>
  <si>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</si>
  <si>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</si>
  <si>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</si>
  <si>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</si>
  <si>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</si>
  <si>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</si>
  <si>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</si>
  <si>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</si>
  <si>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</si>
  <si>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</si>
  <si>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</si>
  <si>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</si>
  <si>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</si>
  <si>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</si>
  <si>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</si>
  <si>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</si>
  <si>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</si>
  <si>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</si>
  <si>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</si>
  <si>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</si>
  <si>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</si>
  <si>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</si>
  <si>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</si>
  <si>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</si>
  <si>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</si>
  <si>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</si>
  <si>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</si>
  <si>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</si>
  <si>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</si>
  <si>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</si>
  <si>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</si>
  <si>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</si>
  <si>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</si>
  <si>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</si>
  <si>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</si>
  <si>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</si>
  <si>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</si>
  <si>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</si>
  <si>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</si>
  <si>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</si>
  <si>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</si>
  <si>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</si>
  <si>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</si>
  <si>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</si>
  <si>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</si>
  <si>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</si>
  <si>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</si>
  <si>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</si>
  <si>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</si>
  <si>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</si>
  <si>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</si>
  <si>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</si>
  <si>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</si>
  <si>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</si>
  <si>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</si>
  <si>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</si>
  <si>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</si>
  <si>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</si>
  <si>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</si>
  <si>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</si>
  <si>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</si>
  <si>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</si>
  <si>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</si>
  <si>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</si>
  <si>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</si>
  <si>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</si>
  <si>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</si>
  <si>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</si>
  <si>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</si>
  <si>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</si>
  <si>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</si>
  <si>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</si>
  <si>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</si>
  <si>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</si>
  <si>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</si>
  <si>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</si>
  <si>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</si>
  <si>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</si>
  <si>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</si>
  <si>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</si>
  <si>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</si>
  <si>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</si>
  <si>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</si>
  <si>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</si>
  <si>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</si>
  <si>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</si>
  <si>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</si>
  <si>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</si>
  <si>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</si>
  <si>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</si>
  <si>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</si>
  <si>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</si>
  <si>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</si>
  <si>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</si>
  <si>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</si>
  <si>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</si>
  <si>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</si>
  <si>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</si>
  <si>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</si>
  <si>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</si>
  <si>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</si>
  <si>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</si>
  <si>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</si>
  <si>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</si>
  <si>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</si>
  <si>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</si>
  <si>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</si>
  <si>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</si>
  <si>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</si>
  <si>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</si>
  <si>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</si>
  <si>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</si>
  <si>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</si>
  <si>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</si>
  <si>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</si>
  <si>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</si>
  <si>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</si>
  <si>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</si>
  <si>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</si>
  <si>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</si>
  <si>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</si>
  <si>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</si>
  <si>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</si>
  <si>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</si>
  <si>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</si>
  <si>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</si>
  <si>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</si>
  <si>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</si>
  <si>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</si>
  <si>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</si>
  <si>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</si>
  <si>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</si>
  <si>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</si>
  <si>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</si>
  <si>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</si>
  <si>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</si>
  <si>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</si>
  <si>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</si>
  <si>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</si>
  <si>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</si>
  <si>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</si>
  <si>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</si>
  <si>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</si>
  <si>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</si>
  <si>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</si>
  <si>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</si>
  <si>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</si>
  <si>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</si>
  <si>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</si>
  <si>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</si>
  <si>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</si>
  <si>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</si>
  <si>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</si>
  <si>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</si>
  <si>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</si>
  <si>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</si>
  <si>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</si>
  <si>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</si>
  <si>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</si>
  <si>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</si>
  <si>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</si>
  <si>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</si>
  <si>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</si>
  <si>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</si>
  <si>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</si>
  <si>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</si>
  <si>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</si>
  <si>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</si>
  <si>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</si>
  <si>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</si>
  <si>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</si>
  <si>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</si>
  <si>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</si>
  <si>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</si>
  <si>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</si>
  <si>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</si>
  <si>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</si>
  <si>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</si>
  <si>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</si>
  <si>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</si>
  <si>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</si>
  <si>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</si>
  <si>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</si>
  <si>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</si>
  <si>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</si>
  <si>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</si>
  <si>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</si>
  <si>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</si>
  <si>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</si>
  <si>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</si>
  <si>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</si>
  <si>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</si>
  <si>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</si>
  <si>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</si>
  <si>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</si>
  <si>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</si>
  <si>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</si>
  <si>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</si>
  <si>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</si>
  <si>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</si>
  <si>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</si>
  <si>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</si>
  <si>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</si>
  <si>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</si>
  <si>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</si>
  <si>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</si>
  <si>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</si>
  <si>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</si>
  <si>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</si>
  <si>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</si>
  <si>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</si>
  <si>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</si>
  <si>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</si>
  <si>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</si>
  <si>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</si>
  <si>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</si>
  <si>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</si>
  <si>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</si>
  <si>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</si>
  <si>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</si>
  <si>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</si>
  <si>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</si>
  <si>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</si>
  <si>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</si>
  <si>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</si>
  <si>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</si>
  <si>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</si>
  <si>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</si>
  <si>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</si>
  <si>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</si>
  <si>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</si>
  <si>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</si>
  <si>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</si>
  <si>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</si>
  <si>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</si>
  <si>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</si>
  <si>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</si>
  <si>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</si>
  <si>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</si>
  <si>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</si>
  <si>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</si>
  <si>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</si>
  <si>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</si>
  <si>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</si>
  <si>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</si>
  <si>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</si>
  <si>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</si>
  <si>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</si>
  <si>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</si>
  <si>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</si>
  <si>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</si>
  <si>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</si>
  <si>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</si>
  <si>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</si>
  <si>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</si>
  <si>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</si>
  <si>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</si>
  <si>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</si>
  <si>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</si>
  <si>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</si>
  <si>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</si>
  <si>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</si>
  <si>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</si>
  <si>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</si>
  <si>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</si>
  <si>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</si>
  <si>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</si>
  <si>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</si>
  <si>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</si>
  <si>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</si>
  <si>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</si>
  <si>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</si>
  <si>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</si>
  <si>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</si>
  <si>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</si>
  <si>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</si>
  <si>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</si>
  <si>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</si>
  <si>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</si>
  <si>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</si>
  <si>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</si>
  <si>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</si>
  <si>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</si>
  <si>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</si>
  <si>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</si>
  <si>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</si>
  <si>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</si>
  <si>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</si>
  <si>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</si>
  <si>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</si>
  <si>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</si>
  <si>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</si>
  <si>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</si>
  <si>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</si>
  <si>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</si>
  <si>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</si>
  <si>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</si>
  <si>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</si>
  <si>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</si>
  <si>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</si>
  <si>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</si>
  <si>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</si>
  <si>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</si>
  <si>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</si>
  <si>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</si>
  <si>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</si>
  <si>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</si>
  <si>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</si>
  <si>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</si>
  <si>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</si>
  <si>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</si>
  <si>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</si>
  <si>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</si>
  <si>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</si>
  <si>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</si>
  <si>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</si>
  <si>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</si>
  <si>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</si>
  <si>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</si>
  <si>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</si>
  <si>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</si>
  <si>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</si>
  <si>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</si>
  <si>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</si>
  <si>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</si>
  <si>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</si>
  <si>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</si>
  <si>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</si>
  <si>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</si>
  <si>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</si>
  <si>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</si>
  <si>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</si>
  <si>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</si>
  <si>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</si>
  <si>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</si>
  <si>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</si>
  <si>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</si>
  <si>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</si>
  <si>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</si>
  <si>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</si>
  <si>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</si>
  <si>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</si>
  <si>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</si>
  <si>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</si>
  <si>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</si>
  <si>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</si>
  <si>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</si>
  <si>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</si>
  <si>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</si>
  <si>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</si>
  <si>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</si>
  <si>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</si>
  <si>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</si>
  <si>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</si>
  <si>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</si>
  <si>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</si>
  <si>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</si>
  <si>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</si>
  <si>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</si>
  <si>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</si>
  <si>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</si>
  <si>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</si>
  <si>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</si>
  <si>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</si>
  <si>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</si>
  <si>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</si>
  <si>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</si>
  <si>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</si>
  <si>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</si>
  <si>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</si>
  <si>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</si>
  <si>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</si>
  <si>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</si>
  <si>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</si>
  <si>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</si>
  <si>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</si>
  <si>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</si>
  <si>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</si>
  <si>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</si>
  <si>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</si>
  <si>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</si>
  <si>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</si>
  <si>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</si>
  <si>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</si>
  <si>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</si>
  <si>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</si>
  <si>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</si>
  <si>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</si>
  <si>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</si>
  <si>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</si>
  <si>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</si>
  <si>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</si>
  <si>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</si>
  <si>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</si>
  <si>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</si>
  <si>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</si>
  <si>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</si>
  <si>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</si>
  <si>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</si>
  <si>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</si>
  <si>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</si>
  <si>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</si>
  <si>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</si>
  <si>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</si>
  <si>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</si>
  <si>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</si>
  <si>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</si>
  <si>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</si>
  <si>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</si>
  <si>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</si>
  <si>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キラキラ輝くダイアモンド5.0カラット。一般的には手に入らない、希少価値がものすごく高い。</t>
    <rPh sb="4" eb="5">
      <t>カガヤ</t>
    </rPh>
    <rPh sb="20" eb="23">
      <t>イッパンテキ</t>
    </rPh>
    <rPh sb="25" eb="26">
      <t>テ</t>
    </rPh>
    <rPh sb="27" eb="28">
      <t>ハイ</t>
    </rPh>
    <rPh sb="32" eb="34">
      <t>キショウ</t>
    </rPh>
    <rPh sb="34" eb="36">
      <t>カチ</t>
    </rPh>
    <rPh sb="42" eb="43">
      <t>タカ</t>
    </rPh>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</si>
  <si>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</si>
  <si>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</si>
  <si>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</si>
  <si>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</si>
  <si>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</si>
  <si>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</si>
  <si>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</si>
  <si>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</si>
  <si>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</si>
  <si>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</si>
  <si>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</si>
  <si>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</si>
  <si>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</si>
  <si>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</si>
  <si>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</si>
  <si>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</si>
  <si>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</si>
  <si>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</si>
  <si>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</si>
  <si>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</si>
  <si>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</si>
  <si>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</si>
  <si>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</si>
  <si>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</si>
  <si>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</si>
  <si>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</si>
  <si>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</si>
  <si>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</si>
  <si>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</si>
  <si>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</si>
  <si>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</si>
  <si>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</si>
  <si>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</si>
  <si>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</si>
  <si>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</si>
  <si>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</si>
  <si>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</si>
  <si>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</si>
  <si>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</si>
  <si>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</si>
  <si>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</si>
  <si>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</si>
  <si>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</si>
  <si>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</si>
  <si>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</si>
  <si>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</si>
  <si>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</si>
  <si>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</si>
  <si>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</si>
  <si>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</si>
  <si>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</si>
  <si>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</si>
  <si>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</si>
  <si>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</si>
  <si>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</si>
  <si>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</si>
  <si>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</si>
  <si>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</si>
  <si>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</si>
  <si>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</si>
  <si>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</si>
  <si>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</si>
  <si>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</si>
  <si>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</si>
  <si>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</si>
  <si>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</si>
  <si>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</si>
  <si>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</si>
  <si>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</si>
  <si>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</si>
  <si>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</si>
  <si>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</si>
  <si>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</si>
  <si>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</si>
  <si>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</si>
  <si>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</si>
  <si>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</si>
  <si>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</si>
  <si>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</si>
  <si>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</si>
  <si>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</si>
  <si>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</si>
  <si>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</si>
  <si>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</si>
  <si>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</si>
  <si>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</si>
  <si>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</si>
  <si>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</si>
  <si>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</si>
  <si>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</si>
  <si>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</si>
  <si>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</si>
  <si>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</si>
  <si>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</si>
  <si>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</si>
  <si>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</si>
  <si>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</si>
  <si>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</si>
  <si>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</si>
  <si>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</si>
  <si>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</si>
  <si>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</si>
  <si>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</si>
  <si>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</si>
  <si>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</si>
  <si>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</si>
  <si>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</si>
  <si>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</si>
  <si>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</si>
  <si>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</si>
  <si>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</si>
  <si>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</si>
  <si>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</si>
  <si>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</si>
  <si>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</si>
  <si>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</si>
  <si>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</si>
  <si>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</si>
  <si>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</si>
  <si>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</si>
  <si>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</si>
  <si>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</si>
  <si>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</si>
  <si>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</si>
  <si>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</si>
  <si>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</si>
  <si>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</si>
  <si>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</si>
  <si>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</si>
  <si>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</si>
  <si>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</si>
  <si>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</si>
  <si>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</si>
  <si>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</si>
  <si>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</si>
  <si>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</si>
  <si>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</si>
  <si>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</si>
  <si>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</si>
  <si>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</si>
  <si>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</si>
  <si>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</si>
  <si>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</si>
  <si>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</si>
  <si>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</si>
  <si>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</si>
  <si>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</si>
  <si>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</si>
  <si>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</si>
  <si>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</si>
  <si>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</si>
  <si>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</si>
  <si>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</si>
  <si>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くまのぬいぐるみ。女の子がとても喜ぶ。毛並みがふわふわしている。</t>
    <rPh sb="9" eb="10">
      <t>オンナ</t>
    </rPh>
    <rPh sb="11" eb="12">
      <t>コ</t>
    </rPh>
    <rPh sb="16" eb="17">
      <t>ヨロコ</t>
    </rPh>
    <rPh sb="19" eb="21">
      <t>ケナ</t>
    </rPh>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</si>
  <si>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</si>
  <si>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</si>
  <si>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</si>
  <si>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</si>
  <si>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</si>
  <si>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</si>
  <si>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</si>
  <si>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</si>
  <si>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</si>
  <si>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</si>
  <si>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</si>
  <si>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</si>
  <si>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</si>
  <si>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</si>
  <si>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</si>
  <si>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</si>
  <si>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</si>
  <si>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</si>
  <si>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</si>
  <si>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</si>
  <si>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</si>
  <si>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</si>
  <si>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</si>
  <si>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</si>
  <si>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</si>
  <si>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</si>
  <si>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</si>
  <si>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</si>
  <si>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</si>
  <si>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</si>
  <si>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</si>
  <si>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</si>
  <si>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</si>
  <si>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</si>
  <si>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</si>
  <si>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</si>
  <si>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</si>
  <si>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</si>
  <si>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</si>
  <si>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</si>
  <si>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</si>
  <si>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</si>
  <si>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</si>
  <si>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</si>
  <si>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</si>
  <si>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</si>
  <si>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</si>
  <si>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</si>
  <si>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</si>
  <si>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</si>
  <si>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</si>
  <si>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</si>
  <si>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</si>
  <si>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</si>
  <si>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</si>
  <si>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</si>
  <si>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</si>
  <si>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</si>
  <si>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</si>
  <si>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</si>
  <si>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</si>
  <si>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</si>
  <si>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</si>
  <si>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</si>
  <si>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</si>
  <si>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</si>
  <si>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</si>
  <si>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</si>
  <si>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</si>
  <si>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</si>
  <si>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</si>
  <si>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</si>
  <si>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</si>
  <si>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</si>
  <si>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</si>
  <si>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</si>
  <si>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</si>
  <si>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</si>
  <si>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</si>
  <si>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</si>
  <si>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</si>
  <si>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</si>
  <si>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</si>
  <si>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</si>
  <si>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</si>
  <si>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</si>
  <si>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</si>
  <si>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</si>
  <si>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</si>
  <si>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</si>
  <si>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</si>
  <si>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</si>
  <si>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</si>
  <si>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</si>
  <si>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</si>
  <si>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</si>
  <si>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</si>
  <si>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</si>
  <si>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</si>
  <si>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</si>
  <si>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</si>
  <si>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</si>
  <si>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</si>
  <si>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</si>
  <si>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</si>
  <si>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</si>
  <si>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</si>
  <si>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</si>
  <si>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</si>
  <si>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</si>
  <si>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</si>
  <si>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</si>
  <si>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</si>
  <si>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</si>
  <si>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</si>
  <si>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</si>
  <si>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</si>
  <si>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</si>
  <si>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</si>
  <si>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</si>
  <si>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</si>
  <si>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</si>
  <si>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</si>
  <si>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</si>
  <si>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</si>
  <si>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</si>
  <si>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</si>
  <si>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</si>
  <si>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</si>
  <si>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</si>
  <si>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</si>
  <si>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</si>
  <si>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</si>
  <si>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</si>
  <si>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</si>
  <si>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</si>
  <si>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</si>
  <si>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</si>
  <si>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</si>
  <si>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</si>
  <si>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</si>
  <si>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</si>
  <si>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</si>
  <si>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</si>
  <si>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</si>
  <si>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</si>
  <si>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</si>
  <si>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</si>
  <si>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</si>
  <si>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</si>
  <si>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</si>
  <si>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</si>
  <si>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</si>
  <si>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</si>
  <si>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</si>
  <si>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</si>
  <si>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</si>
  <si>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</si>
  <si>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</si>
  <si>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</si>
  <si>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</si>
  <si>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</si>
  <si>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</si>
  <si>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</si>
  <si>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</si>
  <si>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</si>
  <si>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</si>
  <si>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</si>
  <si>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</si>
  <si>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</si>
  <si>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</si>
  <si>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</si>
  <si>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</si>
  <si>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</si>
  <si>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</si>
  <si>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</si>
  <si>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</si>
  <si>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</si>
  <si>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</si>
  <si>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</si>
  <si>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</si>
  <si>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</si>
  <si>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</si>
  <si>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</si>
  <si>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</si>
  <si>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</si>
  <si>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</si>
  <si>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</si>
  <si>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</si>
  <si>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</si>
  <si>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</si>
  <si>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</si>
  <si>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</si>
  <si>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</si>
  <si>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</si>
  <si>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</si>
  <si>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</si>
  <si>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</si>
  <si>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</si>
  <si>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</si>
  <si>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</si>
  <si>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</si>
  <si>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</si>
  <si>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</si>
  <si>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</si>
  <si>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</si>
  <si>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</si>
  <si>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</si>
  <si>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</si>
  <si>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</si>
  <si>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</si>
  <si>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</si>
  <si>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</si>
  <si>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</si>
  <si>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</si>
  <si>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</si>
  <si>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</si>
  <si>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</si>
  <si>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</si>
  <si>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</si>
  <si>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</si>
  <si>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</si>
  <si>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</si>
  <si>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</si>
  <si>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</si>
  <si>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</si>
  <si>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</si>
  <si>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</si>
  <si>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</si>
  <si>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</si>
  <si>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</si>
  <si>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</si>
  <si>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</si>
  <si>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</si>
  <si>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</si>
  <si>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</si>
  <si>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</si>
  <si>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</si>
  <si>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</si>
  <si>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</si>
  <si>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</si>
  <si>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</si>
  <si>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福を呼ぶ招き猫の置物。お祈り効果により、調合成功率が5%上がる。</t>
    <rPh sb="0" eb="1">
      <t>フク</t>
    </rPh>
    <rPh sb="2" eb="3">
      <t>ヨ</t>
    </rPh>
    <rPh sb="4" eb="5">
      <t>マネ</t>
    </rPh>
    <rPh sb="6" eb="7">
      <t>ネコ</t>
    </rPh>
    <rPh sb="8" eb="10">
      <t>オキモノ</t>
    </rPh>
    <rPh sb="12" eb="13">
      <t>イノ</t>
    </rPh>
    <rPh sb="14" eb="16">
      <t>コウカ</t>
    </rPh>
    <rPh sb="20" eb="22">
      <t>チョウゴウ</t>
    </rPh>
    <rPh sb="22" eb="24">
      <t>セイコウ</t>
    </rPh>
    <rPh sb="24" eb="25">
      <t>リツ</t>
    </rPh>
    <rPh sb="28" eb="29">
      <t>ア</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</si>
  <si>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</si>
  <si>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</si>
  <si>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</si>
  <si>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</si>
  <si>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</si>
  <si>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</si>
  <si>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</si>
  <si>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</si>
  <si>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</si>
  <si>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</si>
  <si>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</si>
  <si>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</si>
  <si>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</si>
  <si>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</si>
  <si>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</si>
  <si>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</si>
  <si>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</si>
  <si>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</si>
  <si>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</si>
  <si>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</si>
  <si>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</si>
  <si>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</si>
  <si>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</si>
  <si>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</si>
  <si>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</si>
  <si>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</si>
  <si>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</si>
  <si>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</si>
  <si>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</si>
  <si>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</si>
  <si>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</si>
  <si>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</si>
  <si>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</si>
  <si>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</si>
  <si>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</si>
  <si>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</si>
  <si>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</si>
  <si>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</si>
  <si>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</si>
  <si>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</si>
  <si>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</si>
  <si>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</si>
  <si>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</si>
  <si>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</si>
  <si>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</si>
  <si>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</si>
  <si>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</si>
  <si>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</si>
  <si>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</si>
  <si>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</si>
  <si>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</si>
  <si>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</si>
  <si>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</si>
  <si>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</si>
  <si>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</si>
  <si>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</si>
  <si>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</si>
  <si>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</si>
  <si>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</si>
  <si>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</si>
  <si>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</si>
  <si>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</si>
  <si>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</si>
  <si>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</si>
  <si>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</si>
  <si>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</si>
  <si>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</si>
  <si>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</si>
  <si>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</si>
  <si>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</si>
  <si>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</si>
  <si>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</si>
  <si>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</si>
  <si>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</si>
  <si>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</si>
  <si>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</si>
  <si>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</si>
  <si>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</si>
  <si>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</si>
  <si>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</si>
  <si>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</si>
  <si>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</si>
  <si>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</si>
  <si>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</si>
  <si>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</si>
  <si>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</si>
  <si>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</si>
  <si>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</si>
  <si>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</si>
  <si>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</si>
  <si>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</si>
  <si>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</si>
  <si>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</si>
  <si>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</si>
  <si>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</si>
  <si>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</si>
  <si>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</si>
  <si>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</si>
  <si>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</si>
  <si>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</si>
  <si>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</si>
  <si>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</si>
  <si>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</si>
  <si>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</si>
  <si>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</si>
  <si>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</si>
  <si>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</si>
  <si>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</si>
  <si>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</si>
  <si>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</si>
  <si>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</si>
  <si>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</si>
  <si>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</si>
  <si>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</si>
  <si>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</si>
  <si>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</si>
  <si>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</si>
  <si>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</si>
  <si>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</si>
  <si>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</si>
  <si>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</si>
  <si>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</si>
  <si>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</si>
  <si>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</si>
  <si>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</si>
  <si>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</si>
  <si>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</si>
  <si>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</si>
  <si>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</si>
  <si>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</si>
  <si>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</si>
  <si>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</si>
  <si>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</si>
  <si>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</si>
  <si>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</si>
  <si>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</si>
  <si>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</si>
  <si>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</si>
  <si>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</si>
  <si>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</si>
  <si>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</si>
  <si>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</si>
  <si>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</si>
  <si>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</si>
  <si>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</si>
  <si>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</si>
  <si>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</si>
  <si>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</si>
  <si>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</si>
  <si>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</si>
  <si>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</si>
  <si>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</si>
  <si>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</si>
  <si>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</si>
  <si>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</si>
  <si>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</si>
  <si>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</si>
  <si>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</si>
  <si>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</si>
  <si>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</si>
  <si>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</si>
  <si>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</si>
  <si>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</si>
  <si>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</si>
  <si>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</si>
  <si>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</si>
  <si>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</si>
  <si>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</si>
  <si>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</si>
  <si>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</si>
  <si>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</si>
  <si>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</si>
  <si>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</si>
  <si>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</si>
  <si>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</si>
  <si>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</si>
  <si>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</si>
  <si>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</si>
  <si>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</si>
  <si>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</si>
  <si>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</si>
  <si>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</si>
  <si>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</si>
  <si>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</si>
  <si>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</si>
  <si>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</si>
  <si>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</si>
  <si>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</si>
  <si>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</si>
  <si>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</si>
  <si>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</si>
  <si>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</si>
  <si>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</si>
  <si>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</si>
  <si>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</si>
  <si>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</si>
  <si>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</si>
  <si>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スイートポーション＜微糖＞</t>
    <rPh sb="10" eb="12">
      <t>ビトウ</t>
    </rPh>
    <phoneticPr fontId="2"/>
  </si>
  <si>
    <t>ビターポーション</t>
    <phoneticPr fontId="2"/>
  </si>
  <si>
    <t>苦味だけが抽出されたお菓子用のポーション。クセがなくすっきりした苦味。味に影響がほとんどない。</t>
    <rPh sb="0" eb="2">
      <t>ニガミ</t>
    </rPh>
    <rPh sb="5" eb="7">
      <t>チュウシュツ</t>
    </rPh>
    <rPh sb="11" eb="13">
      <t>カシ</t>
    </rPh>
    <rPh sb="13" eb="14">
      <t>ヨウ</t>
    </rPh>
    <rPh sb="32" eb="34">
      <t>ニガミ</t>
    </rPh>
    <rPh sb="35" eb="36">
      <t>アジ</t>
    </rPh>
    <rPh sb="37" eb="39">
      <t>エイキョウ</t>
    </rPh>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</si>
  <si>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</si>
  <si>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</si>
  <si>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</si>
  <si>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</si>
  <si>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</si>
  <si>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</si>
  <si>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シュワシュワサワーな、レモンのポーション。酸っぱさを足せる。</t>
    <rPh sb="21" eb="22">
      <t>ス</t>
    </rPh>
    <rPh sb="26" eb="27">
      <t>タ</t>
    </rPh>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</si>
  <si>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</si>
  <si>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</si>
  <si>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</si>
  <si>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</si>
  <si>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</si>
  <si>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</si>
  <si>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</si>
  <si>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</si>
  <si>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</si>
  <si>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</si>
  <si>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</si>
  <si>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</si>
  <si>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かまどLv2。特注のお菓子作り用の焼き窯。全ての焼き系お菓子の食感が+75・調合成功率10%アップ。</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rPh sb="38" eb="40">
      <t>チョウゴウ</t>
    </rPh>
    <rPh sb="40" eb="43">
      <t>セイコウリツ</t>
    </rPh>
    <phoneticPr fontId="2"/>
  </si>
  <si>
    <t>かまどLv3。表面に金をあしらった焼き窯。全ての焼き系お菓子の食感が+150・調合成功率20%アップ。</t>
    <rPh sb="7" eb="9">
      <t>ヒョウメン</t>
    </rPh>
    <rPh sb="10" eb="11">
      <t>キン</t>
    </rPh>
    <rPh sb="17" eb="18">
      <t>ヤ</t>
    </rPh>
    <rPh sb="19" eb="20">
      <t>カマ</t>
    </rPh>
    <rPh sb="21" eb="22">
      <t>スベ</t>
    </rPh>
    <rPh sb="24" eb="25">
      <t>ヤ</t>
    </rPh>
    <rPh sb="26" eb="27">
      <t>ケイ</t>
    </rPh>
    <rPh sb="28" eb="30">
      <t>カシ</t>
    </rPh>
    <rPh sb="31" eb="33">
      <t>ショクカン</t>
    </rPh>
    <rPh sb="39" eb="41">
      <t>チョウゴウ</t>
    </rPh>
    <rPh sb="41" eb="44">
      <t>セイコウリツ</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</si>
  <si>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</si>
  <si>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</si>
  <si>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</si>
  <si>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</si>
  <si>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</si>
  <si>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</si>
  <si>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</si>
  <si>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</si>
  <si>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</si>
  <si>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</si>
  <si>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</si>
  <si>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</si>
  <si>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</si>
  <si>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</si>
  <si>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</si>
  <si>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</si>
  <si>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</si>
  <si>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</si>
  <si>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</si>
  <si>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</si>
  <si>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</si>
  <si>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</si>
  <si>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</si>
  <si>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</si>
  <si>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</si>
  <si>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</si>
  <si>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</si>
  <si>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</si>
  <si>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</si>
  <si>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</si>
  <si>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</si>
  <si>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</si>
  <si>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</si>
  <si>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</si>
  <si>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</si>
  <si>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</si>
  <si>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</si>
  <si>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</si>
  <si>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</si>
  <si>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</si>
  <si>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</si>
  <si>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</si>
  <si>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</si>
  <si>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</si>
  <si>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</si>
  <si>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</si>
  <si>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</si>
  <si>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</si>
  <si>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</si>
  <si>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</si>
  <si>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</si>
  <si>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</si>
  <si>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</si>
  <si>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</si>
  <si>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</si>
  <si>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</si>
  <si>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</si>
  <si>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</si>
  <si>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</si>
  <si>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</si>
  <si>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</si>
  <si>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</si>
  <si>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</si>
  <si>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</si>
  <si>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</si>
  <si>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</si>
  <si>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</si>
  <si>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</si>
  <si>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</si>
  <si>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</si>
  <si>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</si>
  <si>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</si>
  <si>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</si>
  <si>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</si>
  <si>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</si>
  <si>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</si>
  <si>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</si>
  <si>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</si>
  <si>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</si>
  <si>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</si>
  <si>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</si>
  <si>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</si>
  <si>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</si>
  <si>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</si>
  <si>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</si>
  <si>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</si>
  <si>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</si>
  <si>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</si>
  <si>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</si>
  <si>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</si>
  <si>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</si>
  <si>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</si>
  <si>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</si>
  <si>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</si>
  <si>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</si>
  <si>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</si>
  <si>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</si>
  <si>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</si>
  <si>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</si>
  <si>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</si>
  <si>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</si>
  <si>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</si>
  <si>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</si>
  <si>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</si>
  <si>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</si>
  <si>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</si>
  <si>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</si>
  <si>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</si>
  <si>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</si>
  <si>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</si>
  <si>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</si>
  <si>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</si>
  <si>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</si>
  <si>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</si>
  <si>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</si>
  <si>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</si>
  <si>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</si>
  <si>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</si>
  <si>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</si>
  <si>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</si>
  <si>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</si>
  <si>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</si>
  <si>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</si>
  <si>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</si>
  <si>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</si>
  <si>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</si>
  <si>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</si>
  <si>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</si>
  <si>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</si>
  <si>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</si>
  <si>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</si>
  <si>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</si>
  <si>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</si>
  <si>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</si>
  <si>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</si>
  <si>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</si>
  <si>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</si>
  <si>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</si>
  <si>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</si>
  <si>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</si>
  <si>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</si>
  <si>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</si>
  <si>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クッキー+50</t>
    <phoneticPr fontId="2"/>
  </si>
  <si>
    <t>クッキーの食感が+50される、不思議な宝石。持ってるだけで効果アリ。</t>
    <rPh sb="5" eb="7">
      <t>ショクカン</t>
    </rPh>
    <rPh sb="15" eb="18">
      <t>フシギ</t>
    </rPh>
    <rPh sb="19" eb="21">
      <t>ホウセキ</t>
    </rPh>
    <rPh sb="22" eb="23">
      <t>モ</t>
    </rPh>
    <rPh sb="29" eb="31">
      <t>コウカ</t>
    </rPh>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</si>
  <si>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</si>
  <si>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</si>
  <si>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</si>
  <si>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</si>
  <si>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</si>
  <si>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</si>
  <si>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</si>
  <si>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</si>
  <si>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</si>
  <si>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</si>
  <si>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クレープの食感が+50される、不思議な宝石。持ってるだけで効果アリ。</t>
    <rPh sb="5" eb="7">
      <t>ショクカン</t>
    </rPh>
    <rPh sb="15" eb="18">
      <t>フシギ</t>
    </rPh>
    <rPh sb="19" eb="21">
      <t>ホウセキ</t>
    </rPh>
    <rPh sb="22" eb="23">
      <t>モ</t>
    </rPh>
    <rPh sb="29" eb="31">
      <t>コウカ</t>
    </rPh>
    <phoneticPr fontId="2"/>
  </si>
  <si>
    <t>クレープ+5</t>
    <phoneticPr fontId="2"/>
  </si>
  <si>
    <t>クレープ+50</t>
    <phoneticPr fontId="2"/>
  </si>
  <si>
    <t>ティー+5</t>
    <phoneticPr fontId="2"/>
  </si>
  <si>
    <t>ティー+50</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</si>
  <si>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</si>
  <si>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</si>
  <si>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</si>
  <si>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</si>
  <si>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</si>
  <si>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</si>
  <si>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ティーの香りが+50される、不思議な宝石。持ってるだけで効果アリ。</t>
    <rPh sb="4" eb="5">
      <t>カオ</t>
    </rPh>
    <rPh sb="14" eb="17">
      <t>フシギ</t>
    </rPh>
    <rPh sb="18" eb="20">
      <t>ホウセキ</t>
    </rPh>
    <rPh sb="21" eb="22">
      <t>モ</t>
    </rPh>
    <rPh sb="28" eb="30">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</si>
  <si>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</si>
  <si>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</si>
  <si>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</si>
  <si>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</si>
  <si>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</si>
  <si>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</si>
  <si>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</si>
  <si>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</si>
  <si>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</si>
  <si>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</si>
  <si>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</si>
  <si>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</si>
  <si>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</si>
  <si>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</si>
  <si>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</si>
  <si>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</si>
  <si>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</si>
  <si>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</si>
  <si>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</si>
  <si>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</si>
  <si>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</si>
  <si>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</si>
  <si>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</si>
  <si>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</si>
  <si>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</si>
  <si>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</si>
  <si>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</si>
  <si>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</si>
  <si>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クッキーの食感が+15される、不思議なフリル。持ってるだけで効果アリ。</t>
    <rPh sb="5" eb="7">
      <t>ショクカン</t>
    </rPh>
    <rPh sb="15" eb="18">
      <t>フシギ</t>
    </rPh>
    <rPh sb="23" eb="24">
      <t>モ</t>
    </rPh>
    <rPh sb="30" eb="32">
      <t>コウカ</t>
    </rPh>
    <phoneticPr fontId="2"/>
  </si>
  <si>
    <t>クッキーの食感が+25される、不思議なフリル。持ってるだけで効果アリ。</t>
    <rPh sb="5" eb="7">
      <t>ショクカン</t>
    </rPh>
    <rPh sb="15" eb="18">
      <t>フシギ</t>
    </rPh>
    <rPh sb="23" eb="24">
      <t>モ</t>
    </rPh>
    <rPh sb="30" eb="32">
      <t>コウカ</t>
    </rPh>
    <phoneticPr fontId="2"/>
  </si>
  <si>
    <t>クレープの食感が+10される、不思議なハンカチ。やわらかいふわふわ素材。</t>
    <rPh sb="5" eb="7">
      <t>ショクカン</t>
    </rPh>
    <rPh sb="15" eb="18">
      <t>フシギ</t>
    </rPh>
    <rPh sb="33" eb="35">
      <t>ソザイ</t>
    </rPh>
    <phoneticPr fontId="2"/>
  </si>
  <si>
    <t>クレープの食感が+15される、不思議なハンカチ。刺繍がかわいい。</t>
    <rPh sb="5" eb="7">
      <t>ショクカン</t>
    </rPh>
    <rPh sb="15" eb="18">
      <t>フシギ</t>
    </rPh>
    <rPh sb="24" eb="26">
      <t>シシュウ</t>
    </rPh>
    <phoneticPr fontId="2"/>
  </si>
  <si>
    <t>クレープの食感が+25される、不思議なハンカチ。ふんわりした素材で、少し甘い香りがする。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</si>
  <si>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ティーの香りが+10される、不思議なティーカップ。少し古めのアンティーク調。</t>
    <rPh sb="4" eb="5">
      <t>カオ</t>
    </rPh>
    <rPh sb="14" eb="17">
      <t>フシギ</t>
    </rPh>
    <rPh sb="25" eb="26">
      <t>スコ</t>
    </rPh>
    <rPh sb="27" eb="28">
      <t>フル</t>
    </rPh>
    <rPh sb="36" eb="37">
      <t>チョウ</t>
    </rPh>
    <phoneticPr fontId="2"/>
  </si>
  <si>
    <t>キャンディの食感が+20される、不思議なイヤリング。あまいあまい、おまじない。</t>
    <rPh sb="6" eb="8">
      <t>ショクカン</t>
    </rPh>
    <rPh sb="16" eb="19">
      <t>フシギ</t>
    </rPh>
    <phoneticPr fontId="2"/>
  </si>
  <si>
    <t>大人のお菓子の食感が+15される、不思議なペンダント。天使がお菓子に魔法をかけてくれる。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</si>
  <si>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ヒカリの作るお菓子の食感が+10される、不思議なベル。ひんやりした音がする。</t>
    <rPh sb="4" eb="5">
      <t>ツク</t>
    </rPh>
    <rPh sb="7" eb="9">
      <t>カシ</t>
    </rPh>
    <rPh sb="10" eb="12">
      <t>ショクカン</t>
    </rPh>
    <rPh sb="20" eb="23">
      <t>フシギ</t>
    </rPh>
    <rPh sb="33" eb="34">
      <t>オト</t>
    </rPh>
    <phoneticPr fontId="2"/>
  </si>
  <si>
    <t>ヒカリの作るお菓子の食感が+20される、不思議なベル。明るく高い音がする。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</si>
  <si>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ヒカリの作るお菓子の食感が+30される、不思議なベル。包むようなやわらかい音がする。</t>
    <rPh sb="4" eb="5">
      <t>ツク</t>
    </rPh>
    <rPh sb="7" eb="9">
      <t>カシ</t>
    </rPh>
    <rPh sb="10" eb="12">
      <t>ショクカン</t>
    </rPh>
    <rPh sb="20" eb="23">
      <t>フシギ</t>
    </rPh>
    <rPh sb="27" eb="28">
      <t>ツツ</t>
    </rPh>
    <rPh sb="37" eb="38">
      <t>オト</t>
    </rPh>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</si>
  <si>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</si>
  <si>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</si>
  <si>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</si>
  <si>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</si>
  <si>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</si>
  <si>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</si>
  <si>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</si>
  <si>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</si>
  <si>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</si>
  <si>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</si>
  <si>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</si>
  <si>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</si>
  <si>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</si>
  <si>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</si>
  <si>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</si>
  <si>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</si>
  <si>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</si>
  <si>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</si>
  <si>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</si>
  <si>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</si>
  <si>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</si>
  <si>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</si>
  <si>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</si>
  <si>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</si>
  <si>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</si>
  <si>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</si>
  <si>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</si>
  <si>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</si>
  <si>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</si>
  <si>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</si>
  <si>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</si>
  <si>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</si>
  <si>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</si>
  <si>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</si>
  <si>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</si>
  <si>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</si>
  <si>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</si>
  <si>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</si>
  <si>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</si>
  <si>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</si>
  <si>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</si>
  <si>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</si>
  <si>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</si>
  <si>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</si>
  <si>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</si>
  <si>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</si>
  <si>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</si>
  <si>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</si>
  <si>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</si>
  <si>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</si>
  <si>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ティーの香りが+30される、不思議なティーカップ。お花の柄が描かれている。</t>
    <rPh sb="4" eb="5">
      <t>カオ</t>
    </rPh>
    <rPh sb="14" eb="17">
      <t>フシギ</t>
    </rPh>
    <rPh sb="26" eb="27">
      <t>ハナ</t>
    </rPh>
    <rPh sb="28" eb="29">
      <t>ガラ</t>
    </rPh>
    <rPh sb="30" eb="31">
      <t>カ</t>
    </rPh>
    <phoneticPr fontId="2"/>
  </si>
  <si>
    <t>ティーの香りが+20される、不思議なティーカップ。アンティークで、欧風の香りがする。</t>
    <rPh sb="4" eb="5">
      <t>カオ</t>
    </rPh>
    <rPh sb="14" eb="17">
      <t>フシギ</t>
    </rPh>
    <rPh sb="33" eb="35">
      <t>オウフウ</t>
    </rPh>
    <rPh sb="36" eb="37">
      <t>カオ</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</si>
  <si>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</si>
  <si>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</si>
  <si>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</si>
  <si>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</si>
  <si>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</si>
  <si>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</si>
  <si>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</si>
  <si>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</si>
  <si>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</si>
  <si>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</si>
  <si>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</si>
  <si>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</si>
  <si>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</si>
  <si>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</si>
  <si>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</si>
  <si>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</si>
  <si>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</si>
  <si>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</si>
  <si>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</si>
  <si>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</si>
  <si>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</si>
  <si>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</si>
  <si>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</si>
  <si>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</si>
  <si>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</si>
  <si>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</si>
  <si>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</si>
  <si>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</si>
  <si>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</si>
  <si>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</si>
  <si>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</si>
  <si>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</si>
  <si>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</si>
  <si>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</si>
  <si>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</si>
  <si>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</si>
  <si>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</si>
  <si>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</si>
  <si>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</si>
  <si>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</si>
  <si>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</si>
  <si>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</si>
  <si>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</si>
  <si>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</si>
  <si>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</si>
  <si>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</si>
  <si>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</si>
  <si>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</si>
  <si>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</si>
  <si>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</si>
  <si>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</si>
  <si>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</si>
  <si>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</si>
  <si>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</si>
  <si>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</si>
  <si>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</si>
  <si>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</si>
  <si>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</si>
  <si>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</si>
  <si>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</si>
  <si>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</si>
  <si>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</si>
  <si>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</si>
  <si>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</si>
  <si>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</si>
  <si>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</si>
  <si>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</si>
  <si>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</si>
  <si>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</si>
  <si>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</si>
  <si>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</si>
  <si>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</si>
  <si>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</si>
  <si>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</si>
  <si>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</si>
  <si>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</si>
  <si>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</si>
  <si>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</si>
  <si>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</si>
  <si>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</si>
  <si>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</si>
  <si>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</si>
  <si>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月のりんご</t>
    <rPh sb="0" eb="1">
      <t>ツキ</t>
    </rPh>
    <phoneticPr fontId="2"/>
  </si>
  <si>
    <t>月の木からとれる銀色に輝くりんご。さわやかな甘みと酸味がたまらない。</t>
    <rPh sb="0" eb="1">
      <t>ツキ</t>
    </rPh>
    <rPh sb="2" eb="3">
      <t>キ</t>
    </rPh>
    <rPh sb="8" eb="10">
      <t>ギンイロ</t>
    </rPh>
    <rPh sb="11" eb="12">
      <t>カガヤ</t>
    </rPh>
    <rPh sb="22" eb="23">
      <t>アマ</t>
    </rPh>
    <rPh sb="25" eb="27">
      <t>サンミ</t>
    </rPh>
    <phoneticPr fontId="2"/>
  </si>
  <si>
    <t>moon_apple</t>
    <phoneticPr fontId="2"/>
  </si>
  <si>
    <t>太陽のオレンジ</t>
    <rPh sb="0" eb="2">
      <t>タイヨウ</t>
    </rPh>
    <phoneticPr fontId="2"/>
  </si>
  <si>
    <t>orange_of_sun</t>
    <phoneticPr fontId="2"/>
  </si>
  <si>
    <t>長い年月太陽をゆっくり浴びて、大きく育ったオレンジ。甘みが強く、ジューシー。</t>
    <rPh sb="0" eb="1">
      <t>ナガ</t>
    </rPh>
    <rPh sb="2" eb="4">
      <t>ネンゲツ</t>
    </rPh>
    <rPh sb="4" eb="6">
      <t>タイヨウ</t>
    </rPh>
    <rPh sb="11" eb="12">
      <t>ア</t>
    </rPh>
    <rPh sb="15" eb="16">
      <t>オオ</t>
    </rPh>
    <rPh sb="18" eb="19">
      <t>ソダ</t>
    </rPh>
    <rPh sb="26" eb="27">
      <t>アマ</t>
    </rPh>
    <rPh sb="29" eb="30">
      <t>ツヨ</t>
    </rPh>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</si>
  <si>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</si>
  <si>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</si>
  <si>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</si>
  <si>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</si>
  <si>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</si>
  <si>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</si>
  <si>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</si>
  <si>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</si>
  <si>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</si>
  <si>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</si>
  <si>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</si>
  <si>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</si>
  <si>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</si>
  <si>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</si>
  <si>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</si>
  <si>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</si>
  <si>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</si>
  <si>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</si>
  <si>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</si>
  <si>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</si>
  <si>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</si>
  <si>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</si>
  <si>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</si>
  <si>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</si>
  <si>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</si>
  <si>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</si>
  <si>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</si>
  <si>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</si>
  <si>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</si>
  <si>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</si>
  <si>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</si>
  <si>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</si>
  <si>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</si>
  <si>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</si>
  <si>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</si>
  <si>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</si>
  <si>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</si>
  <si>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</si>
  <si>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</si>
  <si>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</si>
  <si>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</si>
  <si>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</si>
  <si>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</si>
  <si>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</si>
  <si>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</si>
  <si>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</si>
  <si>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</si>
  <si>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</si>
  <si>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</si>
  <si>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</si>
  <si>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</si>
  <si>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</si>
  <si>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</si>
  <si>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</si>
  <si>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</si>
  <si>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</si>
  <si>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</si>
  <si>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</si>
  <si>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</si>
  <si>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</si>
  <si>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</si>
  <si>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</si>
  <si>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</si>
  <si>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</si>
  <si>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</si>
  <si>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</si>
  <si>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</si>
  <si>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</si>
  <si>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</si>
  <si>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</si>
  <si>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</si>
  <si>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</si>
  <si>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</si>
  <si>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</si>
  <si>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</si>
  <si>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</si>
  <si>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</si>
  <si>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</si>
  <si>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</si>
  <si>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</si>
  <si>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</si>
  <si>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</si>
  <si>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</si>
  <si>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</si>
  <si>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</si>
  <si>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</si>
  <si>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</si>
  <si>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a_Marsara</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</si>
  <si>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</si>
  <si>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</si>
  <si>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</si>
  <si>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</si>
  <si>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</si>
  <si>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</si>
  <si>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</si>
  <si>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</si>
  <si>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</si>
  <si>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</si>
  <si>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</si>
  <si>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</si>
  <si>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</si>
  <si>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</si>
  <si>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</si>
  <si>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</si>
  <si>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</si>
  <si>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</si>
  <si>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</si>
  <si>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</si>
  <si>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</si>
  <si>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</si>
  <si>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</si>
  <si>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</si>
  <si>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</si>
  <si>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</si>
  <si>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</si>
  <si>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</si>
  <si>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</si>
  <si>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</si>
  <si>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</si>
  <si>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</si>
  <si>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</si>
  <si>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</si>
  <si>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</si>
  <si>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</si>
  <si>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</si>
  <si>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</si>
  <si>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</si>
  <si>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</si>
  <si>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</si>
  <si>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</si>
  <si>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</si>
  <si>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</si>
  <si>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</si>
  <si>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</si>
  <si>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</si>
  <si>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</si>
  <si>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</si>
  <si>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</si>
  <si>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</si>
  <si>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</si>
  <si>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</si>
  <si>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</si>
  <si>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</si>
  <si>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</si>
  <si>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</si>
  <si>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</si>
  <si>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</si>
  <si>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</si>
  <si>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</si>
  <si>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</si>
  <si>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</si>
  <si>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</si>
  <si>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</si>
  <si>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</si>
  <si>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</si>
  <si>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</si>
  <si>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</si>
  <si>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</si>
  <si>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</si>
  <si>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</si>
  <si>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</si>
  <si>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</si>
  <si>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</si>
  <si>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</si>
  <si>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</si>
  <si>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</si>
  <si>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</si>
  <si>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</si>
  <si>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</si>
  <si>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</si>
  <si>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</si>
  <si>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</si>
  <si>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</si>
  <si>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</si>
  <si>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</si>
  <si>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</si>
  <si>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</si>
  <si>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</si>
  <si>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</si>
  <si>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</si>
  <si>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</si>
  <si>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</si>
  <si>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</si>
  <si>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</si>
  <si>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</si>
  <si>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</si>
  <si>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</si>
  <si>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</si>
  <si>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</si>
  <si>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</si>
  <si>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</si>
  <si>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</si>
  <si>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</si>
  <si>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</si>
  <si>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</si>
  <si>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</si>
  <si>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</si>
  <si>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</si>
  <si>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</si>
  <si>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</si>
  <si>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</si>
  <si>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</si>
  <si>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</si>
  <si>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</si>
  <si>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</si>
  <si>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</si>
  <si>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</si>
  <si>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</si>
  <si>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水に風魔法をかけて、ツイスト状にした水。このままでは崩れてしまう。</t>
    <rPh sb="0" eb="1">
      <t>ミズ</t>
    </rPh>
    <rPh sb="2" eb="3">
      <t>カゼ</t>
    </rPh>
    <rPh sb="3" eb="5">
      <t>マホウ</t>
    </rPh>
    <rPh sb="14" eb="15">
      <t>ジョウ</t>
    </rPh>
    <rPh sb="18" eb="19">
      <t>ミズ</t>
    </rPh>
    <rPh sb="26" eb="27">
      <t>クズ</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</si>
  <si>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</si>
  <si>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</si>
  <si>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</si>
  <si>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</si>
  <si>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</si>
  <si>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</si>
  <si>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</si>
  <si>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トルネード状に凍ったミルク</t>
    <rPh sb="5" eb="6">
      <t>ジョウ</t>
    </rPh>
    <rPh sb="7" eb="8">
      <t>コオ</t>
    </rPh>
    <phoneticPr fontId="2"/>
  </si>
  <si>
    <t>ミルクを冷やして固めたもの。トルネード状に凍っており、見た目は派手。</t>
    <rPh sb="4" eb="5">
      <t>ヒ</t>
    </rPh>
    <rPh sb="8" eb="9">
      <t>カタ</t>
    </rPh>
    <rPh sb="19" eb="20">
      <t>ジョウ</t>
    </rPh>
    <rPh sb="21" eb="22">
      <t>コオ</t>
    </rPh>
    <rPh sb="27" eb="28">
      <t>ミ</t>
    </rPh>
    <rPh sb="29" eb="30">
      <t>メ</t>
    </rPh>
    <rPh sb="31" eb="33">
      <t>ハデ</t>
    </rPh>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</si>
  <si>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</si>
  <si>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</si>
  <si>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</si>
  <si>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</si>
  <si>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</si>
  <si>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</si>
  <si>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</si>
  <si>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</si>
  <si>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</si>
  <si>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</si>
  <si>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</si>
  <si>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</si>
  <si>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</si>
  <si>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</si>
  <si>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</si>
  <si>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</si>
  <si>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</si>
  <si>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</si>
  <si>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</si>
  <si>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</si>
  <si>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</si>
  <si>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</si>
  <si>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</si>
  <si>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</si>
  <si>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</si>
  <si>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</si>
  <si>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</si>
  <si>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</si>
  <si>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</si>
  <si>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</si>
  <si>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</si>
  <si>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</si>
  <si>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</si>
  <si>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</si>
  <si>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</si>
  <si>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</si>
  <si>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</si>
  <si>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</si>
  <si>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</si>
  <si>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</si>
  <si>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</si>
  <si>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</si>
  <si>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</si>
  <si>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</si>
  <si>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</si>
  <si>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</si>
  <si>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</si>
  <si>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</si>
  <si>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</si>
  <si>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</si>
  <si>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</si>
  <si>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</si>
  <si>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</si>
  <si>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</si>
  <si>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</si>
  <si>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</si>
  <si>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</si>
  <si>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</si>
  <si>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</si>
  <si>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</si>
  <si>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</si>
  <si>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</si>
  <si>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</si>
  <si>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</si>
  <si>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</si>
  <si>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</si>
  <si>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</si>
  <si>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</si>
  <si>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</si>
  <si>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</si>
  <si>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</si>
  <si>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</si>
  <si>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</si>
  <si>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Glow</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</si>
  <si>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</si>
  <si>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</si>
  <si>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</si>
  <si>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</si>
  <si>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</si>
  <si>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</si>
  <si>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</si>
  <si>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</si>
  <si>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</si>
  <si>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</si>
  <si>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</si>
  <si>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</si>
  <si>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</si>
  <si>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</si>
  <si>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</si>
  <si>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</si>
  <si>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</si>
  <si>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</si>
  <si>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</si>
  <si>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</si>
  <si>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</si>
  <si>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</si>
  <si>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</si>
  <si>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</si>
  <si>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</si>
  <si>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</si>
  <si>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</si>
  <si>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</si>
  <si>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</si>
  <si>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</si>
  <si>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</si>
  <si>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</si>
  <si>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</si>
  <si>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</si>
  <si>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</si>
  <si>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</si>
  <si>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</si>
  <si>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</si>
  <si>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</si>
  <si>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</si>
  <si>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</si>
  <si>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</si>
  <si>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</si>
  <si>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</si>
  <si>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</si>
  <si>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</si>
  <si>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</si>
  <si>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</si>
  <si>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</si>
  <si>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</si>
  <si>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</si>
  <si>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</si>
  <si>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</si>
  <si>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</si>
  <si>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</si>
  <si>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</si>
  <si>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</si>
  <si>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</si>
  <si>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</si>
  <si>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</si>
  <si>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</si>
  <si>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</si>
  <si>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</si>
  <si>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牛乳を熟成させて出来る、香り高い油。無塩なのでしょっぱくない。支給用。</t>
    <rPh sb="0" eb="2">
      <t>ギュウニュウ</t>
    </rPh>
    <rPh sb="3" eb="5">
      <t>ジュクセイ</t>
    </rPh>
    <rPh sb="8" eb="10">
      <t>デキ</t>
    </rPh>
    <rPh sb="12" eb="13">
      <t>カオ</t>
    </rPh>
    <rPh sb="14" eb="15">
      <t>タカ</t>
    </rPh>
    <rPh sb="16" eb="17">
      <t>アブラ</t>
    </rPh>
    <rPh sb="18" eb="20">
      <t>ムエン</t>
    </rPh>
    <rPh sb="31" eb="33">
      <t>シキュウ</t>
    </rPh>
    <rPh sb="33" eb="34">
      <t>ヨウ</t>
    </rPh>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</si>
  <si>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</si>
  <si>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</si>
  <si>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</si>
  <si>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</si>
  <si>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</si>
  <si>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</si>
  <si>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</si>
  <si>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</si>
  <si>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</si>
  <si>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</si>
  <si>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</si>
  <si>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</si>
  <si>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</si>
  <si>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</si>
  <si>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</si>
  <si>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</si>
  <si>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</si>
  <si>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</si>
  <si>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</si>
  <si>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</si>
  <si>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</si>
  <si>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</si>
  <si>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</si>
  <si>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</si>
  <si>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</si>
  <si>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</si>
  <si>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</si>
  <si>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</si>
  <si>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</si>
  <si>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</si>
  <si>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</si>
  <si>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</si>
  <si>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</si>
  <si>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</si>
  <si>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</si>
  <si>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</si>
  <si>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</si>
  <si>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</si>
  <si>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</si>
  <si>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</si>
  <si>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</si>
  <si>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</si>
  <si>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</si>
  <si>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</si>
  <si>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</si>
  <si>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</si>
  <si>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</si>
  <si>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</si>
  <si>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</si>
  <si>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</si>
  <si>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</si>
  <si>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</si>
  <si>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</si>
  <si>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</si>
  <si>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</si>
  <si>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</si>
  <si>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</si>
  <si>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</si>
  <si>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</si>
  <si>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</si>
  <si>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</si>
  <si>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</si>
  <si>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</si>
  <si>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</si>
  <si>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</si>
  <si>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</si>
  <si>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</si>
  <si>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</si>
  <si>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</si>
  <si>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</si>
  <si>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</si>
  <si>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</si>
  <si>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</si>
  <si>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</si>
  <si>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</si>
  <si>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</si>
  <si>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</si>
  <si>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</si>
  <si>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</si>
  <si>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</si>
  <si>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</si>
  <si>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</si>
  <si>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</si>
  <si>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</si>
  <si>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</si>
  <si>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</si>
  <si>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</si>
  <si>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</si>
  <si>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</si>
  <si>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</si>
  <si>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</si>
  <si>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</si>
  <si>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</si>
  <si>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</si>
  <si>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</si>
  <si>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</si>
  <si>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</si>
  <si>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栗</t>
    <rPh sb="0" eb="1">
      <t>クリ</t>
    </rPh>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</si>
  <si>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</si>
  <si>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</si>
  <si>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</si>
  <si>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</si>
  <si>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</si>
  <si>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</si>
  <si>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</si>
  <si>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</si>
  <si>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</si>
  <si>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</si>
  <si>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</si>
  <si>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</si>
  <si>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</si>
  <si>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</si>
  <si>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</si>
  <si>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</si>
  <si>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</si>
  <si>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</si>
  <si>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</si>
  <si>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</si>
  <si>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</si>
  <si>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</si>
  <si>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</si>
  <si>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</si>
  <si>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</si>
  <si>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</si>
  <si>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</si>
  <si>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</si>
  <si>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</si>
  <si>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</si>
  <si>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</si>
  <si>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</si>
  <si>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</si>
  <si>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</si>
  <si>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</si>
  <si>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</si>
  <si>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</si>
  <si>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</si>
  <si>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</si>
  <si>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</si>
  <si>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</si>
  <si>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</si>
  <si>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</si>
  <si>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</si>
  <si>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</si>
  <si>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</si>
  <si>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</si>
  <si>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</si>
  <si>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</si>
  <si>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</si>
  <si>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</si>
  <si>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</si>
  <si>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</si>
  <si>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</si>
  <si>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</si>
  <si>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</si>
  <si>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</si>
  <si>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</si>
  <si>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</si>
  <si>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</si>
  <si>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</si>
  <si>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</si>
  <si>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</si>
  <si>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</si>
  <si>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</si>
  <si>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</si>
  <si>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</si>
  <si>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</si>
  <si>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</si>
  <si>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</si>
  <si>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</si>
  <si>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</si>
  <si>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</si>
  <si>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</si>
  <si>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</si>
  <si>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</si>
  <si>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</si>
  <si>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</si>
  <si>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</si>
  <si>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</si>
  <si>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</si>
  <si>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生地をコロコロ引き延ばすための木の棒。持ってるだけで、クッキーのさくさく感を底上げする。</t>
    <rPh sb="0" eb="2">
      <t>キジ</t>
    </rPh>
    <rPh sb="7" eb="8">
      <t>ヒ</t>
    </rPh>
    <rPh sb="9" eb="10">
      <t>ノ</t>
    </rPh>
    <rPh sb="15" eb="16">
      <t>キ</t>
    </rPh>
    <rPh sb="17" eb="18">
      <t>ボウ</t>
    </rPh>
    <rPh sb="19" eb="20">
      <t>モ</t>
    </rPh>
    <rPh sb="36" eb="37">
      <t>カン</t>
    </rPh>
    <rPh sb="38" eb="40">
      <t>ソコア</t>
    </rPh>
    <phoneticPr fontId="2"/>
  </si>
  <si>
    <t>生地をコロコロ引き延ばすための木の棒。クッキーのサクサク感をかなり上昇する。少し高価だが良質な一品。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</si>
  <si>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生地をコロコロ引き延ばすための木の棒。めん棒の中でも、特に高品質。クッキーのサクサク感がより上昇する。</t>
    <rPh sb="0" eb="2">
      <t>キジ</t>
    </rPh>
    <rPh sb="7" eb="8">
      <t>ヒ</t>
    </rPh>
    <rPh sb="9" eb="10">
      <t>ノ</t>
    </rPh>
    <rPh sb="15" eb="16">
      <t>キ</t>
    </rPh>
    <rPh sb="17" eb="18">
      <t>ボウ</t>
    </rPh>
    <rPh sb="21" eb="22">
      <t>ボウ</t>
    </rPh>
    <rPh sb="23" eb="24">
      <t>ナカ</t>
    </rPh>
    <rPh sb="27" eb="28">
      <t>トク</t>
    </rPh>
    <rPh sb="29" eb="32">
      <t>コウヒンシツ</t>
    </rPh>
    <rPh sb="42" eb="43">
      <t>カン</t>
    </rPh>
    <rPh sb="46" eb="48">
      <t>ジョウショウ</t>
    </rPh>
    <phoneticPr fontId="2"/>
  </si>
  <si>
    <t>名門メーカーが作る最高級品。よく伸び、生地がしっとり美しく仕上がる。クッキーのサクサク感が最高に上がる。</t>
    <rPh sb="0" eb="2">
      <t>メイモン</t>
    </rPh>
    <rPh sb="7" eb="8">
      <t>ツク</t>
    </rPh>
    <rPh sb="9" eb="13">
      <t>サイコウキュウヒン</t>
    </rPh>
    <rPh sb="16" eb="17">
      <t>ノ</t>
    </rPh>
    <rPh sb="19" eb="21">
      <t>キジ</t>
    </rPh>
    <rPh sb="26" eb="27">
      <t>ウツク</t>
    </rPh>
    <rPh sb="29" eb="31">
      <t>シア</t>
    </rPh>
    <rPh sb="43" eb="44">
      <t>カン</t>
    </rPh>
    <rPh sb="45" eb="47">
      <t>サイコウ</t>
    </rPh>
    <rPh sb="48" eb="49">
      <t>ア</t>
    </rPh>
    <phoneticPr fontId="2"/>
  </si>
  <si>
    <t>生地をコロコロ引き延ばすための木の棒。クッキーのサクサク感を少し上げる。昔から使ってるので、だいぶボロついてきた。</t>
    <rPh sb="0" eb="2">
      <t>キジ</t>
    </rPh>
    <rPh sb="7" eb="8">
      <t>ヒ</t>
    </rPh>
    <rPh sb="9" eb="10">
      <t>ノ</t>
    </rPh>
    <rPh sb="15" eb="16">
      <t>キ</t>
    </rPh>
    <rPh sb="17" eb="18">
      <t>ボウ</t>
    </rPh>
    <rPh sb="28" eb="29">
      <t>カン</t>
    </rPh>
    <rPh sb="30" eb="31">
      <t>スコ</t>
    </rPh>
    <rPh sb="32" eb="33">
      <t>ア</t>
    </rPh>
    <rPh sb="36" eb="37">
      <t>ムカシ</t>
    </rPh>
    <rPh sb="39" eb="40">
      <t>ツカ</t>
    </rPh>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</si>
  <si>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</si>
  <si>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</si>
  <si>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</si>
  <si>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</si>
  <si>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</si>
  <si>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</si>
  <si>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</si>
  <si>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</si>
  <si>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</si>
  <si>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</si>
  <si>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</si>
  <si>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</si>
  <si>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</si>
  <si>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</si>
  <si>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</si>
  <si>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</si>
  <si>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</si>
  <si>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</si>
  <si>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</si>
  <si>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</si>
  <si>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</si>
  <si>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</si>
  <si>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</si>
  <si>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</si>
  <si>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</si>
  <si>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</si>
  <si>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</si>
  <si>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</si>
  <si>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</si>
  <si>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</si>
  <si>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</si>
  <si>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</si>
  <si>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</si>
  <si>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</si>
  <si>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</si>
  <si>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</si>
  <si>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</si>
  <si>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</si>
  <si>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</si>
  <si>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</si>
  <si>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</si>
  <si>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</si>
  <si>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</si>
  <si>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</si>
  <si>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</si>
  <si>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</si>
  <si>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</si>
  <si>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</si>
  <si>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</si>
  <si>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</si>
  <si>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</si>
  <si>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</si>
  <si>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</si>
  <si>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</si>
  <si>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</si>
  <si>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</si>
  <si>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</si>
  <si>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</si>
  <si>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とろりとミルク味が凝縮したシュガー。甘みが強く、栄養満点。ただし、歯ごたえはない。</t>
    <rPh sb="7" eb="8">
      <t>アジ</t>
    </rPh>
    <rPh sb="9" eb="11">
      <t>ギョウシュク</t>
    </rPh>
    <rPh sb="18" eb="19">
      <t>アマ</t>
    </rPh>
    <rPh sb="21" eb="22">
      <t>ツヨ</t>
    </rPh>
    <rPh sb="24" eb="26">
      <t>エイヨウ</t>
    </rPh>
    <rPh sb="26" eb="28">
      <t>マンテン</t>
    </rPh>
    <rPh sb="33" eb="34">
      <t>ハ</t>
    </rPh>
    <phoneticPr fontId="2"/>
  </si>
  <si>
    <t>氷砂糖</t>
    <rPh sb="0" eb="1">
      <t>コオリ</t>
    </rPh>
    <rPh sb="1" eb="3">
      <t>ザトウ</t>
    </rPh>
    <phoneticPr fontId="2"/>
  </si>
  <si>
    <t>ice_suger</t>
    <phoneticPr fontId="2"/>
  </si>
  <si>
    <t>氷のような見た目の砂糖。シャリシャリした食感で、歯ごたえがでる。</t>
    <rPh sb="0" eb="1">
      <t>コオリ</t>
    </rPh>
    <rPh sb="5" eb="6">
      <t>ミ</t>
    </rPh>
    <rPh sb="7" eb="8">
      <t>メ</t>
    </rPh>
    <rPh sb="9" eb="11">
      <t>サトウ</t>
    </rPh>
    <rPh sb="20" eb="22">
      <t>ショクカン</t>
    </rPh>
    <rPh sb="24" eb="25">
      <t>ハ</t>
    </rPh>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</si>
  <si>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</si>
  <si>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</si>
  <si>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</si>
  <si>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</si>
  <si>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</si>
  <si>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</si>
  <si>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</si>
  <si>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</si>
  <si>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</si>
  <si>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</si>
  <si>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</si>
  <si>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</si>
  <si>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</si>
  <si>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</si>
  <si>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</si>
  <si>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</si>
  <si>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</si>
  <si>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</si>
  <si>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</si>
  <si>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</si>
  <si>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</si>
  <si>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</si>
  <si>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</si>
  <si>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</si>
  <si>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</si>
  <si>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</si>
  <si>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</si>
  <si>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</si>
  <si>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</si>
  <si>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</si>
  <si>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</si>
  <si>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</si>
  <si>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</si>
  <si>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</si>
  <si>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Attribute1</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</si>
  <si>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</si>
  <si>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</si>
  <si>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</si>
  <si>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</si>
  <si>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</si>
  <si>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</si>
  <si>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</si>
  <si>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</si>
  <si>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</si>
  <si>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</si>
  <si>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</si>
  <si>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</si>
  <si>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</si>
  <si>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</si>
  <si>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</si>
  <si>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</si>
  <si>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</si>
  <si>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</si>
  <si>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</si>
  <si>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</si>
  <si>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</si>
  <si>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</si>
  <si>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</si>
  <si>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</si>
  <si>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</si>
  <si>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</si>
  <si>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</si>
  <si>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</si>
  <si>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</si>
  <si>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</si>
  <si>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</si>
  <si>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</si>
  <si>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</si>
  <si>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</si>
  <si>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</si>
  <si>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</si>
  <si>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</si>
  <si>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</si>
  <si>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</si>
  <si>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</si>
  <si>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</si>
  <si>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</si>
  <si>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</si>
  <si>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</si>
  <si>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</si>
  <si>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</si>
  <si>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</si>
  <si>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</si>
  <si>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</si>
  <si>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</si>
  <si>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</si>
  <si>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</si>
  <si>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</si>
  <si>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</si>
  <si>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</si>
  <si>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</si>
  <si>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</si>
  <si>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</si>
  <si>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</si>
  <si>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</si>
  <si>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</si>
  <si>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</si>
  <si>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</si>
  <si>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</si>
  <si>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</si>
  <si>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</si>
  <si>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</si>
  <si>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</si>
  <si>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</si>
  <si>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</si>
  <si>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</si>
  <si>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</si>
  <si>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</si>
  <si>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</si>
  <si>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</si>
  <si>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</si>
  <si>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</si>
  <si>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</si>
  <si>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</si>
  <si>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</si>
  <si>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</si>
  <si>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</si>
  <si>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</si>
  <si>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</si>
  <si>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</si>
  <si>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</si>
  <si>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</si>
  <si>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</si>
  <si>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</si>
  <si>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</si>
  <si>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</si>
  <si>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かまどLv4。表面にプラチナをあしらった焼き窯。全ての焼き系お菓子の食感が+200・調合成功率30%アップ。</t>
    <rPh sb="7" eb="9">
      <t>ヒョウメン</t>
    </rPh>
    <rPh sb="20" eb="21">
      <t>ヤ</t>
    </rPh>
    <rPh sb="22" eb="23">
      <t>カマ</t>
    </rPh>
    <rPh sb="24" eb="25">
      <t>スベ</t>
    </rPh>
    <rPh sb="27" eb="28">
      <t>ヤ</t>
    </rPh>
    <rPh sb="29" eb="30">
      <t>ケイ</t>
    </rPh>
    <rPh sb="31" eb="33">
      <t>カシ</t>
    </rPh>
    <rPh sb="34" eb="36">
      <t>ショクカン</t>
    </rPh>
    <rPh sb="42" eb="44">
      <t>チョウゴウ</t>
    </rPh>
    <rPh sb="44" eb="47">
      <t>セイコウリツ</t>
    </rPh>
    <phoneticPr fontId="2"/>
  </si>
  <si>
    <t>ケーキを焼くための丸形の器。生地が離れやすいように加工されている。</t>
    <rPh sb="4" eb="5">
      <t>ヤ</t>
    </rPh>
    <rPh sb="9" eb="11">
      <t>マルガタ</t>
    </rPh>
    <rPh sb="12" eb="13">
      <t>ウツワ</t>
    </rPh>
    <rPh sb="14" eb="16">
      <t>キジ</t>
    </rPh>
    <rPh sb="17" eb="18">
      <t>ハナ</t>
    </rPh>
    <rPh sb="25" eb="27">
      <t>カコウ</t>
    </rPh>
    <phoneticPr fontId="2"/>
  </si>
  <si>
    <t>cakemold_black</t>
    <phoneticPr fontId="2"/>
  </si>
  <si>
    <t>ケーキを焼くための丸形の器。ステンレス加工で、焼き上がりが良いと評判。</t>
    <rPh sb="4" eb="5">
      <t>ヤ</t>
    </rPh>
    <rPh sb="9" eb="11">
      <t>マルガタ</t>
    </rPh>
    <rPh sb="12" eb="13">
      <t>ウツワ</t>
    </rPh>
    <rPh sb="19" eb="21">
      <t>カコウ</t>
    </rPh>
    <rPh sb="23" eb="24">
      <t>ヤ</t>
    </rPh>
    <rPh sb="25" eb="26">
      <t>ア</t>
    </rPh>
    <rPh sb="29" eb="30">
      <t>ヨ</t>
    </rPh>
    <rPh sb="32" eb="34">
      <t>ヒョウバン</t>
    </rPh>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</si>
  <si>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</si>
  <si>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</si>
  <si>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</si>
  <si>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</si>
  <si>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</si>
  <si>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</si>
  <si>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</si>
  <si>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セルクル＜ブラック＞</t>
    <phoneticPr fontId="2"/>
  </si>
  <si>
    <t>高級セルクル＜ステンレス＞</t>
    <rPh sb="0" eb="2">
      <t>コウキュウ</t>
    </rPh>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</si>
  <si>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</si>
  <si>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</si>
  <si>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</si>
  <si>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</si>
  <si>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</si>
  <si>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</si>
  <si>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</si>
  <si>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</si>
  <si>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</si>
  <si>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</si>
  <si>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</si>
  <si>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</si>
  <si>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</si>
  <si>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</si>
  <si>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</si>
  <si>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</si>
  <si>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</si>
  <si>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</si>
  <si>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</si>
  <si>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</si>
  <si>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</si>
  <si>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</si>
  <si>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</si>
  <si>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</si>
  <si>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</si>
  <si>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</si>
  <si>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オーブンをうまく余熱する魔法の石。温度管理のスキルの効果をアップする。</t>
    <rPh sb="8" eb="10">
      <t>ヨネツ</t>
    </rPh>
    <rPh sb="12" eb="14">
      <t>マホウ</t>
    </rPh>
    <rPh sb="15" eb="16">
      <t>イシ</t>
    </rPh>
    <rPh sb="17" eb="21">
      <t>オンドカンリ</t>
    </rPh>
    <rPh sb="26" eb="28">
      <t>コウカ</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</si>
  <si>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</si>
  <si>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</si>
  <si>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</si>
  <si>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</si>
  <si>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</si>
  <si>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</si>
  <si>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</si>
  <si>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</si>
  <si>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</si>
  <si>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</si>
  <si>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</si>
  <si>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</si>
  <si>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</si>
  <si>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</si>
  <si>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</si>
  <si>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</si>
  <si>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</si>
  <si>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</si>
  <si>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</si>
  <si>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</si>
  <si>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</si>
  <si>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</si>
  <si>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</si>
  <si>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</si>
  <si>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</si>
  <si>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</si>
  <si>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</si>
  <si>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</si>
  <si>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</si>
  <si>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</si>
  <si>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</si>
  <si>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</si>
  <si>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</si>
  <si>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</si>
  <si>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</si>
  <si>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</si>
  <si>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</si>
  <si>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</si>
  <si>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</si>
  <si>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</si>
  <si>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</si>
  <si>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</si>
  <si>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</si>
  <si>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</si>
  <si>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</si>
  <si>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</si>
  <si>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</si>
  <si>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</si>
  <si>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</si>
  <si>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</si>
  <si>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</si>
  <si>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</si>
  <si>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</si>
  <si>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</si>
  <si>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</si>
  <si>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</si>
  <si>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</si>
  <si>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</si>
  <si>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</si>
  <si>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</si>
  <si>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</si>
  <si>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</si>
  <si>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</si>
  <si>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</si>
  <si>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</si>
  <si>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</si>
  <si>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</si>
  <si>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</si>
  <si>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</si>
  <si>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</si>
  <si>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</si>
  <si>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</si>
  <si>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</si>
  <si>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</si>
  <si>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</si>
  <si>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</si>
  <si>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</si>
  <si>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</si>
  <si>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</si>
  <si>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</si>
  <si>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</si>
  <si>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</si>
  <si>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</si>
  <si>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</si>
  <si>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</si>
  <si>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</si>
  <si>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</si>
  <si>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</si>
  <si>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色んな種類のおいもをフライにし、ミックスしたお菓子。バターと塩で食べれば.. 大地の恵を存分に楽しめる。</t>
    <rPh sb="0" eb="1">
      <t>イロ</t>
    </rPh>
    <rPh sb="3" eb="5">
      <t>シュルイ</t>
    </rPh>
    <rPh sb="23" eb="25">
      <t>カシ</t>
    </rPh>
    <rPh sb="30" eb="31">
      <t>シオ</t>
    </rPh>
    <rPh sb="32" eb="33">
      <t>タ</t>
    </rPh>
    <rPh sb="39" eb="41">
      <t>ダイチ</t>
    </rPh>
    <rPh sb="42" eb="43">
      <t>メグミ</t>
    </rPh>
    <rPh sb="44" eb="46">
      <t>ゾンブン</t>
    </rPh>
    <rPh sb="47" eb="48">
      <t>タノ</t>
    </rPh>
    <phoneticPr fontId="2"/>
  </si>
  <si>
    <t>クリーム・ブリュレ</t>
    <phoneticPr fontId="2"/>
  </si>
  <si>
    <t>cream_brulee</t>
    <phoneticPr fontId="2"/>
  </si>
  <si>
    <t>chocolate_black_twister</t>
    <phoneticPr fontId="2"/>
  </si>
  <si>
    <t>chocolate_green_twister</t>
    <phoneticPr fontId="2"/>
  </si>
  <si>
    <t>chocolate_blue_twister</t>
    <phoneticPr fontId="2"/>
  </si>
  <si>
    <t>milk_frozen_twister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</si>
  <si>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</si>
  <si>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</si>
  <si>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</si>
  <si>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</si>
  <si>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</si>
  <si>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</si>
  <si>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</si>
  <si>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</si>
  <si>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</si>
  <si>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</si>
  <si>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</si>
  <si>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</si>
  <si>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</si>
  <si>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</si>
  <si>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</si>
  <si>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</si>
  <si>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</si>
  <si>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</si>
  <si>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</si>
  <si>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</si>
  <si>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</si>
  <si>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</si>
  <si>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</si>
  <si>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</si>
  <si>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</si>
  <si>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</si>
  <si>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</si>
  <si>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</si>
  <si>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</si>
  <si>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</si>
  <si>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</si>
  <si>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</si>
  <si>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</si>
  <si>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</si>
  <si>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</si>
  <si>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</si>
  <si>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</si>
  <si>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</si>
  <si>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</si>
  <si>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</si>
  <si>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</si>
  <si>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</si>
  <si>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</si>
  <si>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</si>
  <si>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</si>
  <si>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</si>
  <si>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</si>
  <si>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</si>
  <si>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</si>
  <si>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</si>
  <si>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</si>
  <si>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</si>
  <si>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</si>
  <si>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</si>
  <si>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</si>
  <si>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</si>
  <si>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</si>
  <si>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</si>
  <si>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</si>
  <si>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</si>
  <si>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</si>
  <si>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</si>
  <si>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</si>
  <si>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</si>
  <si>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</si>
  <si>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</si>
  <si>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</si>
  <si>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</si>
  <si>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</si>
  <si>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</si>
  <si>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</si>
  <si>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</si>
  <si>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</si>
  <si>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</si>
  <si>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ミルクに風魔法をかけて、ツイスト状に空中に浮かぶミルク。飲もうとするとこぼれる。崩れるので、凍らせよう。</t>
    <rPh sb="4" eb="5">
      <t>カゼ</t>
    </rPh>
    <rPh sb="5" eb="7">
      <t>マホウ</t>
    </rPh>
    <rPh sb="16" eb="17">
      <t>ジョウ</t>
    </rPh>
    <rPh sb="18" eb="20">
      <t>クウチュウ</t>
    </rPh>
    <rPh sb="21" eb="22">
      <t>ウ</t>
    </rPh>
    <rPh sb="28" eb="29">
      <t>ノ</t>
    </rPh>
    <rPh sb="40" eb="41">
      <t>クズ</t>
    </rPh>
    <rPh sb="46" eb="47">
      <t>コオ</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</si>
  <si>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</si>
  <si>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</si>
  <si>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</si>
  <si>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</si>
  <si>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</si>
  <si>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</si>
  <si>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</si>
  <si>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</si>
  <si>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</si>
  <si>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</si>
  <si>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</si>
  <si>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</si>
  <si>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</si>
  <si>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</si>
  <si>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</si>
  <si>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</si>
  <si>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</si>
  <si>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</si>
  <si>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</si>
  <si>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</si>
  <si>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</si>
  <si>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</si>
  <si>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</si>
  <si>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</si>
  <si>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</si>
  <si>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</si>
  <si>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</si>
  <si>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</si>
  <si>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</si>
  <si>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</si>
  <si>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</si>
  <si>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</si>
  <si>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</si>
  <si>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</si>
  <si>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</si>
  <si>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</si>
  <si>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</si>
  <si>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</si>
  <si>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</si>
  <si>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</si>
  <si>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</si>
  <si>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</si>
  <si>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</si>
  <si>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</si>
  <si>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</si>
  <si>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</si>
  <si>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</si>
  <si>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</si>
  <si>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</si>
  <si>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</si>
  <si>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</si>
  <si>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</si>
  <si>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</si>
  <si>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</si>
  <si>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</si>
  <si>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</si>
  <si>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</si>
  <si>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</si>
  <si>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</si>
  <si>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</si>
  <si>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</si>
  <si>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</si>
  <si>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</si>
  <si>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</si>
  <si>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</si>
  <si>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</si>
  <si>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</si>
  <si>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</si>
  <si>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</si>
  <si>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</si>
  <si>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</si>
  <si>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</si>
  <si>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</si>
  <si>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</si>
  <si>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</si>
  <si>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</si>
  <si>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</si>
  <si>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</si>
  <si>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</si>
  <si>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</si>
  <si>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</si>
  <si>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</si>
  <si>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</si>
  <si>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</si>
  <si>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</si>
  <si>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</si>
  <si>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</si>
  <si>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</si>
  <si>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</si>
  <si>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</si>
  <si>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</si>
  <si>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</si>
  <si>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</si>
  <si>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</si>
  <si>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</si>
  <si>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</si>
  <si>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</si>
  <si>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</si>
  <si>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</si>
  <si>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</si>
  <si>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</si>
  <si>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</si>
  <si>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</si>
  <si>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</si>
  <si>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</si>
  <si>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</si>
  <si>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</si>
  <si>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</si>
  <si>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</si>
  <si>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</si>
  <si>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</si>
  <si>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</si>
  <si>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</si>
  <si>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</si>
  <si>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</si>
  <si>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</si>
  <si>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</si>
  <si>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</si>
  <si>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</si>
  <si>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</si>
  <si>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</si>
  <si>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</si>
  <si>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</si>
  <si>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</si>
  <si>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</si>
  <si>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</si>
  <si>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</si>
  <si>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</si>
  <si>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</si>
  <si>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</si>
  <si>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</si>
  <si>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</si>
  <si>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</si>
  <si>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</si>
  <si>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</si>
  <si>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</si>
  <si>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</si>
  <si>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</si>
  <si>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</si>
  <si>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</si>
  <si>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</si>
  <si>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</si>
  <si>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</si>
  <si>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</si>
  <si>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</si>
  <si>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</si>
  <si>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</si>
  <si>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</si>
  <si>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</si>
  <si>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</si>
  <si>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</si>
  <si>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</si>
  <si>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</si>
  <si>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</si>
  <si>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</si>
  <si>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</si>
  <si>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</si>
  <si>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</si>
  <si>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</si>
  <si>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</si>
  <si>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</si>
  <si>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</si>
  <si>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</si>
  <si>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</si>
  <si>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</si>
  <si>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</si>
  <si>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</si>
  <si>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</si>
  <si>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</si>
  <si>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</si>
  <si>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</si>
  <si>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</si>
  <si>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</si>
  <si>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</si>
  <si>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</si>
  <si>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</si>
  <si>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</si>
  <si>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</si>
  <si>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</si>
  <si>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</si>
  <si>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</si>
  <si>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</si>
  <si>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</si>
  <si>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</si>
  <si>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</si>
  <si>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</si>
  <si>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</si>
  <si>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</si>
  <si>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</si>
  <si>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</si>
  <si>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</si>
  <si>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</si>
  <si>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</si>
  <si>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</si>
  <si>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</si>
  <si>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</si>
  <si>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</si>
  <si>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</si>
  <si>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渦巻くミルク＜液体＞</t>
    <rPh sb="0" eb="2">
      <t>ウズマ</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</si>
  <si>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</si>
  <si>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</si>
  <si>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</si>
  <si>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</si>
  <si>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</si>
  <si>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</si>
  <si>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</si>
  <si>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</si>
  <si>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</si>
  <si>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</si>
  <si>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</si>
  <si>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</si>
  <si>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</si>
  <si>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</si>
  <si>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</si>
  <si>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</si>
  <si>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</si>
  <si>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</si>
  <si>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</si>
  <si>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</si>
  <si>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</si>
  <si>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</si>
  <si>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</si>
  <si>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</si>
  <si>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</si>
  <si>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</si>
  <si>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チョコレート・アーク</t>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</si>
  <si>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</si>
  <si>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</si>
  <si>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</si>
  <si>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</si>
  <si>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グリーン・アーク</t>
    <phoneticPr fontId="2"/>
  </si>
  <si>
    <t>ブルー・アーク</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</si>
  <si>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</si>
  <si>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</si>
  <si>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</si>
  <si>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</si>
  <si>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</si>
  <si>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</si>
  <si>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</si>
  <si>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</si>
  <si>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</si>
  <si>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</si>
  <si>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</si>
  <si>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</si>
  <si>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figure_bear_candy</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</si>
  <si>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</si>
  <si>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</si>
  <si>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</si>
  <si>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</si>
  <si>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</si>
  <si>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</si>
  <si>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</si>
  <si>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</si>
  <si>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シルバニアファミリーズ</t>
    <phoneticPr fontId="2"/>
  </si>
  <si>
    <t>お家の中で、どうぶつたちがせっせと生活しているお菓子。まるで生きているように動く。</t>
    <rPh sb="1" eb="2">
      <t>ウチ</t>
    </rPh>
    <rPh sb="3" eb="4">
      <t>ナカ</t>
    </rPh>
    <rPh sb="17" eb="19">
      <t>セイカツ</t>
    </rPh>
    <rPh sb="24" eb="26">
      <t>カシ</t>
    </rPh>
    <rPh sb="30" eb="31">
      <t>イ</t>
    </rPh>
    <rPh sb="38" eb="39">
      <t>ウゴ</t>
    </rPh>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</si>
  <si>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</si>
  <si>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</si>
  <si>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</si>
  <si>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</si>
  <si>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</si>
  <si>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</si>
  <si>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</si>
  <si>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</si>
  <si>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</si>
  <si>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</si>
  <si>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</si>
  <si>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</si>
  <si>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</si>
  <si>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</si>
  <si>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</si>
  <si>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</si>
  <si>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</si>
  <si>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</si>
  <si>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</si>
  <si>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</si>
  <si>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</si>
  <si>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</si>
  <si>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</si>
  <si>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</si>
  <si>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</si>
  <si>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</si>
  <si>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</si>
  <si>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</si>
  <si>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</si>
  <si>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</si>
  <si>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</si>
  <si>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</si>
  <si>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</si>
  <si>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</si>
  <si>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</si>
  <si>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</si>
  <si>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</si>
  <si>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</si>
  <si>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</si>
  <si>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</si>
  <si>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</si>
  <si>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</si>
  <si>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</si>
  <si>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</si>
  <si>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</si>
  <si>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</si>
  <si>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</si>
  <si>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</si>
  <si>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</si>
  <si>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</si>
  <si>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</si>
  <si>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</si>
  <si>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</si>
  <si>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</si>
  <si>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</si>
  <si>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</si>
  <si>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</si>
  <si>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</si>
  <si>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トッピング用のくまの形のチョコレート。いもうとなので、ちょっとちっちゃめ。</t>
    <rPh sb="5" eb="6">
      <t>ヨウ</t>
    </rPh>
    <rPh sb="10" eb="11">
      <t>カタチ</t>
    </rPh>
    <phoneticPr fontId="2"/>
  </si>
  <si>
    <t>トッピング用のくまの形のキャンディ。こっちはおにいさん。少し大きくガッシリ。</t>
    <rPh sb="5" eb="6">
      <t>ヨウ</t>
    </rPh>
    <rPh sb="10" eb="11">
      <t>カタチ</t>
    </rPh>
    <rPh sb="28" eb="29">
      <t>スコ</t>
    </rPh>
    <rPh sb="30" eb="31">
      <t>オオ</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</si>
  <si>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</si>
  <si>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</si>
  <si>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</si>
  <si>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</si>
  <si>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</si>
  <si>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</si>
  <si>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</si>
  <si>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</si>
  <si>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</si>
  <si>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</si>
  <si>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</si>
  <si>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</si>
  <si>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</si>
  <si>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</si>
  <si>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</si>
  <si>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</si>
  <si>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</si>
  <si>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ペリドットがはめこまれたペンダント。魔法の成功率が5%アップ。複数あっても効果は一つ分。</t>
    <rPh sb="18" eb="20">
      <t>マホウ</t>
    </rPh>
    <rPh sb="21" eb="24">
      <t>セイコウリツ</t>
    </rPh>
    <rPh sb="31" eb="33">
      <t>フクスウ</t>
    </rPh>
    <rPh sb="37" eb="39">
      <t>コウカ</t>
    </rPh>
    <rPh sb="40" eb="41">
      <t>ヒト</t>
    </rPh>
    <rPh sb="42" eb="43">
      <t>ブン</t>
    </rPh>
    <phoneticPr fontId="2"/>
  </si>
  <si>
    <t>星を閉じ込めたイエロートパーズのペンダント。魔法の成功率が10%アップ。</t>
    <rPh sb="0" eb="1">
      <t>ホシ</t>
    </rPh>
    <rPh sb="2" eb="3">
      <t>ト</t>
    </rPh>
    <rPh sb="4" eb="5">
      <t>コ</t>
    </rPh>
    <phoneticPr fontId="2"/>
  </si>
  <si>
    <t>アクアマリンがはめこまれたペンダント。魔法の成功率が15%アップ。</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</si>
  <si>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</si>
  <si>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</si>
  <si>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</si>
  <si>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</si>
  <si>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</si>
  <si>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</si>
  <si>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</si>
  <si>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</si>
  <si>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</si>
  <si>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</si>
  <si>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</si>
  <si>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</si>
  <si>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</si>
  <si>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</si>
  <si>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</si>
  <si>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</si>
  <si>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</si>
  <si>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</si>
  <si>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</si>
  <si>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</si>
  <si>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</si>
  <si>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</si>
  <si>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</si>
  <si>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</si>
  <si>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</si>
  <si>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</si>
  <si>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</si>
  <si>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</si>
  <si>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</si>
  <si>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</si>
  <si>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</si>
  <si>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</si>
  <si>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</si>
  <si>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アロマバブル・ラベンダー</t>
    <phoneticPr fontId="2"/>
  </si>
  <si>
    <t>aroma_bubble_lavender</t>
    <phoneticPr fontId="2"/>
  </si>
  <si>
    <t>ラベンダーのエキスを閉じ込めた泡のけむり。</t>
    <rPh sb="10" eb="11">
      <t>ト</t>
    </rPh>
    <rPh sb="12" eb="13">
      <t>コ</t>
    </rPh>
    <rPh sb="15" eb="16">
      <t>アワ</t>
    </rPh>
    <phoneticPr fontId="2"/>
  </si>
  <si>
    <t>アロマバブル・さくら</t>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</si>
  <si>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</si>
  <si>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</si>
  <si>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アロマバブル・アールグレイ</t>
    <phoneticPr fontId="2"/>
  </si>
  <si>
    <t>アロマバブル・エルダー</t>
    <phoneticPr fontId="2"/>
  </si>
  <si>
    <t>アロマバブル・あじさい</t>
    <phoneticPr fontId="2"/>
  </si>
  <si>
    <t>アロマバブル・ジャスミン</t>
    <phoneticPr fontId="2"/>
  </si>
  <si>
    <t>アロマバブル・ブラックトータス</t>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</si>
  <si>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</si>
  <si>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</si>
  <si>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</si>
  <si>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</si>
  <si>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</si>
  <si>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</si>
  <si>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</si>
  <si>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</si>
  <si>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</si>
  <si>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</si>
  <si>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</si>
  <si>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</si>
  <si>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</si>
  <si>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</si>
  <si>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</si>
  <si>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</si>
  <si>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</si>
  <si>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</si>
  <si>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ソーダに夕方の空を落としたような、不思議なオレンジ色のソーダ。やや青みがかっている。</t>
    <rPh sb="4" eb="6">
      <t>ユウガタ</t>
    </rPh>
    <rPh sb="7" eb="8">
      <t>ソラ</t>
    </rPh>
    <rPh sb="9" eb="10">
      <t>オ</t>
    </rPh>
    <rPh sb="17" eb="20">
      <t>フシギ</t>
    </rPh>
    <rPh sb="25" eb="26">
      <t>イロ</t>
    </rPh>
    <rPh sb="33" eb="34">
      <t>アオ</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</si>
  <si>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</si>
  <si>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</si>
  <si>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</si>
  <si>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</si>
  <si>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</si>
  <si>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GALAXY</t>
    <phoneticPr fontId="2"/>
  </si>
  <si>
    <t>soda_galaxy</t>
    <phoneticPr fontId="2"/>
  </si>
  <si>
    <t>夜空ソーダに星屑を振りまいた、銀河を思わせるソーダ。</t>
    <rPh sb="0" eb="2">
      <t>ヨゾラ</t>
    </rPh>
    <rPh sb="6" eb="8">
      <t>ホシクズ</t>
    </rPh>
    <rPh sb="9" eb="10">
      <t>フ</t>
    </rPh>
    <rPh sb="15" eb="17">
      <t>ギンガ</t>
    </rPh>
    <rPh sb="18" eb="19">
      <t>オモ</t>
    </rPh>
    <phoneticPr fontId="2"/>
  </si>
  <si>
    <t>ブルーのソーダに星屑を閉じ込めた、星空を思わせるソーダ。</t>
    <rPh sb="8" eb="10">
      <t>ホシクズ</t>
    </rPh>
    <rPh sb="11" eb="12">
      <t>ト</t>
    </rPh>
    <rPh sb="13" eb="14">
      <t>コ</t>
    </rPh>
    <rPh sb="17" eb="19">
      <t>ホシゾラ</t>
    </rPh>
    <rPh sb="20" eb="21">
      <t>オモ</t>
    </rPh>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</si>
  <si>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</si>
  <si>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</si>
  <si>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</si>
  <si>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</si>
  <si>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</si>
  <si>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</si>
  <si>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</si>
  <si>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</si>
  <si>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</si>
  <si>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</si>
  <si>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</si>
  <si>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</si>
  <si>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</si>
  <si>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</si>
  <si>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</si>
  <si>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Floating</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</si>
  <si>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</si>
  <si>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</si>
  <si>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</si>
  <si>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</si>
  <si>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</si>
  <si>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</si>
  <si>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</si>
  <si>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</si>
  <si>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</si>
  <si>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</si>
  <si>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</si>
  <si>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</si>
  <si>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</si>
  <si>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</si>
  <si>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</si>
  <si>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</si>
  <si>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</si>
  <si>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</si>
  <si>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くりをゆでたもの。そのままつぶして牛乳などと混ぜると、おいしいマロンペーストになる。</t>
    <rPh sb="17" eb="19">
      <t>ギュウニュウ</t>
    </rPh>
    <rPh sb="22" eb="23">
      <t>マ</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</si>
  <si>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</si>
  <si>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</si>
  <si>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</si>
  <si>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</si>
  <si>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</si>
  <si>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</si>
  <si>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</si>
  <si>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</si>
  <si>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</si>
  <si>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</si>
  <si>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</si>
  <si>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</si>
  <si>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</si>
  <si>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</si>
  <si>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</si>
  <si>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</si>
  <si>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</si>
  <si>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</si>
  <si>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</si>
  <si>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</si>
  <si>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</si>
  <si>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</si>
  <si>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</si>
  <si>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</si>
  <si>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</si>
  <si>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</si>
  <si>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</si>
  <si>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</si>
  <si>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</si>
  <si>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</si>
  <si>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</si>
  <si>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</si>
  <si>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</si>
  <si>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</si>
  <si>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</si>
  <si>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</si>
  <si>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</si>
  <si>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</si>
  <si>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</si>
  <si>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</si>
  <si>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</si>
  <si>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</si>
  <si>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</si>
  <si>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</si>
  <si>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</si>
  <si>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</si>
  <si>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</si>
  <si>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</si>
  <si>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</si>
  <si>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</si>
  <si>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</si>
  <si>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</si>
  <si>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</si>
  <si>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</si>
  <si>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</si>
  <si>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</si>
  <si>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</si>
  <si>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</si>
  <si>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</si>
  <si>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</si>
  <si>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</si>
  <si>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</si>
  <si>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</si>
  <si>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</si>
  <si>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</si>
  <si>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</si>
  <si>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</si>
  <si>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</si>
  <si>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</si>
  <si>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</si>
  <si>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</si>
  <si>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</si>
  <si>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</si>
  <si>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</si>
  <si>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</si>
  <si>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</si>
  <si>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</si>
  <si>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</si>
  <si>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</si>
  <si>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</si>
  <si>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</si>
  <si>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</si>
  <si>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</si>
  <si>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</si>
  <si>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</si>
  <si>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</si>
  <si>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</si>
  <si>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</si>
  <si>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</si>
  <si>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</si>
  <si>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</si>
  <si>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</si>
  <si>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</si>
  <si>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</si>
  <si>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</si>
  <si>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</si>
  <si>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</si>
  <si>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</si>
  <si>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</si>
  <si>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</si>
  <si>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</si>
  <si>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</si>
  <si>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</si>
  <si>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</si>
  <si>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</si>
  <si>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</si>
  <si>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</si>
  <si>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</si>
  <si>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</si>
  <si>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</si>
  <si>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</si>
  <si>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</si>
  <si>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</si>
  <si>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</si>
  <si>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</si>
  <si>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</si>
  <si>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</si>
  <si>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</si>
  <si>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</si>
  <si>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</si>
  <si>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</si>
  <si>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</si>
  <si>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</si>
  <si>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</si>
  <si>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</si>
  <si>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</si>
  <si>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</si>
  <si>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</si>
  <si>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</si>
  <si>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</si>
  <si>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</si>
  <si>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</si>
  <si>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</si>
  <si>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</si>
  <si>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</si>
  <si>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</si>
  <si>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</si>
  <si>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</si>
  <si>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</si>
  <si>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</si>
  <si>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</si>
  <si>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</si>
  <si>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</si>
  <si>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</si>
  <si>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</si>
  <si>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</si>
  <si>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</si>
  <si>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</si>
  <si>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</si>
  <si>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ブルージェム</t>
    <phoneticPr fontId="2"/>
  </si>
  <si>
    <t>青いピカピカの宝石。もってると、わずかに魔法の成功率が上がる。</t>
    <rPh sb="0" eb="1">
      <t>アオ</t>
    </rPh>
    <rPh sb="7" eb="9">
      <t>ホウセキ</t>
    </rPh>
    <rPh sb="20" eb="22">
      <t>マホウ</t>
    </rPh>
    <rPh sb="23" eb="26">
      <t>セイコウリツ</t>
    </rPh>
    <rPh sb="27" eb="28">
      <t>ア</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</si>
  <si>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</si>
  <si>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</si>
  <si>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</si>
  <si>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</si>
  <si>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</si>
  <si>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</si>
  <si>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</si>
  <si>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</si>
  <si>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</si>
  <si>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</si>
  <si>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</si>
  <si>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</si>
  <si>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</si>
  <si>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</si>
  <si>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</si>
  <si>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</si>
  <si>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チョコレートアイス</t>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</si>
  <si>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</si>
  <si>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</si>
  <si>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</si>
  <si>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</si>
  <si>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</si>
  <si>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</si>
  <si>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</si>
  <si>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</si>
  <si>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</si>
  <si>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</si>
  <si>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</si>
  <si>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</si>
  <si>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</si>
  <si>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</si>
  <si>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</si>
  <si>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</si>
  <si>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</si>
  <si>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</si>
  <si>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</si>
  <si>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</si>
  <si>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</si>
  <si>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</si>
  <si>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</si>
  <si>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</si>
  <si>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</si>
  <si>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</si>
  <si>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</si>
  <si>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</si>
  <si>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</si>
  <si>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</si>
  <si>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</si>
  <si>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</si>
  <si>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</si>
  <si>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すみれのエキスを抽出したアロマポーション。アールグレイティーに入れると、青色の紅茶ができあがる。</t>
    <rPh sb="8" eb="10">
      <t>チュウシュツ</t>
    </rPh>
    <rPh sb="31" eb="32">
      <t>イ</t>
    </rPh>
    <rPh sb="36" eb="38">
      <t>アオイロ</t>
    </rPh>
    <rPh sb="39" eb="41">
      <t>コウチャ</t>
    </rPh>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</si>
  <si>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</si>
  <si>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</si>
  <si>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</si>
  <si>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</si>
  <si>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</si>
  <si>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</si>
  <si>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</si>
  <si>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</si>
  <si>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</si>
  <si>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</si>
  <si>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</si>
  <si>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</si>
  <si>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</si>
  <si>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</si>
  <si>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</si>
  <si>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</si>
  <si>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</si>
  <si>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</si>
  <si>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</si>
  <si>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</si>
  <si>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</si>
  <si>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</si>
  <si>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</si>
  <si>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</si>
  <si>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</si>
  <si>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</si>
  <si>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</si>
  <si>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</si>
  <si>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</si>
  <si>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</si>
  <si>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</si>
  <si>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</si>
  <si>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</si>
  <si>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</si>
  <si>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</si>
  <si>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</si>
  <si>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</si>
  <si>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</si>
  <si>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</si>
  <si>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</si>
  <si>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</si>
  <si>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</si>
  <si>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</si>
  <si>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</si>
  <si>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</si>
  <si>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</si>
  <si>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</si>
  <si>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</si>
  <si>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</si>
  <si>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</si>
  <si>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板チョコホワイト</t>
    <rPh sb="0" eb="1">
      <t>イタ</t>
    </rPh>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</si>
  <si>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</si>
  <si>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</si>
  <si>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</si>
  <si>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</si>
  <si>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</si>
  <si>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</si>
  <si>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</si>
  <si>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</si>
  <si>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</si>
  <si>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</si>
  <si>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</si>
  <si>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</si>
  <si>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</si>
  <si>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</si>
  <si>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</si>
  <si>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</si>
  <si>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</si>
  <si>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</si>
  <si>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</si>
  <si>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</si>
  <si>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</si>
  <si>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</si>
  <si>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</si>
  <si>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</si>
  <si>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</si>
  <si>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</si>
  <si>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</si>
  <si>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赤いベリーを凍らせたもの。ケーキに添えることで、見た目もよくなり、かわいさアップ！</t>
    <rPh sb="0" eb="1">
      <t>アカ</t>
    </rPh>
    <rPh sb="6" eb="7">
      <t>コオ</t>
    </rPh>
    <rPh sb="17" eb="18">
      <t>ソ</t>
    </rPh>
    <rPh sb="24" eb="25">
      <t>ミ</t>
    </rPh>
    <rPh sb="26" eb="27">
      <t>メ</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</si>
  <si>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</si>
  <si>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ベリー・ホアフロスト</t>
    <phoneticPr fontId="2"/>
  </si>
  <si>
    <t>レッドベリー・ホアフロスト</t>
    <phoneticPr fontId="2"/>
  </si>
  <si>
    <t>frozen_rainbowberry</t>
    <phoneticPr fontId="2"/>
  </si>
  <si>
    <t>レインボーベリー・ホアフロスト</t>
    <phoneticPr fontId="2"/>
  </si>
  <si>
    <t>レインボーベリーを凍らせたもの。七色にほのかに光っている。</t>
    <rPh sb="9" eb="10">
      <t>コオ</t>
    </rPh>
    <rPh sb="16" eb="18">
      <t>ナナイロ</t>
    </rPh>
    <rPh sb="23" eb="24">
      <t>ヒカ</t>
    </rPh>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</si>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</sst>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9" tint="0.59999389629810485"/>
        <bgColor indexed="64"/>
      </patternFill>
    </fill>
  </fills>
  <borders count="1">
    <border>
      <left/>
      <right/>
      <top/>
      <bottom/>
      <diagonal/>
    </border>
  </borders>
  <cellStyleXfs count="1">
    <xf numFmtId="0" fontId="0" fillId="0" borderId="0"/>
  </cellStyleXfs>
  <cellXfs count="47">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1" fillId="7" borderId="0" xfId="0" applyFont="1" applyFill="1"/>
    <xf numFmtId="0" fontId="3" fillId="7" borderId="0" xfId="0" applyFont="1" applyFill="1"/>
    <xf numFmtId="0" fontId="0" fillId="7" borderId="0" xfId="0" applyFill="1"/>
    <xf numFmtId="0" fontId="5" fillId="7"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6" fillId="9" borderId="0" xfId="0" applyFont="1" applyFill="1"/>
    <xf numFmtId="0" fontId="3" fillId="9" borderId="0" xfId="0" applyFont="1" applyFill="1"/>
    <xf numFmtId="0" fontId="0" fillId="9" borderId="0" xfId="0" applyFill="1"/>
    <xf numFmtId="0" fontId="5" fillId="9" borderId="0" xfId="0" applyFont="1" applyFill="1"/>
    <xf numFmtId="0" fontId="4" fillId="9" borderId="0" xfId="0" applyFont="1" applyFill="1"/>
    <xf numFmtId="0" fontId="1" fillId="10" borderId="0" xfId="0" applyFont="1" applyFill="1"/>
    <xf numFmtId="0" fontId="7" fillId="10" borderId="0" xfId="0" applyFont="1" applyFill="1"/>
    <xf numFmtId="0" fontId="4" fillId="10" borderId="0" xfId="0" applyFont="1" applyFill="1"/>
    <xf numFmtId="0" fontId="0" fillId="10" borderId="0" xfId="0" applyFill="1"/>
    <xf numFmtId="0" fontId="5" fillId="10" borderId="0" xfId="0" applyFont="1" applyFill="1"/>
    <xf numFmtId="0" fontId="3" fillId="10" borderId="0" xfId="0" applyFont="1" applyFill="1"/>
    <xf numFmtId="0" fontId="6" fillId="6"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O312"/>
  <sheetViews>
    <sheetView tabSelected="1" topLeftCell="A31" workbookViewId="0">
      <selection activeCell="AN15" sqref="AN15"/>
    </sheetView>
  </sheetViews>
  <sheetFormatPr defaultColWidth="14.42578125" defaultRowHeight="15.75" customHeight="1" x14ac:dyDescent="0.2"/>
  <cols>
    <col min="1" max="1" width="7.85546875" customWidth="1"/>
    <col min="2" max="2" width="12" customWidth="1"/>
    <col min="3" max="3" width="22.42578125" customWidth="1"/>
    <col min="4" max="4" width="25.7109375" style="25"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353</v>
      </c>
      <c r="L1" s="1" t="s">
        <v>231</v>
      </c>
      <c r="M1" s="1" t="s">
        <v>5</v>
      </c>
      <c r="N1" s="1" t="s">
        <v>6</v>
      </c>
      <c r="O1" s="1" t="s">
        <v>7</v>
      </c>
      <c r="P1" s="1" t="s">
        <v>8</v>
      </c>
      <c r="Q1" s="1" t="s">
        <v>9</v>
      </c>
      <c r="R1" s="2" t="s">
        <v>10</v>
      </c>
      <c r="S1" s="2" t="s">
        <v>161</v>
      </c>
      <c r="T1" s="2" t="s">
        <v>11</v>
      </c>
      <c r="U1" s="2" t="s">
        <v>12</v>
      </c>
      <c r="V1" s="2" t="s">
        <v>181</v>
      </c>
      <c r="W1" s="2" t="s">
        <v>182</v>
      </c>
      <c r="X1" s="2" t="s">
        <v>180</v>
      </c>
      <c r="Y1" s="2" t="s">
        <v>1146</v>
      </c>
      <c r="Z1" s="2" t="s">
        <v>2220</v>
      </c>
      <c r="AA1" s="2" t="s">
        <v>2179</v>
      </c>
      <c r="AB1" s="2" t="s">
        <v>2211</v>
      </c>
      <c r="AC1" s="2" t="s">
        <v>2212</v>
      </c>
      <c r="AD1" s="2" t="s">
        <v>2213</v>
      </c>
      <c r="AE1" s="2" t="s">
        <v>2214</v>
      </c>
      <c r="AF1" s="2" t="s">
        <v>2215</v>
      </c>
      <c r="AG1" s="2" t="s">
        <v>2216</v>
      </c>
      <c r="AH1" s="2" t="s">
        <v>2217</v>
      </c>
      <c r="AI1" s="2" t="s">
        <v>2218</v>
      </c>
      <c r="AJ1" s="2" t="s">
        <v>2219</v>
      </c>
      <c r="AK1" s="2" t="s">
        <v>2640</v>
      </c>
      <c r="AL1" s="1" t="s">
        <v>13</v>
      </c>
      <c r="AM1" s="1" t="s">
        <v>14</v>
      </c>
      <c r="AN1" s="1" t="s">
        <v>1935</v>
      </c>
      <c r="AO1" s="1" t="s">
        <v>1852</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1605</v>
      </c>
      <c r="BM1" s="1" t="s">
        <v>2504</v>
      </c>
      <c r="BN1" s="1" t="s">
        <v>2505</v>
      </c>
      <c r="BO1" s="1" t="s">
        <v>1617</v>
      </c>
    </row>
    <row r="2" spans="1:67" ht="15.75" customHeight="1" x14ac:dyDescent="0.2">
      <c r="A2" s="3">
        <f t="shared" ref="A2:A65"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1948</v>
      </c>
      <c r="AO2" s="3" t="s">
        <v>1853</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row>
    <row r="3" spans="1:67" ht="15.75" customHeight="1" x14ac:dyDescent="0.2">
      <c r="A3" s="3">
        <f t="shared" si="0"/>
        <v>1</v>
      </c>
      <c r="B3" s="3" t="s">
        <v>55</v>
      </c>
      <c r="C3" s="3" t="s">
        <v>2225</v>
      </c>
      <c r="D3" s="5" t="s">
        <v>2221</v>
      </c>
      <c r="E3" s="5" t="s">
        <v>2222</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1948</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row>
    <row r="4" spans="1:67" s="18" customFormat="1" ht="15.75" customHeight="1" x14ac:dyDescent="0.2">
      <c r="A4" s="16">
        <f t="shared" si="0"/>
        <v>2</v>
      </c>
      <c r="B4" s="16" t="s">
        <v>1471</v>
      </c>
      <c r="C4" s="19" t="s">
        <v>3438</v>
      </c>
      <c r="D4" s="17" t="s">
        <v>3527</v>
      </c>
      <c r="E4" s="17" t="s">
        <v>3439</v>
      </c>
      <c r="F4" s="16">
        <v>0</v>
      </c>
      <c r="G4" s="16">
        <v>0</v>
      </c>
      <c r="H4" s="16">
        <v>0</v>
      </c>
      <c r="I4" s="16">
        <v>50</v>
      </c>
      <c r="J4" s="16">
        <v>3</v>
      </c>
      <c r="K4" s="16">
        <v>1</v>
      </c>
      <c r="L4" s="16">
        <v>0</v>
      </c>
      <c r="M4" s="16">
        <v>0</v>
      </c>
      <c r="N4" s="16">
        <v>0</v>
      </c>
      <c r="O4" s="16">
        <v>0</v>
      </c>
      <c r="P4" s="16">
        <v>20</v>
      </c>
      <c r="Q4" s="16">
        <v>20</v>
      </c>
      <c r="R4" s="16">
        <v>0</v>
      </c>
      <c r="S4" s="16">
        <v>10</v>
      </c>
      <c r="T4" s="16">
        <v>0</v>
      </c>
      <c r="U4" s="16">
        <v>0</v>
      </c>
      <c r="V4" s="16">
        <v>8</v>
      </c>
      <c r="W4" s="16">
        <v>0</v>
      </c>
      <c r="X4" s="16">
        <v>-5</v>
      </c>
      <c r="Y4" s="16">
        <v>0</v>
      </c>
      <c r="Z4" s="16">
        <v>0</v>
      </c>
      <c r="AA4" s="16">
        <v>0</v>
      </c>
      <c r="AB4" s="16">
        <v>0</v>
      </c>
      <c r="AC4" s="16">
        <v>0</v>
      </c>
      <c r="AD4" s="16">
        <v>0</v>
      </c>
      <c r="AE4" s="16">
        <v>0</v>
      </c>
      <c r="AF4" s="16">
        <v>0</v>
      </c>
      <c r="AG4" s="16">
        <v>0</v>
      </c>
      <c r="AH4" s="16">
        <v>0</v>
      </c>
      <c r="AI4" s="16">
        <v>0</v>
      </c>
      <c r="AJ4" s="16">
        <v>0</v>
      </c>
      <c r="AK4" s="16">
        <v>0</v>
      </c>
      <c r="AL4" s="16" t="s">
        <v>17</v>
      </c>
      <c r="AM4" s="16" t="s">
        <v>167</v>
      </c>
      <c r="AN4" s="16" t="s">
        <v>1948</v>
      </c>
      <c r="AO4" s="16" t="s">
        <v>50</v>
      </c>
      <c r="AP4" s="16">
        <v>0</v>
      </c>
      <c r="AQ4" s="16">
        <v>0</v>
      </c>
      <c r="AR4" s="18">
        <v>0</v>
      </c>
      <c r="AS4" s="18">
        <v>1</v>
      </c>
      <c r="AT4" s="19" t="s">
        <v>50</v>
      </c>
      <c r="AU4" s="19" t="s">
        <v>50</v>
      </c>
      <c r="AV4" s="19" t="s">
        <v>50</v>
      </c>
      <c r="AW4" s="19" t="s">
        <v>50</v>
      </c>
      <c r="AX4" s="19" t="s">
        <v>50</v>
      </c>
      <c r="AY4" s="19" t="s">
        <v>50</v>
      </c>
      <c r="AZ4" s="19" t="s">
        <v>50</v>
      </c>
      <c r="BA4" s="19" t="s">
        <v>50</v>
      </c>
      <c r="BB4" s="19" t="s">
        <v>50</v>
      </c>
      <c r="BC4" s="19" t="s">
        <v>50</v>
      </c>
      <c r="BD4" s="19" t="s">
        <v>50</v>
      </c>
      <c r="BE4" s="19" t="s">
        <v>50</v>
      </c>
      <c r="BF4" s="19" t="s">
        <v>50</v>
      </c>
      <c r="BG4" s="19" t="s">
        <v>50</v>
      </c>
      <c r="BH4" s="19" t="s">
        <v>50</v>
      </c>
      <c r="BI4" s="18">
        <v>1</v>
      </c>
      <c r="BJ4" s="18">
        <v>0</v>
      </c>
      <c r="BK4" s="18">
        <v>2</v>
      </c>
      <c r="BL4" s="18">
        <v>0</v>
      </c>
      <c r="BM4" s="18">
        <v>0</v>
      </c>
      <c r="BN4" s="18">
        <v>0</v>
      </c>
      <c r="BO4" s="18">
        <v>0</v>
      </c>
    </row>
    <row r="5" spans="1:67" ht="15.75" customHeight="1" x14ac:dyDescent="0.2">
      <c r="A5" s="3">
        <f t="shared" si="0"/>
        <v>3</v>
      </c>
      <c r="B5" s="3" t="s">
        <v>1471</v>
      </c>
      <c r="C5" s="6" t="s">
        <v>1139</v>
      </c>
      <c r="D5" s="5" t="s">
        <v>1156</v>
      </c>
      <c r="E5" s="5" t="s">
        <v>1157</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1948</v>
      </c>
      <c r="AO5" s="3" t="s">
        <v>1853</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row>
    <row r="6" spans="1:67" ht="15.75" customHeight="1" x14ac:dyDescent="0.2">
      <c r="A6" s="3">
        <f t="shared" si="0"/>
        <v>4</v>
      </c>
      <c r="B6" s="3" t="s">
        <v>2629</v>
      </c>
      <c r="C6" s="3" t="s">
        <v>159</v>
      </c>
      <c r="D6" s="5" t="s">
        <v>993</v>
      </c>
      <c r="E6" s="5" t="s">
        <v>2257</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1948</v>
      </c>
      <c r="AO6" s="3" t="s">
        <v>1853</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row>
    <row r="7" spans="1:67"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1949</v>
      </c>
      <c r="AO7" s="3" t="s">
        <v>1853</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row>
    <row r="8" spans="1:67" ht="15.75" customHeight="1" x14ac:dyDescent="0.2">
      <c r="A8" s="3">
        <f t="shared" si="0"/>
        <v>6</v>
      </c>
      <c r="B8" s="3" t="s">
        <v>57</v>
      </c>
      <c r="C8" s="3" t="s">
        <v>2226</v>
      </c>
      <c r="D8" s="5" t="s">
        <v>2223</v>
      </c>
      <c r="E8" s="5" t="s">
        <v>2224</v>
      </c>
      <c r="F8" s="3">
        <v>0</v>
      </c>
      <c r="G8" s="3">
        <v>0</v>
      </c>
      <c r="H8" s="3">
        <v>0</v>
      </c>
      <c r="I8" s="3">
        <v>50</v>
      </c>
      <c r="J8" s="3">
        <v>5</v>
      </c>
      <c r="K8" s="3">
        <v>0.99</v>
      </c>
      <c r="L8" s="3">
        <v>0</v>
      </c>
      <c r="M8" s="3">
        <v>0</v>
      </c>
      <c r="N8" s="3">
        <v>0</v>
      </c>
      <c r="O8" s="3">
        <v>0</v>
      </c>
      <c r="P8" s="3">
        <v>20</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1949</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row>
    <row r="9" spans="1:67" s="18" customFormat="1" ht="15.75" customHeight="1" x14ac:dyDescent="0.2">
      <c r="A9" s="16">
        <f t="shared" si="0"/>
        <v>7</v>
      </c>
      <c r="B9" s="16" t="s">
        <v>57</v>
      </c>
      <c r="C9" s="16" t="s">
        <v>3440</v>
      </c>
      <c r="D9" s="17" t="s">
        <v>3441</v>
      </c>
      <c r="E9" s="17" t="s">
        <v>3442</v>
      </c>
      <c r="F9" s="16">
        <v>0</v>
      </c>
      <c r="G9" s="16">
        <v>0</v>
      </c>
      <c r="H9" s="16">
        <v>0</v>
      </c>
      <c r="I9" s="16">
        <v>50</v>
      </c>
      <c r="J9" s="16">
        <v>5</v>
      </c>
      <c r="K9" s="16">
        <v>0.99</v>
      </c>
      <c r="L9" s="16">
        <v>0</v>
      </c>
      <c r="M9" s="16">
        <v>0</v>
      </c>
      <c r="N9" s="16">
        <v>0</v>
      </c>
      <c r="O9" s="16">
        <v>0</v>
      </c>
      <c r="P9" s="16">
        <v>35</v>
      </c>
      <c r="Q9" s="16">
        <v>0</v>
      </c>
      <c r="R9" s="16">
        <v>12</v>
      </c>
      <c r="S9" s="16">
        <v>0</v>
      </c>
      <c r="T9" s="16">
        <v>0</v>
      </c>
      <c r="U9" s="16">
        <v>0</v>
      </c>
      <c r="V9" s="16">
        <v>-3</v>
      </c>
      <c r="W9" s="16">
        <v>10</v>
      </c>
      <c r="X9" s="16">
        <v>0</v>
      </c>
      <c r="Y9" s="16">
        <v>0</v>
      </c>
      <c r="Z9" s="16">
        <v>0</v>
      </c>
      <c r="AA9" s="16">
        <v>0</v>
      </c>
      <c r="AB9" s="16">
        <v>0</v>
      </c>
      <c r="AC9" s="16">
        <v>0</v>
      </c>
      <c r="AD9" s="16">
        <v>0</v>
      </c>
      <c r="AE9" s="16">
        <v>0</v>
      </c>
      <c r="AF9" s="16">
        <v>0</v>
      </c>
      <c r="AG9" s="16">
        <v>0</v>
      </c>
      <c r="AH9" s="16">
        <v>0</v>
      </c>
      <c r="AI9" s="16">
        <v>0</v>
      </c>
      <c r="AJ9" s="16">
        <v>0</v>
      </c>
      <c r="AK9" s="16">
        <v>0</v>
      </c>
      <c r="AL9" s="16" t="s">
        <v>17</v>
      </c>
      <c r="AM9" s="16" t="s">
        <v>169</v>
      </c>
      <c r="AN9" s="16" t="s">
        <v>1949</v>
      </c>
      <c r="AO9" s="16" t="s">
        <v>50</v>
      </c>
      <c r="AP9" s="16">
        <v>0</v>
      </c>
      <c r="AQ9" s="16">
        <v>0</v>
      </c>
      <c r="AR9" s="18">
        <v>0</v>
      </c>
      <c r="AS9" s="18">
        <v>1</v>
      </c>
      <c r="AT9" s="19" t="s">
        <v>50</v>
      </c>
      <c r="AU9" s="19" t="s">
        <v>50</v>
      </c>
      <c r="AV9" s="19" t="s">
        <v>50</v>
      </c>
      <c r="AW9" s="19" t="s">
        <v>50</v>
      </c>
      <c r="AX9" s="19" t="s">
        <v>50</v>
      </c>
      <c r="AY9" s="19" t="s">
        <v>50</v>
      </c>
      <c r="AZ9" s="19" t="s">
        <v>50</v>
      </c>
      <c r="BA9" s="19" t="s">
        <v>50</v>
      </c>
      <c r="BB9" s="19" t="s">
        <v>50</v>
      </c>
      <c r="BC9" s="19" t="s">
        <v>50</v>
      </c>
      <c r="BD9" s="19" t="s">
        <v>50</v>
      </c>
      <c r="BE9" s="19" t="s">
        <v>50</v>
      </c>
      <c r="BF9" s="19" t="s">
        <v>50</v>
      </c>
      <c r="BG9" s="19" t="s">
        <v>50</v>
      </c>
      <c r="BH9" s="19" t="s">
        <v>50</v>
      </c>
      <c r="BI9" s="18">
        <v>1</v>
      </c>
      <c r="BJ9" s="18">
        <v>0</v>
      </c>
      <c r="BK9" s="18">
        <v>1</v>
      </c>
      <c r="BL9" s="18">
        <v>0</v>
      </c>
      <c r="BM9" s="18">
        <v>0</v>
      </c>
      <c r="BN9" s="18">
        <v>0</v>
      </c>
      <c r="BO9" s="18">
        <v>0</v>
      </c>
    </row>
    <row r="10" spans="1:6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1949</v>
      </c>
      <c r="AO10" s="3" t="s">
        <v>1853</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row>
    <row r="11" spans="1:6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2970</v>
      </c>
      <c r="AO11" s="3" t="s">
        <v>1853</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row>
    <row r="12" spans="1:67" ht="15.75" customHeight="1" x14ac:dyDescent="0.2">
      <c r="A12" s="3">
        <f t="shared" si="0"/>
        <v>10</v>
      </c>
      <c r="B12" s="3" t="s">
        <v>66</v>
      </c>
      <c r="C12" s="3" t="s">
        <v>2227</v>
      </c>
      <c r="D12" s="5" t="s">
        <v>2638</v>
      </c>
      <c r="E12" s="5" t="s">
        <v>2228</v>
      </c>
      <c r="F12" s="3">
        <v>0</v>
      </c>
      <c r="G12" s="3">
        <v>0</v>
      </c>
      <c r="H12" s="3">
        <v>0</v>
      </c>
      <c r="I12" s="3">
        <v>50</v>
      </c>
      <c r="J12" s="3">
        <v>3</v>
      </c>
      <c r="K12" s="3">
        <v>0.99</v>
      </c>
      <c r="L12" s="3">
        <v>0</v>
      </c>
      <c r="M12" s="3">
        <v>10</v>
      </c>
      <c r="N12" s="3">
        <v>0</v>
      </c>
      <c r="O12" s="3">
        <v>0</v>
      </c>
      <c r="P12" s="3">
        <v>0</v>
      </c>
      <c r="Q12" s="3">
        <v>0</v>
      </c>
      <c r="R12" s="3">
        <v>10</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2970</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row>
    <row r="13" spans="1:6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1950</v>
      </c>
      <c r="AO13" s="7" t="s">
        <v>1853</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row>
    <row r="14" spans="1:6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1950</v>
      </c>
      <c r="AO14" s="7" t="s">
        <v>1853</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row>
    <row r="15" spans="1:67" ht="15.75" customHeight="1" x14ac:dyDescent="0.2">
      <c r="A15" s="3">
        <f t="shared" si="0"/>
        <v>13</v>
      </c>
      <c r="B15" s="3" t="s">
        <v>397</v>
      </c>
      <c r="C15" s="3" t="s">
        <v>187</v>
      </c>
      <c r="D15" s="5" t="s">
        <v>44</v>
      </c>
      <c r="E15" s="5" t="s">
        <v>312</v>
      </c>
      <c r="F15" s="3">
        <v>0</v>
      </c>
      <c r="G15" s="3">
        <v>0</v>
      </c>
      <c r="H15" s="3">
        <v>0</v>
      </c>
      <c r="I15" s="3">
        <v>50</v>
      </c>
      <c r="J15" s="3">
        <v>10</v>
      </c>
      <c r="K15" s="3">
        <v>0.92</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1074</v>
      </c>
      <c r="AN15" s="3" t="s">
        <v>2970</v>
      </c>
      <c r="AO15" s="3" t="s">
        <v>1853</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row>
    <row r="16" spans="1:67"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3</v>
      </c>
      <c r="Z16" s="3">
        <v>0</v>
      </c>
      <c r="AA16" s="3">
        <v>0</v>
      </c>
      <c r="AB16" s="3">
        <v>0</v>
      </c>
      <c r="AC16" s="3">
        <v>8</v>
      </c>
      <c r="AD16" s="3">
        <v>0</v>
      </c>
      <c r="AE16" s="3">
        <v>0</v>
      </c>
      <c r="AF16" s="3">
        <v>0</v>
      </c>
      <c r="AG16" s="3">
        <v>0</v>
      </c>
      <c r="AH16" s="3">
        <v>0</v>
      </c>
      <c r="AI16" s="3">
        <v>0</v>
      </c>
      <c r="AJ16" s="3">
        <v>0</v>
      </c>
      <c r="AK16" s="3">
        <v>0</v>
      </c>
      <c r="AL16" s="3" t="s">
        <v>17</v>
      </c>
      <c r="AM16" s="3" t="s">
        <v>168</v>
      </c>
      <c r="AN16" s="3" t="s">
        <v>1950</v>
      </c>
      <c r="AO16" s="3" t="s">
        <v>1853</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row>
    <row r="17" spans="1:67"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3</v>
      </c>
      <c r="Z17" s="3">
        <v>0</v>
      </c>
      <c r="AA17" s="3">
        <v>8</v>
      </c>
      <c r="AB17" s="3">
        <v>0</v>
      </c>
      <c r="AC17" s="3">
        <v>0</v>
      </c>
      <c r="AD17" s="3">
        <v>0</v>
      </c>
      <c r="AE17" s="3">
        <v>0</v>
      </c>
      <c r="AF17" s="3">
        <v>0</v>
      </c>
      <c r="AG17" s="3">
        <v>0</v>
      </c>
      <c r="AH17" s="3">
        <v>0</v>
      </c>
      <c r="AI17" s="3">
        <v>0</v>
      </c>
      <c r="AJ17" s="3">
        <v>0</v>
      </c>
      <c r="AK17" s="3">
        <v>0</v>
      </c>
      <c r="AL17" s="3" t="s">
        <v>17</v>
      </c>
      <c r="AM17" s="3" t="s">
        <v>168</v>
      </c>
      <c r="AN17" s="3" t="s">
        <v>1950</v>
      </c>
      <c r="AO17" s="3" t="s">
        <v>1853</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row>
    <row r="18" spans="1:67" ht="15.75" customHeight="1" x14ac:dyDescent="0.2">
      <c r="A18" s="3">
        <f t="shared" si="0"/>
        <v>16</v>
      </c>
      <c r="B18" s="3" t="s">
        <v>2200</v>
      </c>
      <c r="C18" s="3" t="s">
        <v>2200</v>
      </c>
      <c r="D18" s="5" t="s">
        <v>2199</v>
      </c>
      <c r="E18" s="5" t="s">
        <v>2383</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3</v>
      </c>
      <c r="Z18" s="3">
        <v>0</v>
      </c>
      <c r="AA18" s="3">
        <v>0</v>
      </c>
      <c r="AB18" s="3">
        <v>8</v>
      </c>
      <c r="AC18" s="3">
        <v>0</v>
      </c>
      <c r="AD18" s="3">
        <v>0</v>
      </c>
      <c r="AE18" s="3">
        <v>0</v>
      </c>
      <c r="AF18" s="3">
        <v>0</v>
      </c>
      <c r="AG18" s="3">
        <v>0</v>
      </c>
      <c r="AH18" s="3">
        <v>0</v>
      </c>
      <c r="AI18" s="3">
        <v>0</v>
      </c>
      <c r="AJ18" s="3">
        <v>0</v>
      </c>
      <c r="AK18" s="3">
        <v>0</v>
      </c>
      <c r="AL18" s="3" t="s">
        <v>17</v>
      </c>
      <c r="AM18" s="3" t="s">
        <v>168</v>
      </c>
      <c r="AN18" s="3" t="s">
        <v>1950</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2286</v>
      </c>
      <c r="BE18" s="6" t="s">
        <v>50</v>
      </c>
      <c r="BF18" s="6" t="s">
        <v>50</v>
      </c>
      <c r="BG18" s="6" t="s">
        <v>50</v>
      </c>
      <c r="BH18" s="6" t="s">
        <v>50</v>
      </c>
      <c r="BI18">
        <v>1</v>
      </c>
      <c r="BJ18">
        <v>0</v>
      </c>
      <c r="BK18">
        <v>2</v>
      </c>
      <c r="BL18">
        <v>0</v>
      </c>
      <c r="BM18">
        <v>0</v>
      </c>
      <c r="BN18">
        <v>0</v>
      </c>
      <c r="BO18">
        <v>0</v>
      </c>
    </row>
    <row r="19" spans="1:67" ht="15.75" customHeight="1" x14ac:dyDescent="0.2">
      <c r="A19" s="3">
        <f t="shared" si="0"/>
        <v>17</v>
      </c>
      <c r="B19" s="3" t="s">
        <v>1535</v>
      </c>
      <c r="C19" s="3" t="s">
        <v>1535</v>
      </c>
      <c r="D19" s="5" t="s">
        <v>1534</v>
      </c>
      <c r="E19" s="5" t="s">
        <v>1536</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3</v>
      </c>
      <c r="Z19" s="3">
        <v>0</v>
      </c>
      <c r="AA19" s="3">
        <v>0</v>
      </c>
      <c r="AB19" s="3">
        <v>0</v>
      </c>
      <c r="AC19" s="3">
        <v>0</v>
      </c>
      <c r="AD19" s="3">
        <v>0</v>
      </c>
      <c r="AE19" s="3">
        <v>0</v>
      </c>
      <c r="AF19" s="3">
        <v>0</v>
      </c>
      <c r="AG19" s="3">
        <v>0</v>
      </c>
      <c r="AH19" s="3">
        <v>0</v>
      </c>
      <c r="AI19" s="3">
        <v>0</v>
      </c>
      <c r="AJ19" s="3">
        <v>0</v>
      </c>
      <c r="AK19" s="3">
        <v>0</v>
      </c>
      <c r="AL19" s="3" t="s">
        <v>17</v>
      </c>
      <c r="AM19" s="3" t="s">
        <v>168</v>
      </c>
      <c r="AN19" s="3" t="s">
        <v>1950</v>
      </c>
      <c r="AO19" s="3" t="s">
        <v>1853</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1539</v>
      </c>
      <c r="BE19" s="6" t="s">
        <v>50</v>
      </c>
      <c r="BF19" s="6" t="s">
        <v>50</v>
      </c>
      <c r="BG19" s="6" t="s">
        <v>50</v>
      </c>
      <c r="BH19" s="6" t="s">
        <v>50</v>
      </c>
      <c r="BI19">
        <v>1</v>
      </c>
      <c r="BJ19">
        <v>0</v>
      </c>
      <c r="BK19">
        <v>3</v>
      </c>
      <c r="BL19">
        <v>0</v>
      </c>
      <c r="BM19">
        <v>0</v>
      </c>
      <c r="BN19">
        <v>0</v>
      </c>
      <c r="BO19">
        <v>0</v>
      </c>
    </row>
    <row r="20" spans="1:67" ht="15.75" customHeight="1" x14ac:dyDescent="0.2">
      <c r="A20" s="3">
        <f t="shared" si="0"/>
        <v>18</v>
      </c>
      <c r="B20" s="3" t="s">
        <v>1538</v>
      </c>
      <c r="C20" s="3" t="s">
        <v>1538</v>
      </c>
      <c r="D20" s="5" t="s">
        <v>1537</v>
      </c>
      <c r="E20" s="5" t="s">
        <v>1541</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3</v>
      </c>
      <c r="Z20" s="3">
        <v>0</v>
      </c>
      <c r="AA20" s="3">
        <v>0</v>
      </c>
      <c r="AB20" s="3">
        <v>0</v>
      </c>
      <c r="AC20" s="3">
        <v>0</v>
      </c>
      <c r="AD20" s="3">
        <v>0</v>
      </c>
      <c r="AE20" s="3">
        <v>0</v>
      </c>
      <c r="AF20" s="3">
        <v>0</v>
      </c>
      <c r="AG20" s="3">
        <v>0</v>
      </c>
      <c r="AH20" s="3">
        <v>0</v>
      </c>
      <c r="AI20" s="3">
        <v>0</v>
      </c>
      <c r="AJ20" s="3">
        <v>0</v>
      </c>
      <c r="AK20" s="3">
        <v>0</v>
      </c>
      <c r="AL20" s="3" t="s">
        <v>17</v>
      </c>
      <c r="AM20" s="3" t="s">
        <v>168</v>
      </c>
      <c r="AN20" s="3" t="s">
        <v>1950</v>
      </c>
      <c r="AO20" s="3" t="s">
        <v>1853</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1540</v>
      </c>
      <c r="BE20" s="6" t="s">
        <v>50</v>
      </c>
      <c r="BF20" s="6" t="s">
        <v>50</v>
      </c>
      <c r="BG20" s="6" t="s">
        <v>50</v>
      </c>
      <c r="BH20" s="6" t="s">
        <v>50</v>
      </c>
      <c r="BI20">
        <v>1</v>
      </c>
      <c r="BJ20">
        <v>0</v>
      </c>
      <c r="BK20">
        <v>3</v>
      </c>
      <c r="BL20">
        <v>0</v>
      </c>
      <c r="BM20">
        <v>0</v>
      </c>
      <c r="BN20">
        <v>0</v>
      </c>
      <c r="BO20">
        <v>0</v>
      </c>
    </row>
    <row r="21" spans="1:67" ht="15.75" customHeight="1" x14ac:dyDescent="0.2">
      <c r="A21" s="3">
        <f t="shared" si="0"/>
        <v>19</v>
      </c>
      <c r="B21" s="3" t="s">
        <v>2553</v>
      </c>
      <c r="C21" s="3" t="s">
        <v>2460</v>
      </c>
      <c r="D21" s="5" t="s">
        <v>2459</v>
      </c>
      <c r="E21" s="5" t="s">
        <v>2461</v>
      </c>
      <c r="F21" s="3">
        <v>0</v>
      </c>
      <c r="G21" s="3">
        <v>0</v>
      </c>
      <c r="H21" s="3">
        <v>0</v>
      </c>
      <c r="I21" s="3">
        <v>50</v>
      </c>
      <c r="J21" s="3">
        <v>20</v>
      </c>
      <c r="K21" s="3">
        <v>0.8</v>
      </c>
      <c r="L21" s="3">
        <v>0</v>
      </c>
      <c r="M21" s="3">
        <v>8</v>
      </c>
      <c r="N21" s="3">
        <v>0</v>
      </c>
      <c r="O21" s="3">
        <v>0</v>
      </c>
      <c r="P21" s="3">
        <v>10</v>
      </c>
      <c r="Q21" s="3">
        <v>0</v>
      </c>
      <c r="R21" s="3">
        <v>15</v>
      </c>
      <c r="S21" s="3">
        <v>15</v>
      </c>
      <c r="T21" s="3">
        <v>0</v>
      </c>
      <c r="U21" s="3">
        <v>0</v>
      </c>
      <c r="V21" s="3">
        <v>0</v>
      </c>
      <c r="W21" s="3">
        <v>-3</v>
      </c>
      <c r="X21" s="3">
        <v>0</v>
      </c>
      <c r="Y21" s="3">
        <v>3</v>
      </c>
      <c r="Z21" s="3">
        <v>0</v>
      </c>
      <c r="AA21" s="3">
        <v>0</v>
      </c>
      <c r="AB21" s="3">
        <v>0</v>
      </c>
      <c r="AC21" s="3">
        <v>0</v>
      </c>
      <c r="AD21" s="3">
        <v>0</v>
      </c>
      <c r="AE21" s="3">
        <v>0</v>
      </c>
      <c r="AF21" s="3">
        <v>0</v>
      </c>
      <c r="AG21" s="3">
        <v>0</v>
      </c>
      <c r="AH21" s="3">
        <v>0</v>
      </c>
      <c r="AI21" s="3">
        <v>0</v>
      </c>
      <c r="AJ21" s="3">
        <v>0</v>
      </c>
      <c r="AK21" s="3">
        <v>0</v>
      </c>
      <c r="AL21" s="3" t="s">
        <v>17</v>
      </c>
      <c r="AM21" s="3" t="s">
        <v>168</v>
      </c>
      <c r="AN21" s="3" t="s">
        <v>1950</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row>
    <row r="22" spans="1:67" ht="15.75" customHeight="1" x14ac:dyDescent="0.2">
      <c r="A22" s="3">
        <f t="shared" si="0"/>
        <v>20</v>
      </c>
      <c r="B22" s="3" t="s">
        <v>2552</v>
      </c>
      <c r="C22" s="3" t="s">
        <v>2463</v>
      </c>
      <c r="D22" s="5" t="s">
        <v>2462</v>
      </c>
      <c r="E22" s="5" t="s">
        <v>2464</v>
      </c>
      <c r="F22" s="3">
        <v>0</v>
      </c>
      <c r="G22" s="3">
        <v>0</v>
      </c>
      <c r="H22" s="3">
        <v>0</v>
      </c>
      <c r="I22" s="3">
        <v>50</v>
      </c>
      <c r="J22" s="3">
        <v>20</v>
      </c>
      <c r="K22" s="3">
        <v>0.8</v>
      </c>
      <c r="L22" s="3">
        <v>0</v>
      </c>
      <c r="M22" s="3">
        <v>8</v>
      </c>
      <c r="N22" s="3">
        <v>6</v>
      </c>
      <c r="O22" s="3">
        <v>0</v>
      </c>
      <c r="P22" s="3">
        <v>10</v>
      </c>
      <c r="Q22" s="3">
        <v>0</v>
      </c>
      <c r="R22" s="3">
        <v>15</v>
      </c>
      <c r="S22" s="3">
        <v>15</v>
      </c>
      <c r="T22" s="3">
        <v>0</v>
      </c>
      <c r="U22" s="3">
        <v>0</v>
      </c>
      <c r="V22" s="3">
        <v>0</v>
      </c>
      <c r="W22" s="3">
        <v>-3</v>
      </c>
      <c r="X22" s="3">
        <v>0</v>
      </c>
      <c r="Y22" s="3">
        <v>3</v>
      </c>
      <c r="Z22" s="3">
        <v>0</v>
      </c>
      <c r="AA22" s="3">
        <v>0</v>
      </c>
      <c r="AB22" s="3">
        <v>0</v>
      </c>
      <c r="AC22" s="3">
        <v>0</v>
      </c>
      <c r="AD22" s="3">
        <v>0</v>
      </c>
      <c r="AE22" s="3">
        <v>0</v>
      </c>
      <c r="AF22" s="3">
        <v>0</v>
      </c>
      <c r="AG22" s="3">
        <v>0</v>
      </c>
      <c r="AH22" s="3">
        <v>0</v>
      </c>
      <c r="AI22" s="3">
        <v>0</v>
      </c>
      <c r="AJ22" s="3">
        <v>0</v>
      </c>
      <c r="AK22" s="3">
        <v>0</v>
      </c>
      <c r="AL22" s="3" t="s">
        <v>17</v>
      </c>
      <c r="AM22" s="3" t="s">
        <v>168</v>
      </c>
      <c r="AN22" s="3" t="s">
        <v>1950</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row>
    <row r="23" spans="1:67" ht="15.75" customHeight="1" x14ac:dyDescent="0.2">
      <c r="A23" s="3">
        <f t="shared" si="0"/>
        <v>21</v>
      </c>
      <c r="B23" s="3" t="s">
        <v>2551</v>
      </c>
      <c r="C23" s="3" t="s">
        <v>2472</v>
      </c>
      <c r="D23" s="5" t="s">
        <v>2471</v>
      </c>
      <c r="E23" s="5" t="s">
        <v>2473</v>
      </c>
      <c r="F23" s="3">
        <v>0</v>
      </c>
      <c r="G23" s="3">
        <v>0</v>
      </c>
      <c r="H23" s="3">
        <v>0</v>
      </c>
      <c r="I23" s="3">
        <v>50</v>
      </c>
      <c r="J23" s="3">
        <v>20</v>
      </c>
      <c r="K23" s="3">
        <v>0.8</v>
      </c>
      <c r="L23" s="3">
        <v>0</v>
      </c>
      <c r="M23" s="3">
        <v>8</v>
      </c>
      <c r="N23" s="3">
        <v>6</v>
      </c>
      <c r="O23" s="3">
        <v>0</v>
      </c>
      <c r="P23" s="3">
        <v>10</v>
      </c>
      <c r="Q23" s="3">
        <v>0</v>
      </c>
      <c r="R23" s="3">
        <v>15</v>
      </c>
      <c r="S23" s="3">
        <v>15</v>
      </c>
      <c r="T23" s="3">
        <v>0</v>
      </c>
      <c r="U23" s="3">
        <v>0</v>
      </c>
      <c r="V23" s="3">
        <v>0</v>
      </c>
      <c r="W23" s="3">
        <v>-3</v>
      </c>
      <c r="X23" s="3">
        <v>0</v>
      </c>
      <c r="Y23" s="3">
        <v>3</v>
      </c>
      <c r="Z23" s="3">
        <v>0</v>
      </c>
      <c r="AA23" s="3">
        <v>0</v>
      </c>
      <c r="AB23" s="3">
        <v>0</v>
      </c>
      <c r="AC23" s="3">
        <v>0</v>
      </c>
      <c r="AD23" s="3">
        <v>0</v>
      </c>
      <c r="AE23" s="3">
        <v>0</v>
      </c>
      <c r="AF23" s="3">
        <v>0</v>
      </c>
      <c r="AG23" s="3">
        <v>0</v>
      </c>
      <c r="AH23" s="3">
        <v>0</v>
      </c>
      <c r="AI23" s="3">
        <v>0</v>
      </c>
      <c r="AJ23" s="3">
        <v>0</v>
      </c>
      <c r="AK23" s="3">
        <v>0</v>
      </c>
      <c r="AL23" s="3" t="s">
        <v>17</v>
      </c>
      <c r="AM23" s="3" t="s">
        <v>168</v>
      </c>
      <c r="AN23" s="3" t="s">
        <v>1950</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row>
    <row r="24" spans="1:67" ht="15.75" customHeight="1" x14ac:dyDescent="0.2">
      <c r="A24" s="3">
        <f t="shared" si="0"/>
        <v>22</v>
      </c>
      <c r="B24" s="3" t="s">
        <v>2554</v>
      </c>
      <c r="C24" s="3" t="s">
        <v>2476</v>
      </c>
      <c r="D24" s="5" t="s">
        <v>2474</v>
      </c>
      <c r="E24" s="5" t="s">
        <v>2475</v>
      </c>
      <c r="F24" s="3">
        <v>0</v>
      </c>
      <c r="G24" s="3">
        <v>0</v>
      </c>
      <c r="H24" s="3">
        <v>0</v>
      </c>
      <c r="I24" s="3">
        <v>50</v>
      </c>
      <c r="J24" s="3">
        <v>20</v>
      </c>
      <c r="K24" s="3">
        <v>0.8</v>
      </c>
      <c r="L24" s="3">
        <v>0</v>
      </c>
      <c r="M24" s="3">
        <v>8</v>
      </c>
      <c r="N24" s="3">
        <v>6</v>
      </c>
      <c r="O24" s="3">
        <v>0</v>
      </c>
      <c r="P24" s="3">
        <v>0</v>
      </c>
      <c r="Q24" s="3">
        <v>10</v>
      </c>
      <c r="R24" s="3">
        <v>20</v>
      </c>
      <c r="S24" s="3">
        <v>0</v>
      </c>
      <c r="T24" s="3">
        <v>0</v>
      </c>
      <c r="U24" s="3">
        <v>0</v>
      </c>
      <c r="V24" s="3">
        <v>0</v>
      </c>
      <c r="W24" s="3">
        <v>-3</v>
      </c>
      <c r="X24" s="3">
        <v>0</v>
      </c>
      <c r="Y24" s="3">
        <v>3</v>
      </c>
      <c r="Z24" s="3">
        <v>0</v>
      </c>
      <c r="AA24" s="3">
        <v>0</v>
      </c>
      <c r="AB24" s="3">
        <v>0</v>
      </c>
      <c r="AC24" s="3">
        <v>0</v>
      </c>
      <c r="AD24" s="3">
        <v>0</v>
      </c>
      <c r="AE24" s="3">
        <v>0</v>
      </c>
      <c r="AF24" s="3">
        <v>0</v>
      </c>
      <c r="AG24" s="3">
        <v>0</v>
      </c>
      <c r="AH24" s="3">
        <v>0</v>
      </c>
      <c r="AI24" s="3">
        <v>0</v>
      </c>
      <c r="AJ24" s="3">
        <v>0</v>
      </c>
      <c r="AK24" s="3">
        <v>0</v>
      </c>
      <c r="AL24" s="3" t="s">
        <v>17</v>
      </c>
      <c r="AM24" s="3" t="s">
        <v>168</v>
      </c>
      <c r="AN24" s="3" t="s">
        <v>1950</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row>
    <row r="25" spans="1:67" ht="15.75" customHeight="1" x14ac:dyDescent="0.2">
      <c r="A25" s="3">
        <f t="shared" si="0"/>
        <v>23</v>
      </c>
      <c r="B25" s="3" t="s">
        <v>2555</v>
      </c>
      <c r="C25" s="3" t="s">
        <v>2479</v>
      </c>
      <c r="D25" s="5" t="s">
        <v>2477</v>
      </c>
      <c r="E25" s="5" t="s">
        <v>2478</v>
      </c>
      <c r="F25" s="3">
        <v>0</v>
      </c>
      <c r="G25" s="3">
        <v>0</v>
      </c>
      <c r="H25" s="3">
        <v>0</v>
      </c>
      <c r="I25" s="3">
        <v>50</v>
      </c>
      <c r="J25" s="3">
        <v>20</v>
      </c>
      <c r="K25" s="3">
        <v>0.8</v>
      </c>
      <c r="L25" s="3">
        <v>0</v>
      </c>
      <c r="M25" s="3">
        <v>8</v>
      </c>
      <c r="N25" s="3">
        <v>20</v>
      </c>
      <c r="O25" s="3">
        <v>0</v>
      </c>
      <c r="P25" s="3">
        <v>10</v>
      </c>
      <c r="Q25" s="3">
        <v>10</v>
      </c>
      <c r="R25" s="3">
        <v>10</v>
      </c>
      <c r="S25" s="3">
        <v>10</v>
      </c>
      <c r="T25" s="3">
        <v>0</v>
      </c>
      <c r="U25" s="3">
        <v>0</v>
      </c>
      <c r="V25" s="3">
        <v>0</v>
      </c>
      <c r="W25" s="3">
        <v>-3</v>
      </c>
      <c r="X25" s="3">
        <v>0</v>
      </c>
      <c r="Y25" s="3">
        <v>3</v>
      </c>
      <c r="Z25" s="3">
        <v>0</v>
      </c>
      <c r="AA25" s="3">
        <v>0</v>
      </c>
      <c r="AB25" s="3">
        <v>0</v>
      </c>
      <c r="AC25" s="3">
        <v>0</v>
      </c>
      <c r="AD25" s="3">
        <v>0</v>
      </c>
      <c r="AE25" s="3">
        <v>0</v>
      </c>
      <c r="AF25" s="3">
        <v>0</v>
      </c>
      <c r="AG25" s="3">
        <v>0</v>
      </c>
      <c r="AH25" s="3">
        <v>0</v>
      </c>
      <c r="AI25" s="3">
        <v>0</v>
      </c>
      <c r="AJ25" s="3">
        <v>0</v>
      </c>
      <c r="AK25" s="3">
        <v>0</v>
      </c>
      <c r="AL25" s="3" t="s">
        <v>17</v>
      </c>
      <c r="AM25" s="3" t="s">
        <v>168</v>
      </c>
      <c r="AN25" s="3" t="s">
        <v>1950</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row>
    <row r="26" spans="1:67" ht="15.75" customHeight="1" x14ac:dyDescent="0.2">
      <c r="A26" s="3">
        <f t="shared" si="0"/>
        <v>24</v>
      </c>
      <c r="B26" s="3" t="s">
        <v>2557</v>
      </c>
      <c r="C26" s="3" t="s">
        <v>2495</v>
      </c>
      <c r="D26" s="5" t="s">
        <v>2496</v>
      </c>
      <c r="E26" s="5" t="s">
        <v>2497</v>
      </c>
      <c r="F26" s="3">
        <v>0</v>
      </c>
      <c r="G26" s="3">
        <v>0</v>
      </c>
      <c r="H26" s="3">
        <v>0</v>
      </c>
      <c r="I26" s="3">
        <v>50</v>
      </c>
      <c r="J26" s="3">
        <v>20</v>
      </c>
      <c r="K26" s="3">
        <v>0.8</v>
      </c>
      <c r="L26" s="3">
        <v>0</v>
      </c>
      <c r="M26" s="3">
        <v>8</v>
      </c>
      <c r="N26" s="3">
        <v>70</v>
      </c>
      <c r="O26" s="3">
        <v>30</v>
      </c>
      <c r="P26" s="3">
        <v>50</v>
      </c>
      <c r="Q26" s="3">
        <v>50</v>
      </c>
      <c r="R26" s="3">
        <v>50</v>
      </c>
      <c r="S26" s="3">
        <v>50</v>
      </c>
      <c r="T26" s="3">
        <v>0</v>
      </c>
      <c r="U26" s="3">
        <v>0</v>
      </c>
      <c r="V26" s="3">
        <v>0</v>
      </c>
      <c r="W26" s="3">
        <v>-3</v>
      </c>
      <c r="X26" s="3">
        <v>0</v>
      </c>
      <c r="Y26" s="3">
        <v>3</v>
      </c>
      <c r="Z26" s="3">
        <v>0</v>
      </c>
      <c r="AA26" s="3">
        <v>0</v>
      </c>
      <c r="AB26" s="3">
        <v>0</v>
      </c>
      <c r="AC26" s="3">
        <v>0</v>
      </c>
      <c r="AD26" s="3">
        <v>0</v>
      </c>
      <c r="AE26" s="3">
        <v>0</v>
      </c>
      <c r="AF26" s="3">
        <v>0</v>
      </c>
      <c r="AG26" s="3">
        <v>0</v>
      </c>
      <c r="AH26" s="3">
        <v>0</v>
      </c>
      <c r="AI26" s="3">
        <v>0</v>
      </c>
      <c r="AJ26" s="3">
        <v>0</v>
      </c>
      <c r="AK26" s="3">
        <v>0</v>
      </c>
      <c r="AL26" s="3" t="s">
        <v>17</v>
      </c>
      <c r="AM26" s="3" t="s">
        <v>168</v>
      </c>
      <c r="AN26" s="3" t="s">
        <v>1950</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row>
    <row r="27" spans="1:67" ht="15.75" customHeight="1" x14ac:dyDescent="0.2">
      <c r="A27" s="3">
        <f t="shared" si="0"/>
        <v>25</v>
      </c>
      <c r="B27" s="3" t="s">
        <v>2558</v>
      </c>
      <c r="C27" s="3" t="s">
        <v>2466</v>
      </c>
      <c r="D27" s="5" t="s">
        <v>2465</v>
      </c>
      <c r="E27" s="5" t="s">
        <v>2467</v>
      </c>
      <c r="F27" s="3">
        <v>0</v>
      </c>
      <c r="G27" s="3">
        <v>0</v>
      </c>
      <c r="H27" s="3">
        <v>0</v>
      </c>
      <c r="I27" s="3">
        <v>50</v>
      </c>
      <c r="J27" s="3">
        <v>20</v>
      </c>
      <c r="K27" s="3">
        <v>0.8</v>
      </c>
      <c r="L27" s="3">
        <v>0</v>
      </c>
      <c r="M27" s="3">
        <v>25</v>
      </c>
      <c r="N27" s="3">
        <v>0</v>
      </c>
      <c r="O27" s="3">
        <v>3</v>
      </c>
      <c r="P27" s="3">
        <v>0</v>
      </c>
      <c r="Q27" s="3">
        <v>20</v>
      </c>
      <c r="R27" s="3">
        <v>30</v>
      </c>
      <c r="S27" s="3">
        <v>-20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1950</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2506</v>
      </c>
      <c r="BE27" s="6" t="s">
        <v>50</v>
      </c>
      <c r="BF27" s="6" t="s">
        <v>50</v>
      </c>
      <c r="BG27" s="6" t="s">
        <v>50</v>
      </c>
      <c r="BH27" s="6" t="s">
        <v>50</v>
      </c>
      <c r="BI27">
        <v>1</v>
      </c>
      <c r="BJ27">
        <v>0</v>
      </c>
      <c r="BK27">
        <v>2</v>
      </c>
      <c r="BL27">
        <v>0</v>
      </c>
      <c r="BM27">
        <v>0</v>
      </c>
      <c r="BN27">
        <v>0</v>
      </c>
      <c r="BO27">
        <v>0</v>
      </c>
    </row>
    <row r="28" spans="1:67" ht="15.75" customHeight="1" x14ac:dyDescent="0.2">
      <c r="A28" s="3">
        <f t="shared" si="0"/>
        <v>26</v>
      </c>
      <c r="B28" s="3" t="s">
        <v>2556</v>
      </c>
      <c r="C28" s="3" t="s">
        <v>2469</v>
      </c>
      <c r="D28" s="5" t="s">
        <v>2468</v>
      </c>
      <c r="E28" s="5" t="s">
        <v>2470</v>
      </c>
      <c r="F28" s="3">
        <v>0</v>
      </c>
      <c r="G28" s="3">
        <v>0</v>
      </c>
      <c r="H28" s="3">
        <v>0</v>
      </c>
      <c r="I28" s="3">
        <v>50</v>
      </c>
      <c r="J28" s="3">
        <v>20</v>
      </c>
      <c r="K28" s="3">
        <v>0.9</v>
      </c>
      <c r="L28" s="3">
        <v>0</v>
      </c>
      <c r="M28" s="3">
        <v>12</v>
      </c>
      <c r="N28" s="3">
        <v>0</v>
      </c>
      <c r="O28" s="3">
        <v>0</v>
      </c>
      <c r="P28" s="3">
        <v>15</v>
      </c>
      <c r="Q28" s="3">
        <v>-20</v>
      </c>
      <c r="R28" s="3">
        <v>5</v>
      </c>
      <c r="S28" s="3">
        <v>30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1950</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row>
    <row r="29" spans="1:67" ht="15.75" customHeight="1" x14ac:dyDescent="0.2">
      <c r="A29" s="3">
        <f t="shared" si="0"/>
        <v>27</v>
      </c>
      <c r="B29" s="3" t="s">
        <v>1926</v>
      </c>
      <c r="C29" s="3" t="s">
        <v>1926</v>
      </c>
      <c r="D29" s="5" t="s">
        <v>1927</v>
      </c>
      <c r="E29" s="5" t="s">
        <v>1928</v>
      </c>
      <c r="F29" s="3">
        <v>0</v>
      </c>
      <c r="G29" s="3">
        <v>0</v>
      </c>
      <c r="H29" s="3">
        <v>0</v>
      </c>
      <c r="I29" s="3">
        <v>50</v>
      </c>
      <c r="J29" s="3">
        <v>3</v>
      </c>
      <c r="K29" s="3">
        <v>0.99</v>
      </c>
      <c r="L29" s="3">
        <v>0</v>
      </c>
      <c r="M29" s="3">
        <v>10</v>
      </c>
      <c r="N29" s="3">
        <v>0</v>
      </c>
      <c r="O29" s="3">
        <v>0</v>
      </c>
      <c r="P29" s="3">
        <v>0</v>
      </c>
      <c r="Q29" s="3">
        <v>0</v>
      </c>
      <c r="R29" s="3">
        <v>10</v>
      </c>
      <c r="S29" s="3">
        <v>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2241</v>
      </c>
      <c r="AO29" s="3" t="s">
        <v>2160</v>
      </c>
      <c r="AP29" s="3">
        <v>0</v>
      </c>
      <c r="AQ29" s="3">
        <v>0</v>
      </c>
      <c r="AR29">
        <v>0</v>
      </c>
      <c r="AS29">
        <v>1</v>
      </c>
      <c r="AT29" s="6" t="s">
        <v>50</v>
      </c>
      <c r="AU29" s="6" t="s">
        <v>50</v>
      </c>
      <c r="AV29" s="6" t="s">
        <v>50</v>
      </c>
      <c r="AW29" s="6" t="s">
        <v>50</v>
      </c>
      <c r="AX29" s="6" t="s">
        <v>50</v>
      </c>
      <c r="AY29" s="6" t="s">
        <v>50</v>
      </c>
      <c r="AZ29" s="6" t="s">
        <v>50</v>
      </c>
      <c r="BA29" s="6" t="s">
        <v>50</v>
      </c>
      <c r="BB29" s="6" t="s">
        <v>50</v>
      </c>
      <c r="BC29" s="6" t="s">
        <v>50</v>
      </c>
      <c r="BD29" s="6" t="s">
        <v>2281</v>
      </c>
      <c r="BE29" s="6" t="s">
        <v>50</v>
      </c>
      <c r="BF29" s="6" t="s">
        <v>50</v>
      </c>
      <c r="BG29" s="6" t="s">
        <v>50</v>
      </c>
      <c r="BH29" s="6" t="s">
        <v>50</v>
      </c>
      <c r="BI29">
        <v>1</v>
      </c>
      <c r="BJ29">
        <v>0</v>
      </c>
      <c r="BK29">
        <v>1</v>
      </c>
      <c r="BL29">
        <v>0</v>
      </c>
      <c r="BM29">
        <v>0</v>
      </c>
      <c r="BN29">
        <v>0</v>
      </c>
      <c r="BO29">
        <v>0</v>
      </c>
    </row>
    <row r="30" spans="1:67" ht="15.75" customHeight="1" x14ac:dyDescent="0.2">
      <c r="A30" s="3">
        <f t="shared" si="0"/>
        <v>28</v>
      </c>
      <c r="B30" s="3" t="s">
        <v>1923</v>
      </c>
      <c r="C30" s="3" t="s">
        <v>1923</v>
      </c>
      <c r="D30" s="5" t="s">
        <v>1924</v>
      </c>
      <c r="E30" s="5" t="s">
        <v>1925</v>
      </c>
      <c r="F30" s="3">
        <v>0</v>
      </c>
      <c r="G30" s="3">
        <v>0</v>
      </c>
      <c r="H30" s="3">
        <v>0</v>
      </c>
      <c r="I30" s="3">
        <v>50</v>
      </c>
      <c r="J30" s="3">
        <v>30</v>
      </c>
      <c r="K30" s="3">
        <v>0.85</v>
      </c>
      <c r="L30" s="3">
        <v>0</v>
      </c>
      <c r="M30" s="3">
        <v>20</v>
      </c>
      <c r="N30" s="3">
        <v>10</v>
      </c>
      <c r="O30" s="3">
        <v>10</v>
      </c>
      <c r="P30" s="3">
        <v>13</v>
      </c>
      <c r="Q30" s="3">
        <v>0</v>
      </c>
      <c r="R30" s="3">
        <v>35</v>
      </c>
      <c r="S30" s="3">
        <v>10</v>
      </c>
      <c r="T30" s="3">
        <v>0</v>
      </c>
      <c r="U30" s="3">
        <v>0</v>
      </c>
      <c r="V30" s="3">
        <v>0</v>
      </c>
      <c r="W30" s="3">
        <v>-3</v>
      </c>
      <c r="X30" s="3">
        <v>0</v>
      </c>
      <c r="Y30" s="3">
        <v>5</v>
      </c>
      <c r="Z30" s="3">
        <v>0</v>
      </c>
      <c r="AA30" s="3">
        <v>12</v>
      </c>
      <c r="AB30" s="3">
        <v>0</v>
      </c>
      <c r="AC30" s="3">
        <v>0</v>
      </c>
      <c r="AD30" s="3">
        <v>0</v>
      </c>
      <c r="AE30" s="3">
        <v>0</v>
      </c>
      <c r="AF30" s="3">
        <v>0</v>
      </c>
      <c r="AG30" s="3">
        <v>0</v>
      </c>
      <c r="AH30" s="3">
        <v>0</v>
      </c>
      <c r="AI30" s="3">
        <v>0</v>
      </c>
      <c r="AJ30" s="3">
        <v>0</v>
      </c>
      <c r="AK30" s="3">
        <v>0</v>
      </c>
      <c r="AL30" s="3" t="s">
        <v>17</v>
      </c>
      <c r="AM30" s="3" t="s">
        <v>168</v>
      </c>
      <c r="AN30" s="3" t="s">
        <v>2241</v>
      </c>
      <c r="AO30" s="3" t="s">
        <v>2160</v>
      </c>
      <c r="AP30" s="3">
        <v>0</v>
      </c>
      <c r="AQ30" s="3">
        <v>20</v>
      </c>
      <c r="AR30">
        <v>0</v>
      </c>
      <c r="AS30">
        <v>50</v>
      </c>
      <c r="AT30" s="6" t="s">
        <v>50</v>
      </c>
      <c r="AU30" s="6" t="s">
        <v>50</v>
      </c>
      <c r="AV30" s="6" t="s">
        <v>50</v>
      </c>
      <c r="AW30" s="6" t="s">
        <v>50</v>
      </c>
      <c r="AX30" s="6" t="s">
        <v>50</v>
      </c>
      <c r="AY30" s="6" t="s">
        <v>50</v>
      </c>
      <c r="AZ30" s="6" t="s">
        <v>50</v>
      </c>
      <c r="BA30" s="6" t="s">
        <v>50</v>
      </c>
      <c r="BB30" s="6" t="s">
        <v>50</v>
      </c>
      <c r="BC30" s="6" t="s">
        <v>50</v>
      </c>
      <c r="BD30" s="6" t="s">
        <v>2287</v>
      </c>
      <c r="BE30" s="6" t="s">
        <v>50</v>
      </c>
      <c r="BF30" s="6" t="s">
        <v>50</v>
      </c>
      <c r="BG30" s="6" t="s">
        <v>50</v>
      </c>
      <c r="BH30" s="6" t="s">
        <v>50</v>
      </c>
      <c r="BI30">
        <v>1</v>
      </c>
      <c r="BJ30">
        <v>0</v>
      </c>
      <c r="BK30">
        <v>2</v>
      </c>
      <c r="BL30">
        <v>0</v>
      </c>
      <c r="BM30">
        <v>0</v>
      </c>
      <c r="BN30">
        <v>0</v>
      </c>
      <c r="BO30">
        <v>0</v>
      </c>
    </row>
    <row r="31" spans="1:67" ht="15.75" customHeight="1" x14ac:dyDescent="0.2">
      <c r="A31" s="3">
        <f t="shared" si="0"/>
        <v>29</v>
      </c>
      <c r="B31" s="3" t="s">
        <v>2042</v>
      </c>
      <c r="C31" s="3" t="s">
        <v>2042</v>
      </c>
      <c r="D31" s="5" t="s">
        <v>2568</v>
      </c>
      <c r="E31" s="5" t="s">
        <v>2483</v>
      </c>
      <c r="F31" s="3">
        <v>0</v>
      </c>
      <c r="G31" s="3">
        <v>0</v>
      </c>
      <c r="H31" s="3">
        <v>0</v>
      </c>
      <c r="I31" s="3">
        <v>50</v>
      </c>
      <c r="J31" s="3">
        <v>20</v>
      </c>
      <c r="K31" s="3">
        <v>0.85</v>
      </c>
      <c r="L31" s="3">
        <v>0</v>
      </c>
      <c r="M31" s="3">
        <v>30</v>
      </c>
      <c r="N31" s="3">
        <v>0</v>
      </c>
      <c r="O31" s="3">
        <v>0</v>
      </c>
      <c r="P31" s="3">
        <v>20</v>
      </c>
      <c r="Q31" s="3">
        <v>0</v>
      </c>
      <c r="R31" s="3">
        <v>35</v>
      </c>
      <c r="S31" s="3">
        <v>15</v>
      </c>
      <c r="T31" s="3">
        <v>0</v>
      </c>
      <c r="U31" s="3">
        <v>0</v>
      </c>
      <c r="V31" s="3">
        <v>0</v>
      </c>
      <c r="W31" s="3">
        <v>-3</v>
      </c>
      <c r="X31" s="3">
        <v>0</v>
      </c>
      <c r="Y31" s="3">
        <v>5</v>
      </c>
      <c r="Z31" s="3">
        <v>0</v>
      </c>
      <c r="AA31" s="3">
        <v>0</v>
      </c>
      <c r="AB31" s="3">
        <v>0</v>
      </c>
      <c r="AC31" s="3">
        <v>12</v>
      </c>
      <c r="AD31" s="3">
        <v>0</v>
      </c>
      <c r="AE31" s="3">
        <v>0</v>
      </c>
      <c r="AF31" s="3">
        <v>0</v>
      </c>
      <c r="AG31" s="3">
        <v>0</v>
      </c>
      <c r="AH31" s="3">
        <v>0</v>
      </c>
      <c r="AI31" s="3">
        <v>0</v>
      </c>
      <c r="AJ31" s="3">
        <v>0</v>
      </c>
      <c r="AK31" s="3">
        <v>0</v>
      </c>
      <c r="AL31" s="3" t="s">
        <v>17</v>
      </c>
      <c r="AM31" s="3" t="s">
        <v>168</v>
      </c>
      <c r="AN31" s="3" t="s">
        <v>2241</v>
      </c>
      <c r="AO31" s="3" t="s">
        <v>2160</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2288</v>
      </c>
      <c r="BE31" s="6" t="s">
        <v>50</v>
      </c>
      <c r="BF31" s="6" t="s">
        <v>50</v>
      </c>
      <c r="BG31" s="6" t="s">
        <v>50</v>
      </c>
      <c r="BH31" s="6" t="s">
        <v>50</v>
      </c>
      <c r="BI31">
        <v>1</v>
      </c>
      <c r="BJ31">
        <v>0</v>
      </c>
      <c r="BK31">
        <v>2</v>
      </c>
      <c r="BL31">
        <v>0</v>
      </c>
      <c r="BM31">
        <v>0</v>
      </c>
      <c r="BN31">
        <v>0</v>
      </c>
      <c r="BO31">
        <v>0</v>
      </c>
    </row>
    <row r="32" spans="1:67" ht="15.75" customHeight="1" x14ac:dyDescent="0.2">
      <c r="A32" s="3">
        <f t="shared" si="0"/>
        <v>30</v>
      </c>
      <c r="B32" s="3" t="s">
        <v>2258</v>
      </c>
      <c r="C32" s="3" t="s">
        <v>2258</v>
      </c>
      <c r="D32" s="5" t="s">
        <v>2574</v>
      </c>
      <c r="E32" s="5" t="s">
        <v>2575</v>
      </c>
      <c r="F32" s="3">
        <v>0</v>
      </c>
      <c r="G32" s="3">
        <v>0</v>
      </c>
      <c r="H32" s="3">
        <v>0</v>
      </c>
      <c r="I32" s="3">
        <v>50</v>
      </c>
      <c r="J32" s="3">
        <v>30</v>
      </c>
      <c r="K32" s="3">
        <v>0.85</v>
      </c>
      <c r="L32" s="3">
        <v>0</v>
      </c>
      <c r="M32" s="3">
        <v>20</v>
      </c>
      <c r="N32" s="3">
        <v>10</v>
      </c>
      <c r="O32" s="3">
        <v>10</v>
      </c>
      <c r="P32" s="3">
        <v>13</v>
      </c>
      <c r="Q32" s="3">
        <v>0</v>
      </c>
      <c r="R32" s="3">
        <v>35</v>
      </c>
      <c r="S32" s="3">
        <v>10</v>
      </c>
      <c r="T32" s="3">
        <v>0</v>
      </c>
      <c r="U32" s="3">
        <v>0</v>
      </c>
      <c r="V32" s="3">
        <v>0</v>
      </c>
      <c r="W32" s="3">
        <v>-3</v>
      </c>
      <c r="X32" s="3">
        <v>0</v>
      </c>
      <c r="Y32" s="3">
        <v>5</v>
      </c>
      <c r="Z32" s="3">
        <v>0</v>
      </c>
      <c r="AA32" s="3">
        <v>0</v>
      </c>
      <c r="AB32" s="3">
        <v>12</v>
      </c>
      <c r="AC32" s="3">
        <v>0</v>
      </c>
      <c r="AD32" s="3">
        <v>0</v>
      </c>
      <c r="AE32" s="3">
        <v>0</v>
      </c>
      <c r="AF32" s="3">
        <v>0</v>
      </c>
      <c r="AG32" s="3">
        <v>0</v>
      </c>
      <c r="AH32" s="3">
        <v>0</v>
      </c>
      <c r="AI32" s="3">
        <v>0</v>
      </c>
      <c r="AJ32" s="3">
        <v>0</v>
      </c>
      <c r="AK32" s="3">
        <v>0</v>
      </c>
      <c r="AL32" s="3" t="s">
        <v>17</v>
      </c>
      <c r="AM32" s="3" t="s">
        <v>168</v>
      </c>
      <c r="AN32" s="3" t="s">
        <v>2241</v>
      </c>
      <c r="AO32" s="3" t="s">
        <v>2160</v>
      </c>
      <c r="AP32" s="3">
        <v>0</v>
      </c>
      <c r="AQ32" s="3">
        <v>20</v>
      </c>
      <c r="AR32">
        <v>0</v>
      </c>
      <c r="AS32">
        <v>50</v>
      </c>
      <c r="AT32" s="6" t="s">
        <v>50</v>
      </c>
      <c r="AU32" s="6" t="s">
        <v>50</v>
      </c>
      <c r="AV32" s="6" t="s">
        <v>50</v>
      </c>
      <c r="AW32" s="6" t="s">
        <v>50</v>
      </c>
      <c r="AX32" s="6" t="s">
        <v>50</v>
      </c>
      <c r="AY32" s="6" t="s">
        <v>50</v>
      </c>
      <c r="AZ32" s="6" t="s">
        <v>50</v>
      </c>
      <c r="BA32" s="6" t="s">
        <v>50</v>
      </c>
      <c r="BB32" s="6" t="s">
        <v>50</v>
      </c>
      <c r="BC32" s="6" t="s">
        <v>50</v>
      </c>
      <c r="BD32" s="6" t="s">
        <v>2289</v>
      </c>
      <c r="BE32" s="6" t="s">
        <v>50</v>
      </c>
      <c r="BF32" s="6" t="s">
        <v>50</v>
      </c>
      <c r="BG32" s="6" t="s">
        <v>50</v>
      </c>
      <c r="BH32" s="6" t="s">
        <v>50</v>
      </c>
      <c r="BI32">
        <v>1</v>
      </c>
      <c r="BJ32">
        <v>0</v>
      </c>
      <c r="BK32">
        <v>2</v>
      </c>
      <c r="BL32">
        <v>0</v>
      </c>
      <c r="BM32">
        <v>0</v>
      </c>
      <c r="BN32">
        <v>0</v>
      </c>
      <c r="BO32">
        <v>0</v>
      </c>
    </row>
    <row r="33" spans="1:67" ht="15.75" customHeight="1" x14ac:dyDescent="0.2">
      <c r="A33" s="3">
        <f t="shared" si="0"/>
        <v>31</v>
      </c>
      <c r="B33" s="3" t="s">
        <v>2570</v>
      </c>
      <c r="C33" s="3" t="s">
        <v>2481</v>
      </c>
      <c r="D33" s="5" t="s">
        <v>2480</v>
      </c>
      <c r="E33" s="5" t="s">
        <v>2482</v>
      </c>
      <c r="F33" s="3">
        <v>0</v>
      </c>
      <c r="G33" s="3">
        <v>0</v>
      </c>
      <c r="H33" s="3">
        <v>0</v>
      </c>
      <c r="I33" s="3">
        <v>50</v>
      </c>
      <c r="J33" s="3">
        <v>30</v>
      </c>
      <c r="K33" s="3">
        <v>0.8</v>
      </c>
      <c r="L33" s="3">
        <v>0</v>
      </c>
      <c r="M33" s="3">
        <v>20</v>
      </c>
      <c r="N33" s="3">
        <v>10</v>
      </c>
      <c r="O33" s="3">
        <v>10</v>
      </c>
      <c r="P33" s="3">
        <v>13</v>
      </c>
      <c r="Q33" s="3">
        <v>0</v>
      </c>
      <c r="R33" s="3">
        <v>35</v>
      </c>
      <c r="S33" s="3">
        <v>10</v>
      </c>
      <c r="T33" s="3">
        <v>0</v>
      </c>
      <c r="U33" s="3">
        <v>0</v>
      </c>
      <c r="V33" s="3">
        <v>0</v>
      </c>
      <c r="W33" s="3">
        <v>-3</v>
      </c>
      <c r="X33" s="3">
        <v>0</v>
      </c>
      <c r="Y33" s="3">
        <v>5</v>
      </c>
      <c r="Z33" s="3">
        <v>0</v>
      </c>
      <c r="AA33" s="3">
        <v>8</v>
      </c>
      <c r="AB33" s="3">
        <v>0</v>
      </c>
      <c r="AC33" s="3">
        <v>0</v>
      </c>
      <c r="AD33" s="3">
        <v>0</v>
      </c>
      <c r="AE33" s="3">
        <v>0</v>
      </c>
      <c r="AF33" s="3">
        <v>0</v>
      </c>
      <c r="AG33" s="3">
        <v>0</v>
      </c>
      <c r="AH33" s="3">
        <v>0</v>
      </c>
      <c r="AI33" s="3">
        <v>0</v>
      </c>
      <c r="AJ33" s="3">
        <v>0</v>
      </c>
      <c r="AK33" s="3">
        <v>0</v>
      </c>
      <c r="AL33" s="3" t="s">
        <v>17</v>
      </c>
      <c r="AM33" s="3" t="s">
        <v>168</v>
      </c>
      <c r="AN33" s="3" t="s">
        <v>2241</v>
      </c>
      <c r="AO33" s="3" t="s">
        <v>2160</v>
      </c>
      <c r="AP33" s="3">
        <v>0</v>
      </c>
      <c r="AQ33" s="3">
        <v>20</v>
      </c>
      <c r="AR33">
        <v>0</v>
      </c>
      <c r="AS33">
        <v>50</v>
      </c>
      <c r="AT33" s="6" t="s">
        <v>50</v>
      </c>
      <c r="AU33" s="6" t="s">
        <v>50</v>
      </c>
      <c r="AV33" s="6" t="s">
        <v>50</v>
      </c>
      <c r="AW33" s="6" t="s">
        <v>50</v>
      </c>
      <c r="AX33" s="6" t="s">
        <v>50</v>
      </c>
      <c r="AY33" s="6" t="s">
        <v>50</v>
      </c>
      <c r="AZ33" s="6" t="s">
        <v>50</v>
      </c>
      <c r="BA33" s="6" t="s">
        <v>50</v>
      </c>
      <c r="BB33" s="6" t="s">
        <v>50</v>
      </c>
      <c r="BC33" s="6" t="s">
        <v>50</v>
      </c>
      <c r="BD33" s="6" t="s">
        <v>2507</v>
      </c>
      <c r="BE33" s="6" t="s">
        <v>50</v>
      </c>
      <c r="BF33" s="6" t="s">
        <v>50</v>
      </c>
      <c r="BG33" s="6" t="s">
        <v>50</v>
      </c>
      <c r="BH33" s="6" t="s">
        <v>50</v>
      </c>
      <c r="BI33">
        <v>1</v>
      </c>
      <c r="BJ33">
        <v>0</v>
      </c>
      <c r="BK33">
        <v>2</v>
      </c>
      <c r="BL33">
        <v>0</v>
      </c>
      <c r="BM33">
        <v>0</v>
      </c>
      <c r="BN33">
        <v>0</v>
      </c>
      <c r="BO33">
        <v>0</v>
      </c>
    </row>
    <row r="34" spans="1:67" ht="15.75" customHeight="1" x14ac:dyDescent="0.2">
      <c r="A34" s="3">
        <f t="shared" si="0"/>
        <v>32</v>
      </c>
      <c r="B34" s="3" t="s">
        <v>2569</v>
      </c>
      <c r="C34" s="3" t="s">
        <v>2485</v>
      </c>
      <c r="D34" s="5" t="s">
        <v>2484</v>
      </c>
      <c r="E34" s="5" t="s">
        <v>2579</v>
      </c>
      <c r="F34" s="3">
        <v>0</v>
      </c>
      <c r="G34" s="3">
        <v>0</v>
      </c>
      <c r="H34" s="3">
        <v>0</v>
      </c>
      <c r="I34" s="3">
        <v>50</v>
      </c>
      <c r="J34" s="3">
        <v>30</v>
      </c>
      <c r="K34" s="3">
        <v>0.8</v>
      </c>
      <c r="L34" s="3">
        <v>0</v>
      </c>
      <c r="M34" s="3">
        <v>20</v>
      </c>
      <c r="N34" s="3">
        <v>10</v>
      </c>
      <c r="O34" s="3">
        <v>10</v>
      </c>
      <c r="P34" s="3">
        <v>13</v>
      </c>
      <c r="Q34" s="3">
        <v>0</v>
      </c>
      <c r="R34" s="3">
        <v>35</v>
      </c>
      <c r="S34" s="3">
        <v>10</v>
      </c>
      <c r="T34" s="3">
        <v>0</v>
      </c>
      <c r="U34" s="3">
        <v>0</v>
      </c>
      <c r="V34" s="3">
        <v>0</v>
      </c>
      <c r="W34" s="3">
        <v>-3</v>
      </c>
      <c r="X34" s="3">
        <v>0</v>
      </c>
      <c r="Y34" s="3">
        <v>5</v>
      </c>
      <c r="Z34" s="3">
        <v>0</v>
      </c>
      <c r="AA34" s="3">
        <v>8</v>
      </c>
      <c r="AB34" s="3">
        <v>0</v>
      </c>
      <c r="AC34" s="3">
        <v>0</v>
      </c>
      <c r="AD34" s="3">
        <v>0</v>
      </c>
      <c r="AE34" s="3">
        <v>0</v>
      </c>
      <c r="AF34" s="3">
        <v>0</v>
      </c>
      <c r="AG34" s="3">
        <v>0</v>
      </c>
      <c r="AH34" s="3">
        <v>0</v>
      </c>
      <c r="AI34" s="3">
        <v>0</v>
      </c>
      <c r="AJ34" s="3">
        <v>0</v>
      </c>
      <c r="AK34" s="3">
        <v>0</v>
      </c>
      <c r="AL34" s="3" t="s">
        <v>17</v>
      </c>
      <c r="AM34" s="3" t="s">
        <v>168</v>
      </c>
      <c r="AN34" s="3" t="s">
        <v>2241</v>
      </c>
      <c r="AO34" s="3" t="s">
        <v>2160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2508</v>
      </c>
      <c r="BE34" s="6" t="s">
        <v>50</v>
      </c>
      <c r="BF34" s="6" t="s">
        <v>50</v>
      </c>
      <c r="BG34" s="6" t="s">
        <v>50</v>
      </c>
      <c r="BH34" s="6" t="s">
        <v>50</v>
      </c>
      <c r="BI34">
        <v>1</v>
      </c>
      <c r="BJ34">
        <v>0</v>
      </c>
      <c r="BK34">
        <v>2</v>
      </c>
      <c r="BL34">
        <v>0</v>
      </c>
      <c r="BM34">
        <v>0</v>
      </c>
      <c r="BN34">
        <v>0</v>
      </c>
      <c r="BO34">
        <v>0</v>
      </c>
    </row>
    <row r="35" spans="1:67" ht="15.75" customHeight="1" x14ac:dyDescent="0.2">
      <c r="A35" s="3">
        <f t="shared" si="0"/>
        <v>33</v>
      </c>
      <c r="B35" s="3" t="s">
        <v>2571</v>
      </c>
      <c r="C35" s="3" t="s">
        <v>2486</v>
      </c>
      <c r="D35" s="5" t="s">
        <v>2491</v>
      </c>
      <c r="E35" s="5" t="s">
        <v>2578</v>
      </c>
      <c r="F35" s="3">
        <v>0</v>
      </c>
      <c r="G35" s="3">
        <v>0</v>
      </c>
      <c r="H35" s="3">
        <v>0</v>
      </c>
      <c r="I35" s="3">
        <v>50</v>
      </c>
      <c r="J35" s="3">
        <v>30</v>
      </c>
      <c r="K35" s="3">
        <v>0.8</v>
      </c>
      <c r="L35" s="3">
        <v>0</v>
      </c>
      <c r="M35" s="3">
        <v>20</v>
      </c>
      <c r="N35" s="3">
        <v>10</v>
      </c>
      <c r="O35" s="3">
        <v>10</v>
      </c>
      <c r="P35" s="3">
        <v>13</v>
      </c>
      <c r="Q35" s="3">
        <v>0</v>
      </c>
      <c r="R35" s="3">
        <v>35</v>
      </c>
      <c r="S35" s="3">
        <v>10</v>
      </c>
      <c r="T35" s="3">
        <v>0</v>
      </c>
      <c r="U35" s="3">
        <v>0</v>
      </c>
      <c r="V35" s="3">
        <v>0</v>
      </c>
      <c r="W35" s="3">
        <v>-3</v>
      </c>
      <c r="X35" s="3">
        <v>0</v>
      </c>
      <c r="Y35" s="3">
        <v>5</v>
      </c>
      <c r="Z35" s="3">
        <v>0</v>
      </c>
      <c r="AA35" s="3">
        <v>8</v>
      </c>
      <c r="AB35" s="3">
        <v>0</v>
      </c>
      <c r="AC35" s="3">
        <v>0</v>
      </c>
      <c r="AD35" s="3">
        <v>0</v>
      </c>
      <c r="AE35" s="3">
        <v>0</v>
      </c>
      <c r="AF35" s="3">
        <v>0</v>
      </c>
      <c r="AG35" s="3">
        <v>0</v>
      </c>
      <c r="AH35" s="3">
        <v>0</v>
      </c>
      <c r="AI35" s="3">
        <v>0</v>
      </c>
      <c r="AJ35" s="3">
        <v>0</v>
      </c>
      <c r="AK35" s="3">
        <v>0</v>
      </c>
      <c r="AL35" s="3" t="s">
        <v>17</v>
      </c>
      <c r="AM35" s="3" t="s">
        <v>168</v>
      </c>
      <c r="AN35" s="3" t="s">
        <v>2241</v>
      </c>
      <c r="AO35" s="3" t="s">
        <v>2160</v>
      </c>
      <c r="AP35" s="3">
        <v>0</v>
      </c>
      <c r="AQ35" s="3">
        <v>20</v>
      </c>
      <c r="AR35">
        <v>0</v>
      </c>
      <c r="AS35">
        <v>50</v>
      </c>
      <c r="AT35" s="6" t="s">
        <v>50</v>
      </c>
      <c r="AU35" s="6" t="s">
        <v>50</v>
      </c>
      <c r="AV35" s="6" t="s">
        <v>50</v>
      </c>
      <c r="AW35" s="6" t="s">
        <v>50</v>
      </c>
      <c r="AX35" s="6" t="s">
        <v>50</v>
      </c>
      <c r="AY35" s="6" t="s">
        <v>50</v>
      </c>
      <c r="AZ35" s="6" t="s">
        <v>50</v>
      </c>
      <c r="BA35" s="6" t="s">
        <v>50</v>
      </c>
      <c r="BB35" s="6" t="s">
        <v>50</v>
      </c>
      <c r="BC35" s="6" t="s">
        <v>50</v>
      </c>
      <c r="BD35" s="6" t="s">
        <v>2509</v>
      </c>
      <c r="BE35" s="6" t="s">
        <v>50</v>
      </c>
      <c r="BF35" s="6" t="s">
        <v>50</v>
      </c>
      <c r="BG35" s="6" t="s">
        <v>50</v>
      </c>
      <c r="BH35" s="6" t="s">
        <v>50</v>
      </c>
      <c r="BI35">
        <v>1</v>
      </c>
      <c r="BJ35">
        <v>0</v>
      </c>
      <c r="BK35">
        <v>2</v>
      </c>
      <c r="BL35">
        <v>0</v>
      </c>
      <c r="BM35">
        <v>0</v>
      </c>
      <c r="BN35">
        <v>0</v>
      </c>
      <c r="BO35">
        <v>0</v>
      </c>
    </row>
    <row r="36" spans="1:67" ht="15.75" customHeight="1" x14ac:dyDescent="0.2">
      <c r="A36" s="3">
        <f t="shared" si="0"/>
        <v>34</v>
      </c>
      <c r="B36" s="3" t="s">
        <v>2572</v>
      </c>
      <c r="C36" s="3" t="s">
        <v>2487</v>
      </c>
      <c r="D36" s="5" t="s">
        <v>2576</v>
      </c>
      <c r="E36" s="5" t="s">
        <v>2489</v>
      </c>
      <c r="F36" s="3">
        <v>0</v>
      </c>
      <c r="G36" s="3">
        <v>0</v>
      </c>
      <c r="H36" s="3">
        <v>0</v>
      </c>
      <c r="I36" s="3">
        <v>50</v>
      </c>
      <c r="J36" s="3">
        <v>30</v>
      </c>
      <c r="K36" s="3">
        <v>0.8</v>
      </c>
      <c r="L36" s="3">
        <v>0</v>
      </c>
      <c r="M36" s="3">
        <v>20</v>
      </c>
      <c r="N36" s="3">
        <v>10</v>
      </c>
      <c r="O36" s="3">
        <v>10</v>
      </c>
      <c r="P36" s="3">
        <v>13</v>
      </c>
      <c r="Q36" s="3">
        <v>0</v>
      </c>
      <c r="R36" s="3">
        <v>35</v>
      </c>
      <c r="S36" s="3">
        <v>10</v>
      </c>
      <c r="T36" s="3">
        <v>0</v>
      </c>
      <c r="U36" s="3">
        <v>0</v>
      </c>
      <c r="V36" s="3">
        <v>0</v>
      </c>
      <c r="W36" s="3">
        <v>-3</v>
      </c>
      <c r="X36" s="3">
        <v>0</v>
      </c>
      <c r="Y36" s="3">
        <v>5</v>
      </c>
      <c r="Z36" s="3">
        <v>0</v>
      </c>
      <c r="AA36" s="3">
        <v>8</v>
      </c>
      <c r="AB36" s="3">
        <v>0</v>
      </c>
      <c r="AC36" s="3">
        <v>0</v>
      </c>
      <c r="AD36" s="3">
        <v>0</v>
      </c>
      <c r="AE36" s="3">
        <v>0</v>
      </c>
      <c r="AF36" s="3">
        <v>0</v>
      </c>
      <c r="AG36" s="3">
        <v>0</v>
      </c>
      <c r="AH36" s="3">
        <v>0</v>
      </c>
      <c r="AI36" s="3">
        <v>0</v>
      </c>
      <c r="AJ36" s="3">
        <v>0</v>
      </c>
      <c r="AK36" s="3">
        <v>0</v>
      </c>
      <c r="AL36" s="3" t="s">
        <v>17</v>
      </c>
      <c r="AM36" s="3" t="s">
        <v>168</v>
      </c>
      <c r="AN36" s="3" t="s">
        <v>2241</v>
      </c>
      <c r="AO36" s="3" t="s">
        <v>2160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2510</v>
      </c>
      <c r="BE36" s="6" t="s">
        <v>50</v>
      </c>
      <c r="BF36" s="6" t="s">
        <v>50</v>
      </c>
      <c r="BG36" s="6" t="s">
        <v>50</v>
      </c>
      <c r="BH36" s="6" t="s">
        <v>50</v>
      </c>
      <c r="BI36">
        <v>1</v>
      </c>
      <c r="BJ36">
        <v>0</v>
      </c>
      <c r="BK36">
        <v>2</v>
      </c>
      <c r="BL36">
        <v>0</v>
      </c>
      <c r="BM36">
        <v>0</v>
      </c>
      <c r="BN36">
        <v>0</v>
      </c>
      <c r="BO36">
        <v>0</v>
      </c>
    </row>
    <row r="37" spans="1:67" ht="15.75" customHeight="1" x14ac:dyDescent="0.2">
      <c r="A37" s="3">
        <f t="shared" si="0"/>
        <v>35</v>
      </c>
      <c r="B37" s="3" t="s">
        <v>2573</v>
      </c>
      <c r="C37" s="3" t="s">
        <v>2488</v>
      </c>
      <c r="D37" s="5" t="s">
        <v>2577</v>
      </c>
      <c r="E37" s="5" t="s">
        <v>2490</v>
      </c>
      <c r="F37" s="3">
        <v>0</v>
      </c>
      <c r="G37" s="3">
        <v>0</v>
      </c>
      <c r="H37" s="3">
        <v>0</v>
      </c>
      <c r="I37" s="3">
        <v>50</v>
      </c>
      <c r="J37" s="3">
        <v>30</v>
      </c>
      <c r="K37" s="3">
        <v>0.8</v>
      </c>
      <c r="L37" s="3">
        <v>0</v>
      </c>
      <c r="M37" s="3">
        <v>20</v>
      </c>
      <c r="N37" s="3">
        <v>10</v>
      </c>
      <c r="O37" s="3">
        <v>10</v>
      </c>
      <c r="P37" s="3">
        <v>13</v>
      </c>
      <c r="Q37" s="3">
        <v>0</v>
      </c>
      <c r="R37" s="3">
        <v>35</v>
      </c>
      <c r="S37" s="3">
        <v>10</v>
      </c>
      <c r="T37" s="3">
        <v>0</v>
      </c>
      <c r="U37" s="3">
        <v>0</v>
      </c>
      <c r="V37" s="3">
        <v>0</v>
      </c>
      <c r="W37" s="3">
        <v>-3</v>
      </c>
      <c r="X37" s="3">
        <v>0</v>
      </c>
      <c r="Y37" s="3">
        <v>5</v>
      </c>
      <c r="Z37" s="3">
        <v>0</v>
      </c>
      <c r="AA37" s="3">
        <v>8</v>
      </c>
      <c r="AB37" s="3">
        <v>0</v>
      </c>
      <c r="AC37" s="3">
        <v>0</v>
      </c>
      <c r="AD37" s="3">
        <v>0</v>
      </c>
      <c r="AE37" s="3">
        <v>0</v>
      </c>
      <c r="AF37" s="3">
        <v>0</v>
      </c>
      <c r="AG37" s="3">
        <v>0</v>
      </c>
      <c r="AH37" s="3">
        <v>0</v>
      </c>
      <c r="AI37" s="3">
        <v>0</v>
      </c>
      <c r="AJ37" s="3">
        <v>0</v>
      </c>
      <c r="AK37" s="3">
        <v>0</v>
      </c>
      <c r="AL37" s="3" t="s">
        <v>17</v>
      </c>
      <c r="AM37" s="3" t="s">
        <v>168</v>
      </c>
      <c r="AN37" s="3" t="s">
        <v>2241</v>
      </c>
      <c r="AO37" s="3" t="s">
        <v>2160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2511</v>
      </c>
      <c r="BE37" s="6" t="s">
        <v>50</v>
      </c>
      <c r="BF37" s="6" t="s">
        <v>50</v>
      </c>
      <c r="BG37" s="6" t="s">
        <v>50</v>
      </c>
      <c r="BH37" s="6" t="s">
        <v>50</v>
      </c>
      <c r="BI37">
        <v>1</v>
      </c>
      <c r="BJ37">
        <v>0</v>
      </c>
      <c r="BK37">
        <v>2</v>
      </c>
      <c r="BL37">
        <v>0</v>
      </c>
      <c r="BM37">
        <v>0</v>
      </c>
      <c r="BN37">
        <v>0</v>
      </c>
      <c r="BO37">
        <v>0</v>
      </c>
    </row>
    <row r="38" spans="1:67" ht="15.75" customHeight="1" x14ac:dyDescent="0.2">
      <c r="A38" s="3">
        <f t="shared" si="0"/>
        <v>36</v>
      </c>
      <c r="B38" s="3" t="s">
        <v>1929</v>
      </c>
      <c r="C38" s="3" t="s">
        <v>1929</v>
      </c>
      <c r="D38" s="5" t="s">
        <v>1930</v>
      </c>
      <c r="E38" s="5" t="s">
        <v>1931</v>
      </c>
      <c r="F38" s="3">
        <v>0</v>
      </c>
      <c r="G38" s="3">
        <v>0</v>
      </c>
      <c r="H38" s="3">
        <v>0</v>
      </c>
      <c r="I38" s="3">
        <v>50</v>
      </c>
      <c r="J38" s="3">
        <v>30</v>
      </c>
      <c r="K38" s="3">
        <v>0.6</v>
      </c>
      <c r="L38" s="3">
        <v>0</v>
      </c>
      <c r="M38" s="3">
        <v>20</v>
      </c>
      <c r="N38" s="3">
        <v>10</v>
      </c>
      <c r="O38" s="3">
        <v>10</v>
      </c>
      <c r="P38" s="3">
        <v>20</v>
      </c>
      <c r="Q38" s="3">
        <v>0</v>
      </c>
      <c r="R38" s="3">
        <v>35</v>
      </c>
      <c r="S38" s="3">
        <v>10</v>
      </c>
      <c r="T38" s="3">
        <v>0</v>
      </c>
      <c r="U38" s="3">
        <v>0</v>
      </c>
      <c r="V38" s="3">
        <v>0</v>
      </c>
      <c r="W38" s="3">
        <v>-3</v>
      </c>
      <c r="X38" s="3">
        <v>0</v>
      </c>
      <c r="Y38" s="3">
        <v>10</v>
      </c>
      <c r="Z38" s="3">
        <v>0</v>
      </c>
      <c r="AA38" s="3">
        <v>0</v>
      </c>
      <c r="AB38" s="3">
        <v>0</v>
      </c>
      <c r="AC38" s="3">
        <v>0</v>
      </c>
      <c r="AD38" s="3">
        <v>0</v>
      </c>
      <c r="AE38" s="3">
        <v>0</v>
      </c>
      <c r="AF38" s="3">
        <v>0</v>
      </c>
      <c r="AG38" s="3">
        <v>0</v>
      </c>
      <c r="AH38" s="3">
        <v>0</v>
      </c>
      <c r="AI38" s="3">
        <v>0</v>
      </c>
      <c r="AJ38" s="3">
        <v>0</v>
      </c>
      <c r="AK38" s="3">
        <v>0</v>
      </c>
      <c r="AL38" s="3" t="s">
        <v>17</v>
      </c>
      <c r="AM38" s="3" t="s">
        <v>168</v>
      </c>
      <c r="AN38" s="3" t="s">
        <v>2241</v>
      </c>
      <c r="AO38" s="3" t="s">
        <v>2160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2290</v>
      </c>
      <c r="BE38" s="6" t="s">
        <v>50</v>
      </c>
      <c r="BF38" s="6" t="s">
        <v>50</v>
      </c>
      <c r="BG38" s="6" t="s">
        <v>50</v>
      </c>
      <c r="BH38" s="6" t="s">
        <v>50</v>
      </c>
      <c r="BI38">
        <v>1</v>
      </c>
      <c r="BJ38">
        <v>0</v>
      </c>
      <c r="BK38">
        <v>3</v>
      </c>
      <c r="BL38">
        <v>0</v>
      </c>
      <c r="BM38">
        <v>0</v>
      </c>
      <c r="BN38">
        <v>0</v>
      </c>
      <c r="BO38">
        <v>0</v>
      </c>
    </row>
    <row r="39" spans="1:67" ht="15.75" customHeight="1" x14ac:dyDescent="0.2">
      <c r="A39" s="3">
        <f t="shared" si="0"/>
        <v>37</v>
      </c>
      <c r="B39" s="3" t="s">
        <v>1932</v>
      </c>
      <c r="C39" s="3" t="s">
        <v>1932</v>
      </c>
      <c r="D39" s="5" t="s">
        <v>1933</v>
      </c>
      <c r="E39" s="5" t="s">
        <v>1934</v>
      </c>
      <c r="F39" s="3">
        <v>0</v>
      </c>
      <c r="G39" s="3">
        <v>0</v>
      </c>
      <c r="H39" s="3">
        <v>0</v>
      </c>
      <c r="I39" s="3">
        <v>50</v>
      </c>
      <c r="J39" s="3">
        <v>30</v>
      </c>
      <c r="K39" s="3">
        <v>0.6</v>
      </c>
      <c r="L39" s="3">
        <v>0</v>
      </c>
      <c r="M39" s="3">
        <v>30</v>
      </c>
      <c r="N39" s="3">
        <v>0</v>
      </c>
      <c r="O39" s="3">
        <v>0</v>
      </c>
      <c r="P39" s="3">
        <v>0</v>
      </c>
      <c r="Q39" s="3">
        <v>0</v>
      </c>
      <c r="R39" s="3">
        <v>10</v>
      </c>
      <c r="S39" s="3">
        <v>30</v>
      </c>
      <c r="T39" s="3">
        <v>0</v>
      </c>
      <c r="U39" s="3">
        <v>0</v>
      </c>
      <c r="V39" s="3">
        <v>0</v>
      </c>
      <c r="W39" s="3">
        <v>-3</v>
      </c>
      <c r="X39" s="3">
        <v>0</v>
      </c>
      <c r="Y39" s="3">
        <v>10</v>
      </c>
      <c r="Z39" s="3">
        <v>0</v>
      </c>
      <c r="AA39" s="3">
        <v>0</v>
      </c>
      <c r="AB39" s="3">
        <v>0</v>
      </c>
      <c r="AC39" s="3">
        <v>0</v>
      </c>
      <c r="AD39" s="3">
        <v>0</v>
      </c>
      <c r="AE39" s="3">
        <v>0</v>
      </c>
      <c r="AF39" s="3">
        <v>0</v>
      </c>
      <c r="AG39" s="3">
        <v>0</v>
      </c>
      <c r="AH39" s="3">
        <v>0</v>
      </c>
      <c r="AI39" s="3">
        <v>0</v>
      </c>
      <c r="AJ39" s="3">
        <v>0</v>
      </c>
      <c r="AK39" s="3">
        <v>0</v>
      </c>
      <c r="AL39" s="3" t="s">
        <v>17</v>
      </c>
      <c r="AM39" s="3" t="s">
        <v>168</v>
      </c>
      <c r="AN39" s="3" t="s">
        <v>2241</v>
      </c>
      <c r="AO39" s="3" t="s">
        <v>2160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2291</v>
      </c>
      <c r="BE39" s="6" t="s">
        <v>50</v>
      </c>
      <c r="BF39" s="6" t="s">
        <v>50</v>
      </c>
      <c r="BG39" s="6" t="s">
        <v>50</v>
      </c>
      <c r="BH39" s="6" t="s">
        <v>50</v>
      </c>
      <c r="BI39">
        <v>1</v>
      </c>
      <c r="BJ39">
        <v>0</v>
      </c>
      <c r="BK39">
        <v>3</v>
      </c>
      <c r="BL39">
        <v>0</v>
      </c>
      <c r="BM39">
        <v>0</v>
      </c>
      <c r="BN39">
        <v>0</v>
      </c>
      <c r="BO39">
        <v>0</v>
      </c>
    </row>
    <row r="40" spans="1:67" ht="15.75" customHeight="1" x14ac:dyDescent="0.2">
      <c r="A40" s="3">
        <f t="shared" si="0"/>
        <v>38</v>
      </c>
      <c r="B40" s="3" t="s">
        <v>56</v>
      </c>
      <c r="C40" s="3" t="s">
        <v>56</v>
      </c>
      <c r="D40" s="5" t="s">
        <v>24</v>
      </c>
      <c r="E40" s="5" t="s">
        <v>127</v>
      </c>
      <c r="F40" s="3">
        <v>0</v>
      </c>
      <c r="G40" s="3">
        <v>0</v>
      </c>
      <c r="H40" s="3">
        <v>0</v>
      </c>
      <c r="I40" s="3">
        <v>50</v>
      </c>
      <c r="J40" s="3">
        <v>5</v>
      </c>
      <c r="K40" s="3">
        <v>0.98</v>
      </c>
      <c r="L40" s="3">
        <v>0</v>
      </c>
      <c r="M40" s="3">
        <v>0</v>
      </c>
      <c r="N40" s="3">
        <v>0</v>
      </c>
      <c r="O40" s="3">
        <v>0</v>
      </c>
      <c r="P40" s="3">
        <v>0</v>
      </c>
      <c r="Q40" s="3">
        <v>12</v>
      </c>
      <c r="R40" s="3">
        <v>10</v>
      </c>
      <c r="S40" s="3">
        <v>0</v>
      </c>
      <c r="T40" s="3">
        <v>0</v>
      </c>
      <c r="U40" s="3">
        <v>0</v>
      </c>
      <c r="V40" s="3">
        <v>-2</v>
      </c>
      <c r="W40" s="3">
        <v>0</v>
      </c>
      <c r="X40" s="3">
        <v>3</v>
      </c>
      <c r="Y40" s="3">
        <v>0</v>
      </c>
      <c r="Z40" s="3">
        <v>0</v>
      </c>
      <c r="AA40" s="3">
        <v>0</v>
      </c>
      <c r="AB40" s="3">
        <v>0</v>
      </c>
      <c r="AC40" s="3">
        <v>0</v>
      </c>
      <c r="AD40" s="3">
        <v>0</v>
      </c>
      <c r="AE40" s="3">
        <v>0</v>
      </c>
      <c r="AF40" s="3">
        <v>0</v>
      </c>
      <c r="AG40" s="3">
        <v>0</v>
      </c>
      <c r="AH40" s="3">
        <v>0</v>
      </c>
      <c r="AI40" s="3">
        <v>0</v>
      </c>
      <c r="AJ40" s="3">
        <v>0</v>
      </c>
      <c r="AK40" s="3">
        <v>0</v>
      </c>
      <c r="AL40" s="3" t="s">
        <v>17</v>
      </c>
      <c r="AM40" s="3" t="s">
        <v>178</v>
      </c>
      <c r="AN40" s="3" t="s">
        <v>1951</v>
      </c>
      <c r="AO40" s="3" t="s">
        <v>1853</v>
      </c>
      <c r="AP40" s="3">
        <v>0</v>
      </c>
      <c r="AQ40" s="3">
        <v>0</v>
      </c>
      <c r="AR40">
        <v>0</v>
      </c>
      <c r="AS40">
        <v>3</v>
      </c>
      <c r="AT40" s="6" t="s">
        <v>150</v>
      </c>
      <c r="AU40" s="6" t="s">
        <v>150</v>
      </c>
      <c r="AV40" s="6" t="s">
        <v>150</v>
      </c>
      <c r="AW40" s="6" t="s">
        <v>150</v>
      </c>
      <c r="AX40" s="6" t="s">
        <v>150</v>
      </c>
      <c r="AY40" s="6" t="s">
        <v>150</v>
      </c>
      <c r="AZ40" s="6" t="s">
        <v>150</v>
      </c>
      <c r="BA40" s="6" t="s">
        <v>150</v>
      </c>
      <c r="BB40" s="6" t="s">
        <v>150</v>
      </c>
      <c r="BC40" s="6" t="s">
        <v>150</v>
      </c>
      <c r="BD40" s="6" t="s">
        <v>50</v>
      </c>
      <c r="BE40" s="6" t="s">
        <v>50</v>
      </c>
      <c r="BF40" s="6" t="s">
        <v>50</v>
      </c>
      <c r="BG40" s="6" t="s">
        <v>50</v>
      </c>
      <c r="BH40" s="6" t="s">
        <v>50</v>
      </c>
      <c r="BI40">
        <v>1</v>
      </c>
      <c r="BJ40">
        <v>0</v>
      </c>
      <c r="BK40">
        <v>1</v>
      </c>
      <c r="BL40">
        <v>0</v>
      </c>
      <c r="BM40">
        <v>0</v>
      </c>
      <c r="BN40">
        <v>0</v>
      </c>
      <c r="BO40">
        <v>0</v>
      </c>
    </row>
    <row r="41" spans="1:67" ht="15.75" customHeight="1" x14ac:dyDescent="0.2">
      <c r="A41" s="3">
        <f t="shared" si="0"/>
        <v>39</v>
      </c>
      <c r="B41" s="3" t="s">
        <v>234</v>
      </c>
      <c r="C41" s="3" t="s">
        <v>234</v>
      </c>
      <c r="D41" s="5" t="s">
        <v>233</v>
      </c>
      <c r="E41" s="5" t="s">
        <v>260</v>
      </c>
      <c r="F41" s="3">
        <v>0</v>
      </c>
      <c r="G41" s="3">
        <v>0</v>
      </c>
      <c r="H41" s="3">
        <v>0</v>
      </c>
      <c r="I41" s="3">
        <v>50</v>
      </c>
      <c r="J41" s="3">
        <v>5</v>
      </c>
      <c r="K41" s="3">
        <v>0.98</v>
      </c>
      <c r="L41" s="3">
        <v>0</v>
      </c>
      <c r="M41" s="3">
        <v>0</v>
      </c>
      <c r="N41" s="3">
        <v>0</v>
      </c>
      <c r="O41" s="3">
        <v>0</v>
      </c>
      <c r="P41" s="3">
        <v>0</v>
      </c>
      <c r="Q41" s="3">
        <v>12</v>
      </c>
      <c r="R41" s="3">
        <v>10</v>
      </c>
      <c r="S41" s="3">
        <v>0</v>
      </c>
      <c r="T41" s="3">
        <v>0</v>
      </c>
      <c r="U41" s="3">
        <v>0</v>
      </c>
      <c r="V41" s="3">
        <v>-2</v>
      </c>
      <c r="W41" s="3">
        <v>0</v>
      </c>
      <c r="X41" s="3">
        <v>3</v>
      </c>
      <c r="Y41" s="3">
        <v>0</v>
      </c>
      <c r="Z41" s="3">
        <v>0</v>
      </c>
      <c r="AA41" s="3">
        <v>0</v>
      </c>
      <c r="AB41" s="3">
        <v>0</v>
      </c>
      <c r="AC41" s="3">
        <v>0</v>
      </c>
      <c r="AD41" s="3">
        <v>0</v>
      </c>
      <c r="AE41" s="3">
        <v>0</v>
      </c>
      <c r="AF41" s="3">
        <v>0</v>
      </c>
      <c r="AG41" s="3">
        <v>0</v>
      </c>
      <c r="AH41" s="3">
        <v>0</v>
      </c>
      <c r="AI41" s="3">
        <v>0</v>
      </c>
      <c r="AJ41" s="3">
        <v>0</v>
      </c>
      <c r="AK41" s="3">
        <v>0</v>
      </c>
      <c r="AL41" s="3" t="s">
        <v>17</v>
      </c>
      <c r="AM41" s="3" t="s">
        <v>178</v>
      </c>
      <c r="AN41" s="3" t="s">
        <v>2385</v>
      </c>
      <c r="AO41" s="3" t="s">
        <v>1853</v>
      </c>
      <c r="AP41" s="3">
        <v>0</v>
      </c>
      <c r="AQ41" s="3">
        <v>0</v>
      </c>
      <c r="AR41">
        <v>0</v>
      </c>
      <c r="AS41">
        <v>1</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row>
    <row r="42" spans="1:67" ht="15.75" customHeight="1" x14ac:dyDescent="0.2">
      <c r="A42" s="3">
        <f t="shared" si="0"/>
        <v>40</v>
      </c>
      <c r="B42" s="3" t="s">
        <v>259</v>
      </c>
      <c r="C42" s="3" t="s">
        <v>259</v>
      </c>
      <c r="D42" s="5" t="s">
        <v>258</v>
      </c>
      <c r="E42" s="5" t="s">
        <v>261</v>
      </c>
      <c r="F42" s="3">
        <v>0</v>
      </c>
      <c r="G42" s="3">
        <v>0</v>
      </c>
      <c r="H42" s="3">
        <v>0</v>
      </c>
      <c r="I42" s="3">
        <v>50</v>
      </c>
      <c r="J42" s="3">
        <v>5</v>
      </c>
      <c r="K42" s="3">
        <v>0.98</v>
      </c>
      <c r="L42" s="3">
        <v>0</v>
      </c>
      <c r="M42" s="3">
        <v>0</v>
      </c>
      <c r="N42" s="3">
        <v>0</v>
      </c>
      <c r="O42" s="3">
        <v>0</v>
      </c>
      <c r="P42" s="3">
        <v>0</v>
      </c>
      <c r="Q42" s="3">
        <v>12</v>
      </c>
      <c r="R42" s="3">
        <v>10</v>
      </c>
      <c r="S42" s="3">
        <v>0</v>
      </c>
      <c r="T42" s="3">
        <v>0</v>
      </c>
      <c r="U42" s="3">
        <v>0</v>
      </c>
      <c r="V42" s="3">
        <v>-1</v>
      </c>
      <c r="W42" s="3">
        <v>0</v>
      </c>
      <c r="X42" s="3">
        <v>2</v>
      </c>
      <c r="Y42" s="3">
        <v>0</v>
      </c>
      <c r="Z42" s="3">
        <v>0</v>
      </c>
      <c r="AA42" s="3">
        <v>0</v>
      </c>
      <c r="AB42" s="3">
        <v>0</v>
      </c>
      <c r="AC42" s="3">
        <v>0</v>
      </c>
      <c r="AD42" s="3">
        <v>0</v>
      </c>
      <c r="AE42" s="3">
        <v>0</v>
      </c>
      <c r="AF42" s="3">
        <v>0</v>
      </c>
      <c r="AG42" s="3">
        <v>0</v>
      </c>
      <c r="AH42" s="3">
        <v>0</v>
      </c>
      <c r="AI42" s="3">
        <v>0</v>
      </c>
      <c r="AJ42" s="3">
        <v>0</v>
      </c>
      <c r="AK42" s="3">
        <v>0</v>
      </c>
      <c r="AL42" s="3" t="s">
        <v>17</v>
      </c>
      <c r="AM42" s="3" t="s">
        <v>178</v>
      </c>
      <c r="AN42" s="3" t="s">
        <v>2386</v>
      </c>
      <c r="AO42" s="3" t="s">
        <v>1853</v>
      </c>
      <c r="AP42" s="3">
        <v>0</v>
      </c>
      <c r="AQ42" s="3">
        <v>0</v>
      </c>
      <c r="AR42">
        <v>0</v>
      </c>
      <c r="AS42">
        <v>1</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row>
    <row r="43" spans="1:67" ht="15.75" customHeight="1" x14ac:dyDescent="0.2">
      <c r="A43" s="3">
        <f t="shared" si="0"/>
        <v>41</v>
      </c>
      <c r="B43" s="3" t="s">
        <v>931</v>
      </c>
      <c r="C43" s="3" t="s">
        <v>924</v>
      </c>
      <c r="D43" s="5" t="s">
        <v>925</v>
      </c>
      <c r="E43" s="5" t="s">
        <v>926</v>
      </c>
      <c r="F43" s="3">
        <v>0</v>
      </c>
      <c r="G43" s="3">
        <v>0</v>
      </c>
      <c r="H43" s="3">
        <v>0</v>
      </c>
      <c r="I43" s="3">
        <v>50</v>
      </c>
      <c r="J43" s="3">
        <v>5</v>
      </c>
      <c r="K43" s="3">
        <v>0.9</v>
      </c>
      <c r="L43" s="3">
        <v>0</v>
      </c>
      <c r="M43" s="3">
        <v>0</v>
      </c>
      <c r="N43" s="3">
        <v>0</v>
      </c>
      <c r="O43" s="3">
        <v>0</v>
      </c>
      <c r="P43" s="3">
        <v>0</v>
      </c>
      <c r="Q43" s="3">
        <v>40</v>
      </c>
      <c r="R43" s="3">
        <v>20</v>
      </c>
      <c r="S43" s="3">
        <v>0</v>
      </c>
      <c r="T43" s="3">
        <v>0</v>
      </c>
      <c r="U43" s="3">
        <v>0</v>
      </c>
      <c r="V43" s="3">
        <v>-2</v>
      </c>
      <c r="W43" s="3">
        <v>0</v>
      </c>
      <c r="X43" s="3">
        <v>3</v>
      </c>
      <c r="Y43" s="3">
        <v>0</v>
      </c>
      <c r="Z43" s="3">
        <v>0</v>
      </c>
      <c r="AA43" s="3">
        <v>0</v>
      </c>
      <c r="AB43" s="3">
        <v>0</v>
      </c>
      <c r="AC43" s="3">
        <v>0</v>
      </c>
      <c r="AD43" s="3">
        <v>0</v>
      </c>
      <c r="AE43" s="3">
        <v>0</v>
      </c>
      <c r="AF43" s="3">
        <v>0</v>
      </c>
      <c r="AG43" s="3">
        <v>0</v>
      </c>
      <c r="AH43" s="3">
        <v>0</v>
      </c>
      <c r="AI43" s="3">
        <v>0</v>
      </c>
      <c r="AJ43" s="3">
        <v>0</v>
      </c>
      <c r="AK43" s="3">
        <v>0</v>
      </c>
      <c r="AL43" s="3" t="s">
        <v>17</v>
      </c>
      <c r="AM43" s="3" t="s">
        <v>178</v>
      </c>
      <c r="AN43" s="3" t="s">
        <v>1951</v>
      </c>
      <c r="AO43" s="3" t="s">
        <v>1853</v>
      </c>
      <c r="AP43" s="3">
        <v>0</v>
      </c>
      <c r="AQ43" s="3">
        <v>0</v>
      </c>
      <c r="AR43">
        <v>0</v>
      </c>
      <c r="AS43">
        <v>10</v>
      </c>
      <c r="AT43" s="6" t="s">
        <v>50</v>
      </c>
      <c r="AU43" s="6" t="s">
        <v>50</v>
      </c>
      <c r="AV43" s="6" t="s">
        <v>50</v>
      </c>
      <c r="AW43" s="6" t="s">
        <v>50</v>
      </c>
      <c r="AX43" s="6" t="s">
        <v>50</v>
      </c>
      <c r="AY43" s="6" t="s">
        <v>50</v>
      </c>
      <c r="AZ43" s="6" t="s">
        <v>50</v>
      </c>
      <c r="BA43" s="6" t="s">
        <v>50</v>
      </c>
      <c r="BB43" s="6" t="s">
        <v>50</v>
      </c>
      <c r="BC43" s="6" t="s">
        <v>50</v>
      </c>
      <c r="BD43" s="6" t="s">
        <v>927</v>
      </c>
      <c r="BE43" s="6" t="s">
        <v>50</v>
      </c>
      <c r="BF43" s="6" t="s">
        <v>50</v>
      </c>
      <c r="BG43" s="6" t="s">
        <v>50</v>
      </c>
      <c r="BH43" s="6" t="s">
        <v>50</v>
      </c>
      <c r="BI43">
        <v>1</v>
      </c>
      <c r="BJ43">
        <v>0</v>
      </c>
      <c r="BK43">
        <v>3</v>
      </c>
      <c r="BL43">
        <v>0</v>
      </c>
      <c r="BM43">
        <v>0</v>
      </c>
      <c r="BN43">
        <v>0</v>
      </c>
      <c r="BO43">
        <v>0</v>
      </c>
    </row>
    <row r="44" spans="1:67" ht="15.75" customHeight="1" x14ac:dyDescent="0.2">
      <c r="A44" s="3">
        <f t="shared" si="0"/>
        <v>42</v>
      </c>
      <c r="B44" s="3" t="s">
        <v>234</v>
      </c>
      <c r="C44" s="3" t="s">
        <v>1340</v>
      </c>
      <c r="D44" s="5" t="s">
        <v>1342</v>
      </c>
      <c r="E44" s="5" t="s">
        <v>1344</v>
      </c>
      <c r="F44" s="3">
        <v>0</v>
      </c>
      <c r="G44" s="3">
        <v>0</v>
      </c>
      <c r="H44" s="3">
        <v>0</v>
      </c>
      <c r="I44" s="3">
        <v>50</v>
      </c>
      <c r="J44" s="3">
        <v>5</v>
      </c>
      <c r="K44" s="3">
        <v>0.9</v>
      </c>
      <c r="L44" s="3">
        <v>0</v>
      </c>
      <c r="M44" s="3">
        <v>0</v>
      </c>
      <c r="N44" s="3">
        <v>0</v>
      </c>
      <c r="O44" s="3">
        <v>0</v>
      </c>
      <c r="P44" s="3">
        <v>0</v>
      </c>
      <c r="Q44" s="3">
        <v>40</v>
      </c>
      <c r="R44" s="3">
        <v>20</v>
      </c>
      <c r="S44" s="3">
        <v>0</v>
      </c>
      <c r="T44" s="3">
        <v>0</v>
      </c>
      <c r="U44" s="3">
        <v>0</v>
      </c>
      <c r="V44" s="3">
        <v>-2</v>
      </c>
      <c r="W44" s="3">
        <v>0</v>
      </c>
      <c r="X44" s="3">
        <v>3</v>
      </c>
      <c r="Y44" s="3">
        <v>0</v>
      </c>
      <c r="Z44" s="3">
        <v>0</v>
      </c>
      <c r="AA44" s="3">
        <v>0</v>
      </c>
      <c r="AB44" s="3">
        <v>0</v>
      </c>
      <c r="AC44" s="3">
        <v>0</v>
      </c>
      <c r="AD44" s="3">
        <v>0</v>
      </c>
      <c r="AE44" s="3">
        <v>0</v>
      </c>
      <c r="AF44" s="3">
        <v>0</v>
      </c>
      <c r="AG44" s="3">
        <v>0</v>
      </c>
      <c r="AH44" s="3">
        <v>0</v>
      </c>
      <c r="AI44" s="3">
        <v>0</v>
      </c>
      <c r="AJ44" s="3">
        <v>0</v>
      </c>
      <c r="AK44" s="3">
        <v>0</v>
      </c>
      <c r="AL44" s="3" t="s">
        <v>17</v>
      </c>
      <c r="AM44" s="3" t="s">
        <v>178</v>
      </c>
      <c r="AN44" s="3" t="s">
        <v>2385</v>
      </c>
      <c r="AO44" s="3" t="s">
        <v>1853</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927</v>
      </c>
      <c r="BE44" s="6" t="s">
        <v>50</v>
      </c>
      <c r="BF44" s="6" t="s">
        <v>50</v>
      </c>
      <c r="BG44" s="6" t="s">
        <v>50</v>
      </c>
      <c r="BH44" s="6" t="s">
        <v>50</v>
      </c>
      <c r="BI44">
        <v>1</v>
      </c>
      <c r="BJ44">
        <v>0</v>
      </c>
      <c r="BK44">
        <v>3</v>
      </c>
      <c r="BL44">
        <v>0</v>
      </c>
      <c r="BM44">
        <v>0</v>
      </c>
      <c r="BN44">
        <v>0</v>
      </c>
      <c r="BO44">
        <v>0</v>
      </c>
    </row>
    <row r="45" spans="1:67" ht="15.75" customHeight="1" x14ac:dyDescent="0.2">
      <c r="A45" s="3">
        <f t="shared" si="0"/>
        <v>43</v>
      </c>
      <c r="B45" s="3" t="s">
        <v>259</v>
      </c>
      <c r="C45" s="3" t="s">
        <v>1341</v>
      </c>
      <c r="D45" s="5" t="s">
        <v>1343</v>
      </c>
      <c r="E45" s="5" t="s">
        <v>1345</v>
      </c>
      <c r="F45" s="3">
        <v>0</v>
      </c>
      <c r="G45" s="3">
        <v>0</v>
      </c>
      <c r="H45" s="3">
        <v>0</v>
      </c>
      <c r="I45" s="3">
        <v>50</v>
      </c>
      <c r="J45" s="3">
        <v>5</v>
      </c>
      <c r="K45" s="3">
        <v>0.9</v>
      </c>
      <c r="L45" s="3">
        <v>0</v>
      </c>
      <c r="M45" s="3">
        <v>0</v>
      </c>
      <c r="N45" s="3">
        <v>0</v>
      </c>
      <c r="O45" s="3">
        <v>0</v>
      </c>
      <c r="P45" s="3">
        <v>0</v>
      </c>
      <c r="Q45" s="3">
        <v>40</v>
      </c>
      <c r="R45" s="3">
        <v>20</v>
      </c>
      <c r="S45" s="3">
        <v>0</v>
      </c>
      <c r="T45" s="3">
        <v>0</v>
      </c>
      <c r="U45" s="3">
        <v>0</v>
      </c>
      <c r="V45" s="3">
        <v>-2</v>
      </c>
      <c r="W45" s="3">
        <v>0</v>
      </c>
      <c r="X45" s="3">
        <v>2</v>
      </c>
      <c r="Y45" s="3">
        <v>0</v>
      </c>
      <c r="Z45" s="3">
        <v>0</v>
      </c>
      <c r="AA45" s="3">
        <v>0</v>
      </c>
      <c r="AB45" s="3">
        <v>0</v>
      </c>
      <c r="AC45" s="3">
        <v>0</v>
      </c>
      <c r="AD45" s="3">
        <v>0</v>
      </c>
      <c r="AE45" s="3">
        <v>0</v>
      </c>
      <c r="AF45" s="3">
        <v>0</v>
      </c>
      <c r="AG45" s="3">
        <v>0</v>
      </c>
      <c r="AH45" s="3">
        <v>0</v>
      </c>
      <c r="AI45" s="3">
        <v>0</v>
      </c>
      <c r="AJ45" s="3">
        <v>0</v>
      </c>
      <c r="AK45" s="3">
        <v>0</v>
      </c>
      <c r="AL45" s="3" t="s">
        <v>17</v>
      </c>
      <c r="AM45" s="3" t="s">
        <v>178</v>
      </c>
      <c r="AN45" s="3" t="s">
        <v>2386</v>
      </c>
      <c r="AO45" s="3" t="s">
        <v>1853</v>
      </c>
      <c r="AP45" s="3">
        <v>0</v>
      </c>
      <c r="AQ45" s="3">
        <v>0</v>
      </c>
      <c r="AR45">
        <v>0</v>
      </c>
      <c r="AS45">
        <v>10</v>
      </c>
      <c r="AT45" s="6" t="s">
        <v>50</v>
      </c>
      <c r="AU45" s="6" t="s">
        <v>50</v>
      </c>
      <c r="AV45" s="6" t="s">
        <v>50</v>
      </c>
      <c r="AW45" s="6" t="s">
        <v>50</v>
      </c>
      <c r="AX45" s="6" t="s">
        <v>50</v>
      </c>
      <c r="AY45" s="6" t="s">
        <v>50</v>
      </c>
      <c r="AZ45" s="6" t="s">
        <v>50</v>
      </c>
      <c r="BA45" s="6" t="s">
        <v>50</v>
      </c>
      <c r="BB45" s="6" t="s">
        <v>50</v>
      </c>
      <c r="BC45" s="6" t="s">
        <v>50</v>
      </c>
      <c r="BD45" s="6" t="s">
        <v>927</v>
      </c>
      <c r="BE45" s="6" t="s">
        <v>50</v>
      </c>
      <c r="BF45" s="6" t="s">
        <v>50</v>
      </c>
      <c r="BG45" s="6" t="s">
        <v>50</v>
      </c>
      <c r="BH45" s="6" t="s">
        <v>50</v>
      </c>
      <c r="BI45">
        <v>1</v>
      </c>
      <c r="BJ45">
        <v>0</v>
      </c>
      <c r="BK45">
        <v>3</v>
      </c>
      <c r="BL45">
        <v>0</v>
      </c>
      <c r="BM45">
        <v>0</v>
      </c>
      <c r="BN45">
        <v>0</v>
      </c>
      <c r="BO45">
        <v>0</v>
      </c>
    </row>
    <row r="46" spans="1:67" ht="15.75" customHeight="1" x14ac:dyDescent="0.2">
      <c r="A46" s="3">
        <f t="shared" si="0"/>
        <v>44</v>
      </c>
      <c r="B46" s="3" t="s">
        <v>499</v>
      </c>
      <c r="C46" s="3" t="s">
        <v>499</v>
      </c>
      <c r="D46" s="5" t="s">
        <v>500</v>
      </c>
      <c r="E46" s="5" t="s">
        <v>501</v>
      </c>
      <c r="F46" s="3">
        <v>0</v>
      </c>
      <c r="G46" s="3">
        <v>0</v>
      </c>
      <c r="H46" s="3">
        <v>0</v>
      </c>
      <c r="I46" s="3">
        <v>50</v>
      </c>
      <c r="J46" s="3">
        <v>3</v>
      </c>
      <c r="K46" s="3">
        <v>0.95</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17</v>
      </c>
      <c r="AM46" s="3" t="s">
        <v>502</v>
      </c>
      <c r="AN46" s="3" t="s">
        <v>1952</v>
      </c>
      <c r="AO46" s="3" t="s">
        <v>1853</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row>
    <row r="47" spans="1:67" ht="15.75" customHeight="1" x14ac:dyDescent="0.2">
      <c r="A47" s="3">
        <f t="shared" si="0"/>
        <v>45</v>
      </c>
      <c r="B47" s="3" t="s">
        <v>28</v>
      </c>
      <c r="C47" s="3" t="s">
        <v>344</v>
      </c>
      <c r="D47" s="5" t="s">
        <v>29</v>
      </c>
      <c r="E47" s="5" t="s">
        <v>128</v>
      </c>
      <c r="F47" s="3">
        <v>0</v>
      </c>
      <c r="G47" s="3">
        <v>0</v>
      </c>
      <c r="H47" s="3">
        <v>0</v>
      </c>
      <c r="I47" s="3">
        <v>50</v>
      </c>
      <c r="J47" s="3">
        <v>8</v>
      </c>
      <c r="K47" s="3">
        <v>0.95</v>
      </c>
      <c r="L47" s="3">
        <v>0</v>
      </c>
      <c r="M47" s="3">
        <v>5</v>
      </c>
      <c r="N47" s="3">
        <v>1</v>
      </c>
      <c r="O47" s="3">
        <v>0</v>
      </c>
      <c r="P47" s="3">
        <v>0</v>
      </c>
      <c r="Q47" s="3">
        <v>3</v>
      </c>
      <c r="R47" s="3">
        <v>3</v>
      </c>
      <c r="S47" s="3">
        <v>-10</v>
      </c>
      <c r="T47" s="3">
        <v>0</v>
      </c>
      <c r="U47" s="3">
        <v>0</v>
      </c>
      <c r="V47" s="3">
        <v>-3</v>
      </c>
      <c r="W47" s="3">
        <v>0</v>
      </c>
      <c r="X47" s="3">
        <v>12</v>
      </c>
      <c r="Y47" s="3">
        <v>0</v>
      </c>
      <c r="Z47" s="3">
        <v>0</v>
      </c>
      <c r="AA47" s="3">
        <v>0</v>
      </c>
      <c r="AB47" s="3">
        <v>0</v>
      </c>
      <c r="AC47" s="3">
        <v>0</v>
      </c>
      <c r="AD47" s="3">
        <v>0</v>
      </c>
      <c r="AE47" s="3">
        <v>0</v>
      </c>
      <c r="AF47" s="3">
        <v>0</v>
      </c>
      <c r="AG47" s="3">
        <v>0</v>
      </c>
      <c r="AH47" s="3">
        <v>0</v>
      </c>
      <c r="AI47" s="3">
        <v>0</v>
      </c>
      <c r="AJ47" s="3">
        <v>0</v>
      </c>
      <c r="AK47" s="3">
        <v>0</v>
      </c>
      <c r="AL47" s="3" t="s">
        <v>17</v>
      </c>
      <c r="AM47" s="3" t="s">
        <v>1161</v>
      </c>
      <c r="AN47" s="3" t="s">
        <v>1953</v>
      </c>
      <c r="AO47" s="3" t="s">
        <v>1853</v>
      </c>
      <c r="AP47" s="3">
        <v>0</v>
      </c>
      <c r="AQ47" s="3">
        <v>0</v>
      </c>
      <c r="AR47">
        <v>0</v>
      </c>
      <c r="AS47">
        <v>1</v>
      </c>
      <c r="AT47" s="6" t="s">
        <v>150</v>
      </c>
      <c r="AU47" s="6" t="s">
        <v>150</v>
      </c>
      <c r="AV47" s="6" t="s">
        <v>150</v>
      </c>
      <c r="AW47" s="6" t="s">
        <v>150</v>
      </c>
      <c r="AX47" s="6" t="s">
        <v>150</v>
      </c>
      <c r="AY47" s="6" t="s">
        <v>150</v>
      </c>
      <c r="AZ47" s="6" t="s">
        <v>150</v>
      </c>
      <c r="BA47" s="6" t="s">
        <v>150</v>
      </c>
      <c r="BB47" s="6" t="s">
        <v>150</v>
      </c>
      <c r="BC47" s="6" t="s">
        <v>150</v>
      </c>
      <c r="BD47" s="6" t="s">
        <v>50</v>
      </c>
      <c r="BE47" s="6" t="s">
        <v>50</v>
      </c>
      <c r="BF47" s="6" t="s">
        <v>50</v>
      </c>
      <c r="BG47" s="6" t="s">
        <v>50</v>
      </c>
      <c r="BH47" s="6" t="s">
        <v>50</v>
      </c>
      <c r="BI47">
        <v>1</v>
      </c>
      <c r="BJ47">
        <v>0</v>
      </c>
      <c r="BK47">
        <v>1</v>
      </c>
      <c r="BL47">
        <v>0</v>
      </c>
      <c r="BM47">
        <v>0</v>
      </c>
      <c r="BN47">
        <v>0</v>
      </c>
      <c r="BO47">
        <v>0</v>
      </c>
    </row>
    <row r="48" spans="1:67" ht="15.75" customHeight="1" x14ac:dyDescent="0.2">
      <c r="A48" s="3">
        <f t="shared" si="0"/>
        <v>46</v>
      </c>
      <c r="B48" s="3" t="s">
        <v>1470</v>
      </c>
      <c r="C48" s="3" t="s">
        <v>1158</v>
      </c>
      <c r="D48" s="5" t="s">
        <v>1159</v>
      </c>
      <c r="E48" s="5" t="s">
        <v>1160</v>
      </c>
      <c r="F48" s="3">
        <v>0</v>
      </c>
      <c r="G48" s="3">
        <v>0</v>
      </c>
      <c r="H48" s="3">
        <v>0</v>
      </c>
      <c r="I48" s="3">
        <v>50</v>
      </c>
      <c r="J48" s="3">
        <v>8</v>
      </c>
      <c r="K48" s="3">
        <v>0.85</v>
      </c>
      <c r="L48" s="3">
        <v>0</v>
      </c>
      <c r="M48" s="3">
        <v>15</v>
      </c>
      <c r="N48" s="3">
        <v>1</v>
      </c>
      <c r="O48" s="3">
        <v>0</v>
      </c>
      <c r="P48" s="3">
        <v>5</v>
      </c>
      <c r="Q48" s="3">
        <v>10</v>
      </c>
      <c r="R48" s="3">
        <v>10</v>
      </c>
      <c r="S48" s="3">
        <v>-10</v>
      </c>
      <c r="T48" s="3">
        <v>0</v>
      </c>
      <c r="U48" s="3">
        <v>0</v>
      </c>
      <c r="V48" s="3">
        <v>-3</v>
      </c>
      <c r="W48" s="3">
        <v>0</v>
      </c>
      <c r="X48" s="3">
        <v>12</v>
      </c>
      <c r="Y48" s="3">
        <v>0</v>
      </c>
      <c r="Z48" s="3">
        <v>0</v>
      </c>
      <c r="AA48" s="3">
        <v>0</v>
      </c>
      <c r="AB48" s="3">
        <v>0</v>
      </c>
      <c r="AC48" s="3">
        <v>0</v>
      </c>
      <c r="AD48" s="3">
        <v>0</v>
      </c>
      <c r="AE48" s="3">
        <v>0</v>
      </c>
      <c r="AF48" s="3">
        <v>0</v>
      </c>
      <c r="AG48" s="3">
        <v>0</v>
      </c>
      <c r="AH48" s="3">
        <v>0</v>
      </c>
      <c r="AI48" s="3">
        <v>0</v>
      </c>
      <c r="AJ48" s="3">
        <v>0</v>
      </c>
      <c r="AK48" s="3">
        <v>0</v>
      </c>
      <c r="AL48" s="3" t="s">
        <v>17</v>
      </c>
      <c r="AM48" s="3" t="s">
        <v>1161</v>
      </c>
      <c r="AN48" s="3" t="s">
        <v>1953</v>
      </c>
      <c r="AO48" s="3" t="s">
        <v>1853</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3</v>
      </c>
      <c r="BL48">
        <v>0</v>
      </c>
      <c r="BM48">
        <v>0</v>
      </c>
      <c r="BN48">
        <v>0</v>
      </c>
      <c r="BO48">
        <v>0</v>
      </c>
    </row>
    <row r="49" spans="1:67" s="9" customFormat="1" ht="15.75" customHeight="1" x14ac:dyDescent="0.2">
      <c r="A49" s="7">
        <f t="shared" si="0"/>
        <v>47</v>
      </c>
      <c r="B49" s="7" t="s">
        <v>604</v>
      </c>
      <c r="C49" s="7" t="s">
        <v>837</v>
      </c>
      <c r="D49" s="8" t="s">
        <v>838</v>
      </c>
      <c r="E49" s="8" t="s">
        <v>839</v>
      </c>
      <c r="F49" s="7">
        <v>0</v>
      </c>
      <c r="G49" s="7">
        <v>0</v>
      </c>
      <c r="H49" s="7">
        <v>0</v>
      </c>
      <c r="I49" s="7">
        <v>50</v>
      </c>
      <c r="J49" s="7">
        <v>5</v>
      </c>
      <c r="K49" s="7">
        <v>0.95</v>
      </c>
      <c r="L49" s="7">
        <v>0</v>
      </c>
      <c r="M49" s="7">
        <v>10</v>
      </c>
      <c r="N49" s="7">
        <v>0</v>
      </c>
      <c r="O49" s="7">
        <v>15</v>
      </c>
      <c r="P49" s="7">
        <v>0</v>
      </c>
      <c r="Q49" s="7">
        <v>0</v>
      </c>
      <c r="R49" s="7">
        <v>0</v>
      </c>
      <c r="S49" s="7">
        <v>0</v>
      </c>
      <c r="T49" s="7">
        <v>0</v>
      </c>
      <c r="U49" s="7">
        <v>0</v>
      </c>
      <c r="V49" s="7">
        <v>0</v>
      </c>
      <c r="W49" s="7">
        <v>0</v>
      </c>
      <c r="X49" s="7">
        <v>5</v>
      </c>
      <c r="Y49" s="7">
        <v>0</v>
      </c>
      <c r="Z49" s="7">
        <v>0</v>
      </c>
      <c r="AA49" s="7">
        <v>0</v>
      </c>
      <c r="AB49" s="7">
        <v>0</v>
      </c>
      <c r="AC49" s="7">
        <v>0</v>
      </c>
      <c r="AD49" s="7">
        <v>0</v>
      </c>
      <c r="AE49" s="7">
        <v>0</v>
      </c>
      <c r="AF49" s="7">
        <v>0</v>
      </c>
      <c r="AG49" s="7">
        <v>0</v>
      </c>
      <c r="AH49" s="7">
        <v>0</v>
      </c>
      <c r="AI49" s="7">
        <v>0</v>
      </c>
      <c r="AJ49" s="7">
        <v>0</v>
      </c>
      <c r="AK49" s="7">
        <v>0</v>
      </c>
      <c r="AL49" s="7" t="s">
        <v>51</v>
      </c>
      <c r="AM49" s="7" t="s">
        <v>23</v>
      </c>
      <c r="AN49" s="7" t="s">
        <v>23</v>
      </c>
      <c r="AO49" s="7" t="s">
        <v>1853</v>
      </c>
      <c r="AP49" s="7">
        <v>0</v>
      </c>
      <c r="AQ49" s="7">
        <v>0</v>
      </c>
      <c r="AR49" s="9">
        <v>0</v>
      </c>
      <c r="AS49" s="9">
        <v>1</v>
      </c>
      <c r="AT49" s="10" t="s">
        <v>50</v>
      </c>
      <c r="AU49" s="10" t="s">
        <v>50</v>
      </c>
      <c r="AV49" s="10" t="s">
        <v>50</v>
      </c>
      <c r="AW49" s="10" t="s">
        <v>50</v>
      </c>
      <c r="AX49" s="10" t="s">
        <v>50</v>
      </c>
      <c r="AY49" s="10" t="s">
        <v>50</v>
      </c>
      <c r="AZ49" s="10" t="s">
        <v>50</v>
      </c>
      <c r="BA49" s="10" t="s">
        <v>50</v>
      </c>
      <c r="BB49" s="10" t="s">
        <v>50</v>
      </c>
      <c r="BC49" s="10" t="s">
        <v>50</v>
      </c>
      <c r="BD49" s="10" t="s">
        <v>50</v>
      </c>
      <c r="BE49" s="10" t="s">
        <v>50</v>
      </c>
      <c r="BF49" s="10" t="s">
        <v>50</v>
      </c>
      <c r="BG49" s="10" t="s">
        <v>50</v>
      </c>
      <c r="BH49" s="10" t="s">
        <v>50</v>
      </c>
      <c r="BI49" s="9">
        <v>0</v>
      </c>
      <c r="BJ49" s="9">
        <v>0</v>
      </c>
      <c r="BK49" s="9">
        <v>1</v>
      </c>
      <c r="BL49" s="9">
        <v>0</v>
      </c>
      <c r="BM49" s="9">
        <v>0</v>
      </c>
      <c r="BN49" s="9">
        <v>0</v>
      </c>
      <c r="BO49" s="9">
        <v>0</v>
      </c>
    </row>
    <row r="50" spans="1:67" ht="15.75" customHeight="1" x14ac:dyDescent="0.2">
      <c r="A50" s="3">
        <f t="shared" si="0"/>
        <v>48</v>
      </c>
      <c r="B50" s="3" t="s">
        <v>604</v>
      </c>
      <c r="C50" s="3" t="s">
        <v>604</v>
      </c>
      <c r="D50" s="5" t="s">
        <v>525</v>
      </c>
      <c r="E50" s="5" t="s">
        <v>526</v>
      </c>
      <c r="F50" s="3">
        <v>0</v>
      </c>
      <c r="G50" s="3">
        <v>0</v>
      </c>
      <c r="H50" s="3">
        <v>0</v>
      </c>
      <c r="I50" s="3">
        <v>50</v>
      </c>
      <c r="J50" s="3">
        <v>5</v>
      </c>
      <c r="K50" s="3">
        <v>0.95</v>
      </c>
      <c r="L50" s="3">
        <v>0</v>
      </c>
      <c r="M50" s="3">
        <v>2</v>
      </c>
      <c r="N50" s="3">
        <v>0</v>
      </c>
      <c r="O50" s="3">
        <v>15</v>
      </c>
      <c r="P50" s="3">
        <v>0</v>
      </c>
      <c r="Q50" s="3">
        <v>0</v>
      </c>
      <c r="R50" s="3">
        <v>0</v>
      </c>
      <c r="S50" s="3">
        <v>0</v>
      </c>
      <c r="T50" s="3">
        <v>0</v>
      </c>
      <c r="U50" s="3">
        <v>0</v>
      </c>
      <c r="V50" s="3">
        <v>-2</v>
      </c>
      <c r="W50" s="3">
        <v>0</v>
      </c>
      <c r="X50" s="3">
        <v>5</v>
      </c>
      <c r="Y50" s="3">
        <v>0</v>
      </c>
      <c r="Z50" s="3">
        <v>0</v>
      </c>
      <c r="AA50" s="3">
        <v>0</v>
      </c>
      <c r="AB50" s="3">
        <v>0</v>
      </c>
      <c r="AC50" s="3">
        <v>0</v>
      </c>
      <c r="AD50" s="3">
        <v>0</v>
      </c>
      <c r="AE50" s="3">
        <v>0</v>
      </c>
      <c r="AF50" s="3">
        <v>0</v>
      </c>
      <c r="AG50" s="3">
        <v>0</v>
      </c>
      <c r="AH50" s="3">
        <v>0</v>
      </c>
      <c r="AI50" s="3">
        <v>0</v>
      </c>
      <c r="AJ50" s="3">
        <v>0</v>
      </c>
      <c r="AK50" s="3">
        <v>0</v>
      </c>
      <c r="AL50" s="3" t="s">
        <v>51</v>
      </c>
      <c r="AM50" s="3" t="s">
        <v>23</v>
      </c>
      <c r="AN50" s="3" t="s">
        <v>1954</v>
      </c>
      <c r="AO50" s="3" t="s">
        <v>1853</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557</v>
      </c>
      <c r="BE50" s="6" t="s">
        <v>50</v>
      </c>
      <c r="BF50" s="6" t="s">
        <v>50</v>
      </c>
      <c r="BG50" s="6" t="s">
        <v>50</v>
      </c>
      <c r="BH50" s="6" t="s">
        <v>50</v>
      </c>
      <c r="BI50">
        <v>1</v>
      </c>
      <c r="BJ50">
        <v>0</v>
      </c>
      <c r="BK50">
        <v>1</v>
      </c>
      <c r="BL50">
        <v>0</v>
      </c>
      <c r="BM50">
        <v>0</v>
      </c>
      <c r="BN50">
        <v>0</v>
      </c>
      <c r="BO50">
        <v>0</v>
      </c>
    </row>
    <row r="51" spans="1:67" ht="15.75" customHeight="1" x14ac:dyDescent="0.2">
      <c r="A51" s="3">
        <f t="shared" si="0"/>
        <v>49</v>
      </c>
      <c r="B51" s="3" t="s">
        <v>198</v>
      </c>
      <c r="C51" s="3" t="s">
        <v>957</v>
      </c>
      <c r="D51" s="5" t="s">
        <v>955</v>
      </c>
      <c r="E51" s="5" t="s">
        <v>956</v>
      </c>
      <c r="F51" s="3">
        <v>0</v>
      </c>
      <c r="G51" s="3">
        <v>0</v>
      </c>
      <c r="H51" s="3">
        <v>0</v>
      </c>
      <c r="I51" s="3">
        <v>50</v>
      </c>
      <c r="J51" s="3">
        <v>10</v>
      </c>
      <c r="K51" s="3">
        <v>0.95</v>
      </c>
      <c r="L51" s="3">
        <v>0</v>
      </c>
      <c r="M51" s="3">
        <v>0</v>
      </c>
      <c r="N51" s="3">
        <v>0</v>
      </c>
      <c r="O51" s="3">
        <v>0</v>
      </c>
      <c r="P51" s="3">
        <v>0</v>
      </c>
      <c r="Q51" s="3">
        <v>0</v>
      </c>
      <c r="R51" s="3">
        <v>0</v>
      </c>
      <c r="S51" s="3">
        <v>0</v>
      </c>
      <c r="T51" s="3">
        <v>0</v>
      </c>
      <c r="U51" s="3">
        <v>0</v>
      </c>
      <c r="V51" s="3">
        <v>0</v>
      </c>
      <c r="W51" s="3">
        <v>0</v>
      </c>
      <c r="X51" s="3">
        <v>7</v>
      </c>
      <c r="Y51" s="3">
        <v>0</v>
      </c>
      <c r="Z51" s="3">
        <v>0</v>
      </c>
      <c r="AA51" s="3">
        <v>0</v>
      </c>
      <c r="AB51" s="3">
        <v>0</v>
      </c>
      <c r="AC51" s="3">
        <v>0</v>
      </c>
      <c r="AD51" s="3">
        <v>0</v>
      </c>
      <c r="AE51" s="3">
        <v>0</v>
      </c>
      <c r="AF51" s="3">
        <v>0</v>
      </c>
      <c r="AG51" s="3">
        <v>0</v>
      </c>
      <c r="AH51" s="3">
        <v>0</v>
      </c>
      <c r="AI51" s="3">
        <v>0</v>
      </c>
      <c r="AJ51" s="3">
        <v>0</v>
      </c>
      <c r="AK51" s="3">
        <v>0</v>
      </c>
      <c r="AL51" s="3" t="s">
        <v>51</v>
      </c>
      <c r="AM51" s="3" t="s">
        <v>23</v>
      </c>
      <c r="AN51" s="3" t="s">
        <v>1954</v>
      </c>
      <c r="AO51" s="3" t="s">
        <v>1853</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row>
    <row r="52" spans="1:67" ht="15.75" customHeight="1" x14ac:dyDescent="0.2">
      <c r="A52" s="3">
        <f t="shared" si="0"/>
        <v>50</v>
      </c>
      <c r="B52" s="3" t="s">
        <v>198</v>
      </c>
      <c r="C52" s="3" t="s">
        <v>198</v>
      </c>
      <c r="D52" s="5" t="s">
        <v>199</v>
      </c>
      <c r="E52" s="5" t="s">
        <v>200</v>
      </c>
      <c r="F52" s="3">
        <v>0</v>
      </c>
      <c r="G52" s="3">
        <v>0</v>
      </c>
      <c r="H52" s="3">
        <v>0</v>
      </c>
      <c r="I52" s="3">
        <v>50</v>
      </c>
      <c r="J52" s="3">
        <v>10</v>
      </c>
      <c r="K52" s="3">
        <v>1</v>
      </c>
      <c r="L52" s="3">
        <v>0</v>
      </c>
      <c r="M52" s="3">
        <v>0</v>
      </c>
      <c r="N52" s="3">
        <v>6</v>
      </c>
      <c r="O52" s="3">
        <v>0</v>
      </c>
      <c r="P52" s="3">
        <v>0</v>
      </c>
      <c r="Q52" s="3">
        <v>5</v>
      </c>
      <c r="R52" s="3">
        <v>5</v>
      </c>
      <c r="S52" s="3">
        <v>0</v>
      </c>
      <c r="T52" s="3">
        <v>0</v>
      </c>
      <c r="U52" s="3">
        <v>0</v>
      </c>
      <c r="V52" s="3">
        <v>0</v>
      </c>
      <c r="W52" s="3">
        <v>0</v>
      </c>
      <c r="X52" s="3">
        <v>0</v>
      </c>
      <c r="Y52" s="3">
        <v>3</v>
      </c>
      <c r="Z52" s="3">
        <v>0</v>
      </c>
      <c r="AA52" s="3">
        <v>0</v>
      </c>
      <c r="AB52" s="3">
        <v>0</v>
      </c>
      <c r="AC52" s="3">
        <v>0</v>
      </c>
      <c r="AD52" s="3">
        <v>0</v>
      </c>
      <c r="AE52" s="3">
        <v>0</v>
      </c>
      <c r="AF52" s="3">
        <v>0</v>
      </c>
      <c r="AG52" s="3">
        <v>0</v>
      </c>
      <c r="AH52" s="3">
        <v>0</v>
      </c>
      <c r="AI52" s="3">
        <v>0</v>
      </c>
      <c r="AJ52" s="3">
        <v>0</v>
      </c>
      <c r="AK52" s="3">
        <v>0</v>
      </c>
      <c r="AL52" s="3" t="s">
        <v>51</v>
      </c>
      <c r="AM52" s="3" t="s">
        <v>23</v>
      </c>
      <c r="AN52" s="3" t="s">
        <v>1955</v>
      </c>
      <c r="AO52" s="3" t="s">
        <v>1853</v>
      </c>
      <c r="AP52" s="3">
        <v>0</v>
      </c>
      <c r="AQ52" s="3">
        <v>0</v>
      </c>
      <c r="AR52">
        <v>0</v>
      </c>
      <c r="AS52">
        <v>3</v>
      </c>
      <c r="AT52" s="6" t="s">
        <v>50</v>
      </c>
      <c r="AU52" s="6" t="s">
        <v>50</v>
      </c>
      <c r="AV52" s="6" t="s">
        <v>50</v>
      </c>
      <c r="AW52" s="6" t="s">
        <v>50</v>
      </c>
      <c r="AX52" s="6" t="s">
        <v>50</v>
      </c>
      <c r="AY52" s="6" t="s">
        <v>50</v>
      </c>
      <c r="AZ52" s="6" t="s">
        <v>50</v>
      </c>
      <c r="BA52" s="6" t="s">
        <v>50</v>
      </c>
      <c r="BB52" s="6" t="s">
        <v>50</v>
      </c>
      <c r="BC52" s="6" t="s">
        <v>50</v>
      </c>
      <c r="BD52" s="6" t="s">
        <v>1001</v>
      </c>
      <c r="BE52" s="6" t="s">
        <v>50</v>
      </c>
      <c r="BF52" s="6" t="s">
        <v>50</v>
      </c>
      <c r="BG52" s="6" t="s">
        <v>50</v>
      </c>
      <c r="BH52" s="6" t="s">
        <v>50</v>
      </c>
      <c r="BI52">
        <v>1</v>
      </c>
      <c r="BJ52">
        <v>0</v>
      </c>
      <c r="BK52">
        <v>1</v>
      </c>
      <c r="BL52">
        <v>0</v>
      </c>
      <c r="BM52">
        <v>0</v>
      </c>
      <c r="BN52">
        <v>0</v>
      </c>
      <c r="BO52">
        <v>0</v>
      </c>
    </row>
    <row r="53" spans="1:67" ht="15.75" customHeight="1" x14ac:dyDescent="0.2">
      <c r="A53" s="3">
        <f t="shared" si="0"/>
        <v>51</v>
      </c>
      <c r="B53" s="3" t="s">
        <v>960</v>
      </c>
      <c r="C53" s="3" t="s">
        <v>960</v>
      </c>
      <c r="D53" s="5" t="s">
        <v>958</v>
      </c>
      <c r="E53" s="5" t="s">
        <v>959</v>
      </c>
      <c r="F53" s="3">
        <v>0</v>
      </c>
      <c r="G53" s="3">
        <v>0</v>
      </c>
      <c r="H53" s="3">
        <v>0</v>
      </c>
      <c r="I53" s="3">
        <v>50</v>
      </c>
      <c r="J53" s="3">
        <v>10</v>
      </c>
      <c r="K53" s="3">
        <v>0.95</v>
      </c>
      <c r="L53" s="3">
        <v>0</v>
      </c>
      <c r="M53" s="3">
        <v>2</v>
      </c>
      <c r="N53" s="3">
        <v>0</v>
      </c>
      <c r="O53" s="3">
        <v>0</v>
      </c>
      <c r="P53" s="3">
        <v>0</v>
      </c>
      <c r="Q53" s="3">
        <v>45</v>
      </c>
      <c r="R53" s="3">
        <v>20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51</v>
      </c>
      <c r="AM53" s="3" t="s">
        <v>23</v>
      </c>
      <c r="AN53" s="3" t="s">
        <v>1955</v>
      </c>
      <c r="AO53" s="3" t="s">
        <v>1853</v>
      </c>
      <c r="AP53" s="3">
        <v>0</v>
      </c>
      <c r="AQ53" s="3">
        <v>0</v>
      </c>
      <c r="AR53">
        <v>0</v>
      </c>
      <c r="AS53">
        <v>15</v>
      </c>
      <c r="AT53" s="6" t="s">
        <v>50</v>
      </c>
      <c r="AU53" s="6" t="s">
        <v>50</v>
      </c>
      <c r="AV53" s="6" t="s">
        <v>50</v>
      </c>
      <c r="AW53" s="6" t="s">
        <v>50</v>
      </c>
      <c r="AX53" s="6" t="s">
        <v>50</v>
      </c>
      <c r="AY53" s="6" t="s">
        <v>50</v>
      </c>
      <c r="AZ53" s="6" t="s">
        <v>50</v>
      </c>
      <c r="BA53" s="6" t="s">
        <v>50</v>
      </c>
      <c r="BB53" s="6" t="s">
        <v>50</v>
      </c>
      <c r="BC53" s="6" t="s">
        <v>50</v>
      </c>
      <c r="BD53" s="6" t="s">
        <v>1002</v>
      </c>
      <c r="BE53" s="6" t="s">
        <v>50</v>
      </c>
      <c r="BF53" s="6" t="s">
        <v>50</v>
      </c>
      <c r="BG53" s="6" t="s">
        <v>50</v>
      </c>
      <c r="BH53" s="6" t="s">
        <v>50</v>
      </c>
      <c r="BI53">
        <v>1</v>
      </c>
      <c r="BJ53">
        <v>0</v>
      </c>
      <c r="BK53">
        <v>1</v>
      </c>
      <c r="BL53">
        <v>0</v>
      </c>
      <c r="BM53">
        <v>0</v>
      </c>
      <c r="BN53">
        <v>0</v>
      </c>
      <c r="BO53">
        <v>0</v>
      </c>
    </row>
    <row r="54" spans="1:67" ht="15.75" customHeight="1" x14ac:dyDescent="0.2">
      <c r="A54" s="3">
        <f t="shared" si="0"/>
        <v>52</v>
      </c>
      <c r="B54" s="3" t="s">
        <v>963</v>
      </c>
      <c r="C54" s="3" t="s">
        <v>963</v>
      </c>
      <c r="D54" s="5" t="s">
        <v>961</v>
      </c>
      <c r="E54" s="5" t="s">
        <v>962</v>
      </c>
      <c r="F54" s="3">
        <v>0</v>
      </c>
      <c r="G54" s="3">
        <v>0</v>
      </c>
      <c r="H54" s="3">
        <v>0</v>
      </c>
      <c r="I54" s="3">
        <v>50</v>
      </c>
      <c r="J54" s="3">
        <v>10</v>
      </c>
      <c r="K54" s="3">
        <v>0.95</v>
      </c>
      <c r="L54" s="3">
        <v>0</v>
      </c>
      <c r="M54" s="3">
        <v>1</v>
      </c>
      <c r="N54" s="3">
        <v>40</v>
      </c>
      <c r="O54" s="3">
        <v>15</v>
      </c>
      <c r="P54" s="3">
        <v>0</v>
      </c>
      <c r="Q54" s="3">
        <v>0</v>
      </c>
      <c r="R54" s="3">
        <v>10</v>
      </c>
      <c r="S54" s="3">
        <v>0</v>
      </c>
      <c r="T54" s="3">
        <v>0</v>
      </c>
      <c r="U54" s="3">
        <v>0</v>
      </c>
      <c r="V54" s="3">
        <v>0</v>
      </c>
      <c r="W54" s="3">
        <v>0</v>
      </c>
      <c r="X54" s="3">
        <v>7</v>
      </c>
      <c r="Y54" s="3">
        <v>0</v>
      </c>
      <c r="Z54" s="3">
        <v>0</v>
      </c>
      <c r="AA54" s="3">
        <v>0</v>
      </c>
      <c r="AB54" s="3">
        <v>0</v>
      </c>
      <c r="AC54" s="3">
        <v>0</v>
      </c>
      <c r="AD54" s="3">
        <v>0</v>
      </c>
      <c r="AE54" s="3">
        <v>0</v>
      </c>
      <c r="AF54" s="3">
        <v>0</v>
      </c>
      <c r="AG54" s="3">
        <v>0</v>
      </c>
      <c r="AH54" s="3">
        <v>0</v>
      </c>
      <c r="AI54" s="3">
        <v>0</v>
      </c>
      <c r="AJ54" s="3">
        <v>0</v>
      </c>
      <c r="AK54" s="3">
        <v>0</v>
      </c>
      <c r="AL54" s="3" t="s">
        <v>51</v>
      </c>
      <c r="AM54" s="3" t="s">
        <v>23</v>
      </c>
      <c r="AN54" s="3" t="s">
        <v>1956</v>
      </c>
      <c r="AO54" s="3" t="s">
        <v>1853</v>
      </c>
      <c r="AP54" s="3">
        <v>0</v>
      </c>
      <c r="AQ54" s="3">
        <v>0</v>
      </c>
      <c r="AR54">
        <v>0</v>
      </c>
      <c r="AS54">
        <v>50</v>
      </c>
      <c r="AT54" s="6" t="s">
        <v>50</v>
      </c>
      <c r="AU54" s="6" t="s">
        <v>50</v>
      </c>
      <c r="AV54" s="6" t="s">
        <v>50</v>
      </c>
      <c r="AW54" s="6" t="s">
        <v>50</v>
      </c>
      <c r="AX54" s="6" t="s">
        <v>50</v>
      </c>
      <c r="AY54" s="6" t="s">
        <v>50</v>
      </c>
      <c r="AZ54" s="6" t="s">
        <v>50</v>
      </c>
      <c r="BA54" s="6" t="s">
        <v>50</v>
      </c>
      <c r="BB54" s="6" t="s">
        <v>50</v>
      </c>
      <c r="BC54" s="6" t="s">
        <v>50</v>
      </c>
      <c r="BD54" s="6" t="s">
        <v>996</v>
      </c>
      <c r="BE54" s="6" t="s">
        <v>50</v>
      </c>
      <c r="BF54" s="6" t="s">
        <v>50</v>
      </c>
      <c r="BG54" s="6" t="s">
        <v>50</v>
      </c>
      <c r="BH54" s="6" t="s">
        <v>50</v>
      </c>
      <c r="BI54">
        <v>1</v>
      </c>
      <c r="BJ54">
        <v>0</v>
      </c>
      <c r="BK54">
        <v>1</v>
      </c>
      <c r="BL54">
        <v>0</v>
      </c>
      <c r="BM54">
        <v>0</v>
      </c>
      <c r="BN54">
        <v>0</v>
      </c>
      <c r="BO54">
        <v>0</v>
      </c>
    </row>
    <row r="55" spans="1:67" ht="15.75" customHeight="1" x14ac:dyDescent="0.2">
      <c r="A55" s="3">
        <f t="shared" si="0"/>
        <v>53</v>
      </c>
      <c r="B55" s="3" t="s">
        <v>968</v>
      </c>
      <c r="C55" s="3" t="s">
        <v>968</v>
      </c>
      <c r="D55" s="5" t="s">
        <v>967</v>
      </c>
      <c r="E55" s="5" t="s">
        <v>969</v>
      </c>
      <c r="F55" s="3">
        <v>0</v>
      </c>
      <c r="G55" s="3">
        <v>0</v>
      </c>
      <c r="H55" s="3">
        <v>0</v>
      </c>
      <c r="I55" s="3">
        <v>50</v>
      </c>
      <c r="J55" s="3">
        <v>50</v>
      </c>
      <c r="K55" s="3">
        <v>0.9</v>
      </c>
      <c r="L55" s="3">
        <v>0</v>
      </c>
      <c r="M55" s="3">
        <v>5</v>
      </c>
      <c r="N55" s="3">
        <v>2</v>
      </c>
      <c r="O55" s="3">
        <v>2</v>
      </c>
      <c r="P55" s="3">
        <v>0</v>
      </c>
      <c r="Q55" s="3">
        <v>0</v>
      </c>
      <c r="R55" s="3">
        <v>0</v>
      </c>
      <c r="S55" s="3">
        <v>0</v>
      </c>
      <c r="T55" s="3">
        <v>0</v>
      </c>
      <c r="U55" s="3">
        <v>0</v>
      </c>
      <c r="V55" s="3">
        <v>0</v>
      </c>
      <c r="W55" s="3">
        <v>0</v>
      </c>
      <c r="X55" s="3">
        <v>15</v>
      </c>
      <c r="Y55" s="3">
        <v>5</v>
      </c>
      <c r="Z55" s="3">
        <v>10</v>
      </c>
      <c r="AA55" s="3">
        <v>0</v>
      </c>
      <c r="AB55" s="3">
        <v>0</v>
      </c>
      <c r="AC55" s="3">
        <v>0</v>
      </c>
      <c r="AD55" s="3">
        <v>0</v>
      </c>
      <c r="AE55" s="3">
        <v>0</v>
      </c>
      <c r="AF55" s="3">
        <v>0</v>
      </c>
      <c r="AG55" s="3">
        <v>0</v>
      </c>
      <c r="AH55" s="3">
        <v>0</v>
      </c>
      <c r="AI55" s="3">
        <v>0</v>
      </c>
      <c r="AJ55" s="3">
        <v>0</v>
      </c>
      <c r="AK55" s="3">
        <v>0</v>
      </c>
      <c r="AL55" s="3" t="s">
        <v>51</v>
      </c>
      <c r="AM55" s="3" t="s">
        <v>23</v>
      </c>
      <c r="AN55" s="3" t="s">
        <v>1957</v>
      </c>
      <c r="AO55" s="3" t="s">
        <v>1853</v>
      </c>
      <c r="AP55" s="3">
        <v>0</v>
      </c>
      <c r="AQ55" s="3">
        <v>0</v>
      </c>
      <c r="AR55">
        <v>0</v>
      </c>
      <c r="AS55">
        <v>10</v>
      </c>
      <c r="AT55" s="6" t="s">
        <v>50</v>
      </c>
      <c r="AU55" s="6" t="s">
        <v>50</v>
      </c>
      <c r="AV55" s="6" t="s">
        <v>50</v>
      </c>
      <c r="AW55" s="6" t="s">
        <v>50</v>
      </c>
      <c r="AX55" s="6" t="s">
        <v>50</v>
      </c>
      <c r="AY55" s="6" t="s">
        <v>50</v>
      </c>
      <c r="AZ55" s="6" t="s">
        <v>50</v>
      </c>
      <c r="BA55" s="6" t="s">
        <v>50</v>
      </c>
      <c r="BB55" s="6" t="s">
        <v>50</v>
      </c>
      <c r="BC55" s="6" t="s">
        <v>50</v>
      </c>
      <c r="BD55" s="6" t="s">
        <v>995</v>
      </c>
      <c r="BE55" s="6" t="s">
        <v>50</v>
      </c>
      <c r="BF55" s="6" t="s">
        <v>50</v>
      </c>
      <c r="BG55" s="6" t="s">
        <v>50</v>
      </c>
      <c r="BH55" s="6" t="s">
        <v>50</v>
      </c>
      <c r="BI55">
        <v>1</v>
      </c>
      <c r="BJ55">
        <v>0</v>
      </c>
      <c r="BK55">
        <v>1</v>
      </c>
      <c r="BL55">
        <v>0</v>
      </c>
      <c r="BM55">
        <v>0</v>
      </c>
      <c r="BN55">
        <v>0</v>
      </c>
      <c r="BO55">
        <v>0</v>
      </c>
    </row>
    <row r="56" spans="1:67" ht="15.75" customHeight="1" x14ac:dyDescent="0.2">
      <c r="A56" s="3">
        <f t="shared" si="0"/>
        <v>54</v>
      </c>
      <c r="B56" s="3" t="s">
        <v>921</v>
      </c>
      <c r="C56" s="3" t="s">
        <v>921</v>
      </c>
      <c r="D56" s="5" t="s">
        <v>920</v>
      </c>
      <c r="E56" s="5" t="s">
        <v>922</v>
      </c>
      <c r="F56" s="3">
        <v>0</v>
      </c>
      <c r="G56" s="3">
        <v>0</v>
      </c>
      <c r="H56" s="3">
        <v>0</v>
      </c>
      <c r="I56" s="3">
        <v>50</v>
      </c>
      <c r="J56" s="3">
        <v>50</v>
      </c>
      <c r="K56" s="3">
        <v>0.9</v>
      </c>
      <c r="L56" s="3">
        <v>0</v>
      </c>
      <c r="M56" s="3">
        <v>3</v>
      </c>
      <c r="N56" s="3">
        <v>5</v>
      </c>
      <c r="O56" s="3">
        <v>0</v>
      </c>
      <c r="P56" s="3">
        <v>0</v>
      </c>
      <c r="Q56" s="3">
        <v>0</v>
      </c>
      <c r="R56" s="3">
        <v>0</v>
      </c>
      <c r="S56" s="3">
        <v>0</v>
      </c>
      <c r="T56" s="3">
        <v>0</v>
      </c>
      <c r="U56" s="3">
        <v>0</v>
      </c>
      <c r="V56" s="3">
        <v>0</v>
      </c>
      <c r="W56" s="3">
        <v>0</v>
      </c>
      <c r="X56" s="3">
        <v>1</v>
      </c>
      <c r="Y56" s="3">
        <v>0</v>
      </c>
      <c r="Z56" s="3">
        <v>0</v>
      </c>
      <c r="AA56" s="3">
        <v>0</v>
      </c>
      <c r="AB56" s="3">
        <v>0</v>
      </c>
      <c r="AC56" s="3">
        <v>0</v>
      </c>
      <c r="AD56" s="3">
        <v>0</v>
      </c>
      <c r="AE56" s="3">
        <v>0</v>
      </c>
      <c r="AF56" s="3">
        <v>0</v>
      </c>
      <c r="AG56" s="3">
        <v>0</v>
      </c>
      <c r="AH56" s="3">
        <v>0</v>
      </c>
      <c r="AI56" s="3">
        <v>0</v>
      </c>
      <c r="AJ56" s="3">
        <v>0</v>
      </c>
      <c r="AK56" s="3">
        <v>0</v>
      </c>
      <c r="AL56" s="3" t="s">
        <v>51</v>
      </c>
      <c r="AM56" s="3" t="s">
        <v>23</v>
      </c>
      <c r="AN56" s="3" t="s">
        <v>2457</v>
      </c>
      <c r="AO56" s="3" t="s">
        <v>1033</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923</v>
      </c>
      <c r="BE56" s="6" t="s">
        <v>50</v>
      </c>
      <c r="BF56" s="6" t="s">
        <v>50</v>
      </c>
      <c r="BG56" s="6" t="s">
        <v>50</v>
      </c>
      <c r="BH56" s="6" t="s">
        <v>50</v>
      </c>
      <c r="BI56">
        <v>1</v>
      </c>
      <c r="BJ56">
        <v>0</v>
      </c>
      <c r="BK56">
        <v>1</v>
      </c>
      <c r="BL56">
        <v>0</v>
      </c>
      <c r="BM56">
        <v>0</v>
      </c>
      <c r="BN56">
        <v>0</v>
      </c>
      <c r="BO56">
        <v>0</v>
      </c>
    </row>
    <row r="57" spans="1:67" ht="15.75" customHeight="1" x14ac:dyDescent="0.2">
      <c r="A57" s="3">
        <f t="shared" si="0"/>
        <v>55</v>
      </c>
      <c r="B57" s="3" t="s">
        <v>237</v>
      </c>
      <c r="C57" s="3" t="s">
        <v>237</v>
      </c>
      <c r="D57" s="5" t="s">
        <v>238</v>
      </c>
      <c r="E57" s="5" t="s">
        <v>239</v>
      </c>
      <c r="F57" s="3">
        <v>0</v>
      </c>
      <c r="G57" s="3">
        <v>0</v>
      </c>
      <c r="H57" s="3">
        <v>0</v>
      </c>
      <c r="I57" s="3">
        <v>50</v>
      </c>
      <c r="J57" s="3">
        <v>10</v>
      </c>
      <c r="K57" s="3">
        <v>0.95</v>
      </c>
      <c r="L57" s="3">
        <v>0</v>
      </c>
      <c r="M57" s="3">
        <v>0</v>
      </c>
      <c r="N57" s="3">
        <v>0</v>
      </c>
      <c r="O57" s="3">
        <v>0</v>
      </c>
      <c r="P57" s="3">
        <v>30</v>
      </c>
      <c r="Q57" s="3">
        <v>0</v>
      </c>
      <c r="R57" s="3">
        <v>0</v>
      </c>
      <c r="S57" s="3">
        <v>0</v>
      </c>
      <c r="T57" s="3">
        <v>0</v>
      </c>
      <c r="U57" s="3">
        <v>0</v>
      </c>
      <c r="V57" s="3">
        <v>8</v>
      </c>
      <c r="W57" s="3">
        <v>0</v>
      </c>
      <c r="X57" s="3">
        <v>-3</v>
      </c>
      <c r="Y57" s="3">
        <v>0</v>
      </c>
      <c r="Z57" s="3">
        <v>0</v>
      </c>
      <c r="AA57" s="3">
        <v>0</v>
      </c>
      <c r="AB57" s="3">
        <v>0</v>
      </c>
      <c r="AC57" s="3">
        <v>0</v>
      </c>
      <c r="AD57" s="3">
        <v>0</v>
      </c>
      <c r="AE57" s="3">
        <v>0</v>
      </c>
      <c r="AF57" s="3">
        <v>0</v>
      </c>
      <c r="AG57" s="3">
        <v>0</v>
      </c>
      <c r="AH57" s="3">
        <v>0</v>
      </c>
      <c r="AI57" s="3">
        <v>0</v>
      </c>
      <c r="AJ57" s="3">
        <v>0</v>
      </c>
      <c r="AK57" s="3">
        <v>0</v>
      </c>
      <c r="AL57" s="3" t="s">
        <v>17</v>
      </c>
      <c r="AM57" s="3" t="s">
        <v>23</v>
      </c>
      <c r="AN57" s="3" t="s">
        <v>1958</v>
      </c>
      <c r="AO57" s="3" t="s">
        <v>1853</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0"/>
        <v>56</v>
      </c>
      <c r="B58" s="3" t="s">
        <v>507</v>
      </c>
      <c r="C58" s="3" t="s">
        <v>507</v>
      </c>
      <c r="D58" s="5" t="s">
        <v>505</v>
      </c>
      <c r="E58" s="5" t="s">
        <v>506</v>
      </c>
      <c r="F58" s="3">
        <v>0</v>
      </c>
      <c r="G58" s="3">
        <v>0</v>
      </c>
      <c r="H58" s="3">
        <v>0</v>
      </c>
      <c r="I58" s="3">
        <v>50</v>
      </c>
      <c r="J58" s="3">
        <v>3</v>
      </c>
      <c r="K58" s="3">
        <v>0.95</v>
      </c>
      <c r="L58" s="3">
        <v>0</v>
      </c>
      <c r="M58" s="3">
        <v>0</v>
      </c>
      <c r="N58" s="3">
        <v>1</v>
      </c>
      <c r="O58" s="3">
        <v>2</v>
      </c>
      <c r="P58" s="3">
        <v>0</v>
      </c>
      <c r="Q58" s="3">
        <v>5</v>
      </c>
      <c r="R58" s="3">
        <v>0</v>
      </c>
      <c r="S58" s="3">
        <v>2</v>
      </c>
      <c r="T58" s="3">
        <v>0</v>
      </c>
      <c r="U58" s="3">
        <v>0</v>
      </c>
      <c r="V58" s="3">
        <v>1</v>
      </c>
      <c r="W58" s="3">
        <v>0</v>
      </c>
      <c r="X58" s="3">
        <v>-3</v>
      </c>
      <c r="Y58" s="3">
        <v>0</v>
      </c>
      <c r="Z58" s="3">
        <v>0</v>
      </c>
      <c r="AA58" s="3">
        <v>0</v>
      </c>
      <c r="AB58" s="3">
        <v>0</v>
      </c>
      <c r="AC58" s="3">
        <v>0</v>
      </c>
      <c r="AD58" s="3">
        <v>0</v>
      </c>
      <c r="AE58" s="3">
        <v>0</v>
      </c>
      <c r="AF58" s="3">
        <v>0</v>
      </c>
      <c r="AG58" s="3">
        <v>0</v>
      </c>
      <c r="AH58" s="3">
        <v>0</v>
      </c>
      <c r="AI58" s="3">
        <v>0</v>
      </c>
      <c r="AJ58" s="3">
        <v>0</v>
      </c>
      <c r="AK58" s="3">
        <v>0</v>
      </c>
      <c r="AL58" s="3" t="s">
        <v>17</v>
      </c>
      <c r="AM58" s="3" t="s">
        <v>23</v>
      </c>
      <c r="AN58" s="3" t="s">
        <v>1959</v>
      </c>
      <c r="AO58" s="3" t="s">
        <v>1853</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0"/>
        <v>57</v>
      </c>
      <c r="B59" s="3" t="s">
        <v>1075</v>
      </c>
      <c r="C59" s="3" t="s">
        <v>1075</v>
      </c>
      <c r="D59" s="5" t="s">
        <v>1076</v>
      </c>
      <c r="E59" s="5" t="s">
        <v>1077</v>
      </c>
      <c r="F59" s="3">
        <v>0</v>
      </c>
      <c r="G59" s="3">
        <v>0</v>
      </c>
      <c r="H59" s="3">
        <v>0</v>
      </c>
      <c r="I59" s="3">
        <v>50</v>
      </c>
      <c r="J59" s="3">
        <v>3</v>
      </c>
      <c r="K59" s="3">
        <v>0.95</v>
      </c>
      <c r="L59" s="3">
        <v>0</v>
      </c>
      <c r="M59" s="3">
        <v>0</v>
      </c>
      <c r="N59" s="3">
        <v>0</v>
      </c>
      <c r="O59" s="3">
        <v>0</v>
      </c>
      <c r="P59" s="3">
        <v>0</v>
      </c>
      <c r="Q59" s="3">
        <v>0</v>
      </c>
      <c r="R59" s="3">
        <v>20</v>
      </c>
      <c r="S59" s="3">
        <v>20</v>
      </c>
      <c r="T59" s="3">
        <v>20</v>
      </c>
      <c r="U59" s="3">
        <v>0</v>
      </c>
      <c r="V59" s="3">
        <v>3</v>
      </c>
      <c r="W59" s="3">
        <v>0</v>
      </c>
      <c r="X59" s="3">
        <v>-5</v>
      </c>
      <c r="Y59" s="3">
        <v>0</v>
      </c>
      <c r="Z59" s="3">
        <v>0</v>
      </c>
      <c r="AA59" s="3">
        <v>0</v>
      </c>
      <c r="AB59" s="3">
        <v>0</v>
      </c>
      <c r="AC59" s="3">
        <v>0</v>
      </c>
      <c r="AD59" s="3">
        <v>0</v>
      </c>
      <c r="AE59" s="3">
        <v>0</v>
      </c>
      <c r="AF59" s="3">
        <v>0</v>
      </c>
      <c r="AG59" s="3">
        <v>0</v>
      </c>
      <c r="AH59" s="3">
        <v>0</v>
      </c>
      <c r="AI59" s="3">
        <v>0</v>
      </c>
      <c r="AJ59" s="3">
        <v>0</v>
      </c>
      <c r="AK59" s="3">
        <v>0</v>
      </c>
      <c r="AL59" s="3" t="s">
        <v>17</v>
      </c>
      <c r="AM59" s="3" t="s">
        <v>23</v>
      </c>
      <c r="AN59" s="3" t="s">
        <v>1960</v>
      </c>
      <c r="AO59" s="3" t="s">
        <v>1853</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0"/>
        <v>58</v>
      </c>
      <c r="B60" s="3" t="s">
        <v>2645</v>
      </c>
      <c r="C60" s="3" t="s">
        <v>2645</v>
      </c>
      <c r="D60" s="5" t="s">
        <v>2644</v>
      </c>
      <c r="E60" s="5" t="s">
        <v>2657</v>
      </c>
      <c r="F60" s="3">
        <v>0</v>
      </c>
      <c r="G60" s="3">
        <v>0</v>
      </c>
      <c r="H60" s="3">
        <v>0</v>
      </c>
      <c r="I60" s="3">
        <v>50</v>
      </c>
      <c r="J60" s="3">
        <v>3</v>
      </c>
      <c r="K60" s="3">
        <v>0.95</v>
      </c>
      <c r="L60" s="3">
        <v>0</v>
      </c>
      <c r="M60" s="3">
        <v>0</v>
      </c>
      <c r="N60" s="3">
        <v>1</v>
      </c>
      <c r="O60" s="3">
        <v>3</v>
      </c>
      <c r="P60" s="3">
        <v>0</v>
      </c>
      <c r="Q60" s="3">
        <v>0</v>
      </c>
      <c r="R60" s="3">
        <v>20</v>
      </c>
      <c r="S60" s="3">
        <v>20</v>
      </c>
      <c r="T60" s="3">
        <v>20</v>
      </c>
      <c r="U60" s="3">
        <v>0</v>
      </c>
      <c r="V60" s="3">
        <v>3</v>
      </c>
      <c r="W60" s="3">
        <v>0</v>
      </c>
      <c r="X60" s="3">
        <v>-5</v>
      </c>
      <c r="Y60" s="3">
        <v>0</v>
      </c>
      <c r="Z60" s="3">
        <v>0</v>
      </c>
      <c r="AA60" s="3">
        <v>0</v>
      </c>
      <c r="AB60" s="3">
        <v>0</v>
      </c>
      <c r="AC60" s="3">
        <v>0</v>
      </c>
      <c r="AD60" s="3">
        <v>0</v>
      </c>
      <c r="AE60" s="3">
        <v>0</v>
      </c>
      <c r="AF60" s="3">
        <v>0</v>
      </c>
      <c r="AG60" s="3">
        <v>0</v>
      </c>
      <c r="AH60" s="3">
        <v>0</v>
      </c>
      <c r="AI60" s="3">
        <v>0</v>
      </c>
      <c r="AJ60" s="3">
        <v>0</v>
      </c>
      <c r="AK60" s="3">
        <v>0</v>
      </c>
      <c r="AL60" s="3" t="s">
        <v>17</v>
      </c>
      <c r="AM60" s="3" t="s">
        <v>23</v>
      </c>
      <c r="AN60" s="3" t="s">
        <v>1960</v>
      </c>
      <c r="AO60" s="3" t="s">
        <v>50</v>
      </c>
      <c r="AP60" s="3">
        <v>0</v>
      </c>
      <c r="AQ60" s="3">
        <v>0</v>
      </c>
      <c r="AR60">
        <v>0</v>
      </c>
      <c r="AS60">
        <v>1</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s="9" customFormat="1" ht="15.75" customHeight="1" x14ac:dyDescent="0.2">
      <c r="A61" s="7">
        <f t="shared" si="0"/>
        <v>59</v>
      </c>
      <c r="B61" s="7" t="s">
        <v>2645</v>
      </c>
      <c r="C61" s="7" t="s">
        <v>3386</v>
      </c>
      <c r="D61" s="8" t="s">
        <v>3385</v>
      </c>
      <c r="E61" s="8" t="s">
        <v>3387</v>
      </c>
      <c r="F61" s="7">
        <v>0</v>
      </c>
      <c r="G61" s="7">
        <v>0</v>
      </c>
      <c r="H61" s="7">
        <v>0</v>
      </c>
      <c r="I61" s="7">
        <v>50</v>
      </c>
      <c r="J61" s="7">
        <v>3</v>
      </c>
      <c r="K61" s="7">
        <v>0.95</v>
      </c>
      <c r="L61" s="7">
        <v>0</v>
      </c>
      <c r="M61" s="7">
        <v>0</v>
      </c>
      <c r="N61" s="7">
        <v>1</v>
      </c>
      <c r="O61" s="7">
        <v>3</v>
      </c>
      <c r="P61" s="7">
        <v>0</v>
      </c>
      <c r="Q61" s="7">
        <v>0</v>
      </c>
      <c r="R61" s="7">
        <v>20</v>
      </c>
      <c r="S61" s="7">
        <v>20</v>
      </c>
      <c r="T61" s="7">
        <v>20</v>
      </c>
      <c r="U61" s="7">
        <v>0</v>
      </c>
      <c r="V61" s="7">
        <v>3</v>
      </c>
      <c r="W61" s="7">
        <v>0</v>
      </c>
      <c r="X61" s="7">
        <v>-5</v>
      </c>
      <c r="Y61" s="7">
        <v>0</v>
      </c>
      <c r="Z61" s="7">
        <v>0</v>
      </c>
      <c r="AA61" s="7">
        <v>0</v>
      </c>
      <c r="AB61" s="7">
        <v>0</v>
      </c>
      <c r="AC61" s="7">
        <v>0</v>
      </c>
      <c r="AD61" s="7">
        <v>0</v>
      </c>
      <c r="AE61" s="7">
        <v>0</v>
      </c>
      <c r="AF61" s="7">
        <v>0</v>
      </c>
      <c r="AG61" s="7">
        <v>0</v>
      </c>
      <c r="AH61" s="7">
        <v>0</v>
      </c>
      <c r="AI61" s="7">
        <v>0</v>
      </c>
      <c r="AJ61" s="7">
        <v>0</v>
      </c>
      <c r="AK61" s="7">
        <v>0</v>
      </c>
      <c r="AL61" s="7" t="s">
        <v>17</v>
      </c>
      <c r="AM61" s="7" t="s">
        <v>23</v>
      </c>
      <c r="AN61" s="7" t="s">
        <v>1960</v>
      </c>
      <c r="AO61" s="7" t="s">
        <v>50</v>
      </c>
      <c r="AP61" s="7">
        <v>0</v>
      </c>
      <c r="AQ61" s="7">
        <v>0</v>
      </c>
      <c r="AR61" s="9">
        <v>0</v>
      </c>
      <c r="AS61" s="9">
        <v>1</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1</v>
      </c>
      <c r="BJ61" s="9">
        <v>0</v>
      </c>
      <c r="BK61" s="9">
        <v>1</v>
      </c>
      <c r="BL61" s="9">
        <v>0</v>
      </c>
      <c r="BM61" s="9">
        <v>0</v>
      </c>
      <c r="BN61" s="9">
        <v>0</v>
      </c>
      <c r="BO61" s="9">
        <v>0</v>
      </c>
    </row>
    <row r="62" spans="1:67" ht="15.75" customHeight="1" x14ac:dyDescent="0.2">
      <c r="A62" s="3">
        <f t="shared" si="0"/>
        <v>60</v>
      </c>
      <c r="B62" s="3" t="s">
        <v>65</v>
      </c>
      <c r="C62" s="3" t="s">
        <v>65</v>
      </c>
      <c r="D62" s="25" t="s">
        <v>64</v>
      </c>
      <c r="E62" s="4" t="s">
        <v>2044</v>
      </c>
      <c r="F62" s="3">
        <v>0</v>
      </c>
      <c r="G62" s="3">
        <v>0</v>
      </c>
      <c r="H62" s="3">
        <v>0</v>
      </c>
      <c r="I62" s="3">
        <v>50</v>
      </c>
      <c r="J62" s="3">
        <v>20</v>
      </c>
      <c r="K62" s="3">
        <v>0.95</v>
      </c>
      <c r="L62" s="3">
        <v>0</v>
      </c>
      <c r="M62" s="3">
        <v>0</v>
      </c>
      <c r="N62" s="3">
        <v>40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51</v>
      </c>
      <c r="AM62" s="3" t="s">
        <v>974</v>
      </c>
      <c r="AN62" s="3" t="s">
        <v>1961</v>
      </c>
      <c r="AO62" s="3" t="s">
        <v>1853</v>
      </c>
      <c r="AP62" s="3">
        <v>0</v>
      </c>
      <c r="AQ62" s="3">
        <v>0</v>
      </c>
      <c r="AR62">
        <v>0</v>
      </c>
      <c r="AS62">
        <v>1</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0"/>
        <v>61</v>
      </c>
      <c r="B63" s="3" t="s">
        <v>2046</v>
      </c>
      <c r="C63" s="3" t="s">
        <v>2046</v>
      </c>
      <c r="D63" s="25" t="s">
        <v>2043</v>
      </c>
      <c r="E63" s="4" t="s">
        <v>2045</v>
      </c>
      <c r="F63" s="3">
        <v>0</v>
      </c>
      <c r="G63" s="3">
        <v>0</v>
      </c>
      <c r="H63" s="3">
        <v>0</v>
      </c>
      <c r="I63" s="3">
        <v>50</v>
      </c>
      <c r="J63" s="3">
        <v>20</v>
      </c>
      <c r="K63" s="3">
        <v>0.95</v>
      </c>
      <c r="L63" s="3">
        <v>0</v>
      </c>
      <c r="M63" s="3">
        <v>0</v>
      </c>
      <c r="N63" s="3">
        <v>40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51</v>
      </c>
      <c r="AM63" s="3" t="s">
        <v>23</v>
      </c>
      <c r="AN63" s="3" t="s">
        <v>2058</v>
      </c>
      <c r="AO63" s="3" t="s">
        <v>50</v>
      </c>
      <c r="AP63" s="3">
        <v>0</v>
      </c>
      <c r="AQ63" s="3">
        <v>0</v>
      </c>
      <c r="AR63">
        <v>0</v>
      </c>
      <c r="AS63">
        <v>1</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0"/>
        <v>62</v>
      </c>
      <c r="B64" s="3" t="s">
        <v>2048</v>
      </c>
      <c r="C64" s="3" t="s">
        <v>2048</v>
      </c>
      <c r="D64" s="25" t="s">
        <v>2047</v>
      </c>
      <c r="E64" s="4" t="s">
        <v>3067</v>
      </c>
      <c r="F64" s="3">
        <v>0</v>
      </c>
      <c r="G64" s="3">
        <v>0</v>
      </c>
      <c r="H64" s="3">
        <v>0</v>
      </c>
      <c r="I64" s="3">
        <v>50</v>
      </c>
      <c r="J64" s="3">
        <v>20</v>
      </c>
      <c r="K64" s="3">
        <v>0.95</v>
      </c>
      <c r="L64" s="3">
        <v>0</v>
      </c>
      <c r="M64" s="3">
        <v>0</v>
      </c>
      <c r="N64" s="3">
        <v>40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51</v>
      </c>
      <c r="AM64" s="3" t="s">
        <v>23</v>
      </c>
      <c r="AN64" s="3" t="s">
        <v>2049</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0"/>
        <v>63</v>
      </c>
      <c r="B65" s="3" t="s">
        <v>2052</v>
      </c>
      <c r="C65" s="3" t="s">
        <v>2052</v>
      </c>
      <c r="D65" s="25" t="s">
        <v>2051</v>
      </c>
      <c r="E65" s="4" t="s">
        <v>2180</v>
      </c>
      <c r="F65" s="3">
        <v>0</v>
      </c>
      <c r="G65" s="3">
        <v>0</v>
      </c>
      <c r="H65" s="3">
        <v>0</v>
      </c>
      <c r="I65" s="3">
        <v>50</v>
      </c>
      <c r="J65" s="3">
        <v>20</v>
      </c>
      <c r="K65" s="3">
        <v>0.95</v>
      </c>
      <c r="L65" s="3">
        <v>0</v>
      </c>
      <c r="M65" s="3">
        <v>0</v>
      </c>
      <c r="N65" s="3">
        <v>40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51</v>
      </c>
      <c r="AM65" s="3" t="s">
        <v>23</v>
      </c>
      <c r="AN65" s="3" t="s">
        <v>2053</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ref="A66:A132" si="1">ROW()-2</f>
        <v>64</v>
      </c>
      <c r="B66" s="3" t="s">
        <v>2193</v>
      </c>
      <c r="C66" s="3" t="s">
        <v>2193</v>
      </c>
      <c r="D66" s="25" t="s">
        <v>2192</v>
      </c>
      <c r="E66" s="4" t="s">
        <v>2194</v>
      </c>
      <c r="F66" s="3">
        <v>0</v>
      </c>
      <c r="G66" s="3">
        <v>0</v>
      </c>
      <c r="H66" s="3">
        <v>0</v>
      </c>
      <c r="I66" s="3">
        <v>50</v>
      </c>
      <c r="J66" s="3">
        <v>20</v>
      </c>
      <c r="K66" s="3">
        <v>0.95</v>
      </c>
      <c r="L66" s="3">
        <v>0</v>
      </c>
      <c r="M66" s="3">
        <v>0</v>
      </c>
      <c r="N66" s="3">
        <v>40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51</v>
      </c>
      <c r="AM66" s="3" t="s">
        <v>23</v>
      </c>
      <c r="AN66" s="3" t="s">
        <v>2053</v>
      </c>
      <c r="AO66" s="3" t="s">
        <v>50</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1"/>
        <v>65</v>
      </c>
      <c r="B67" s="3" t="s">
        <v>2744</v>
      </c>
      <c r="C67" s="3" t="s">
        <v>2744</v>
      </c>
      <c r="D67" s="25" t="s">
        <v>2742</v>
      </c>
      <c r="E67" s="4" t="s">
        <v>2743</v>
      </c>
      <c r="F67" s="3">
        <v>0</v>
      </c>
      <c r="G67" s="3">
        <v>0</v>
      </c>
      <c r="H67" s="3">
        <v>0</v>
      </c>
      <c r="I67" s="3">
        <v>50</v>
      </c>
      <c r="J67" s="3">
        <v>20</v>
      </c>
      <c r="K67" s="3">
        <v>0.95</v>
      </c>
      <c r="L67" s="3">
        <v>0</v>
      </c>
      <c r="M67" s="3">
        <v>0</v>
      </c>
      <c r="N67" s="3">
        <v>40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51</v>
      </c>
      <c r="AM67" s="3" t="s">
        <v>23</v>
      </c>
      <c r="AN67" s="3" t="s">
        <v>2053</v>
      </c>
      <c r="AO67" s="3" t="s">
        <v>50</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si="1"/>
        <v>66</v>
      </c>
      <c r="B68" s="3" t="s">
        <v>2746</v>
      </c>
      <c r="C68" s="3" t="s">
        <v>2746</v>
      </c>
      <c r="D68" s="25" t="s">
        <v>2745</v>
      </c>
      <c r="E68" s="4" t="s">
        <v>2807</v>
      </c>
      <c r="F68" s="3">
        <v>0</v>
      </c>
      <c r="G68" s="3">
        <v>0</v>
      </c>
      <c r="H68" s="3">
        <v>0</v>
      </c>
      <c r="I68" s="3">
        <v>50</v>
      </c>
      <c r="J68" s="3">
        <v>20</v>
      </c>
      <c r="K68" s="3">
        <v>0.95</v>
      </c>
      <c r="L68" s="3">
        <v>0</v>
      </c>
      <c r="M68" s="3">
        <v>0</v>
      </c>
      <c r="N68" s="3">
        <v>40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51</v>
      </c>
      <c r="AM68" s="3" t="s">
        <v>23</v>
      </c>
      <c r="AN68" s="3" t="s">
        <v>2053</v>
      </c>
      <c r="AO68" s="3" t="s">
        <v>50</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s="18" customFormat="1" ht="15.75" customHeight="1" x14ac:dyDescent="0.2">
      <c r="A69" s="16">
        <f t="shared" si="1"/>
        <v>67</v>
      </c>
      <c r="B69" s="16" t="s">
        <v>2746</v>
      </c>
      <c r="C69" s="16" t="s">
        <v>3458</v>
      </c>
      <c r="D69" s="46" t="s">
        <v>3459</v>
      </c>
      <c r="E69" s="20" t="s">
        <v>3460</v>
      </c>
      <c r="F69" s="16">
        <v>0</v>
      </c>
      <c r="G69" s="16">
        <v>0</v>
      </c>
      <c r="H69" s="16">
        <v>0</v>
      </c>
      <c r="I69" s="16">
        <v>50</v>
      </c>
      <c r="J69" s="16">
        <v>20</v>
      </c>
      <c r="K69" s="16">
        <v>0.95</v>
      </c>
      <c r="L69" s="16">
        <v>0</v>
      </c>
      <c r="M69" s="16">
        <v>0</v>
      </c>
      <c r="N69" s="16">
        <v>40</v>
      </c>
      <c r="O69" s="16">
        <v>0</v>
      </c>
      <c r="P69" s="16">
        <v>0</v>
      </c>
      <c r="Q69" s="16">
        <v>0</v>
      </c>
      <c r="R69" s="16">
        <v>0</v>
      </c>
      <c r="S69" s="16">
        <v>0</v>
      </c>
      <c r="T69" s="16">
        <v>0</v>
      </c>
      <c r="U69" s="16">
        <v>0</v>
      </c>
      <c r="V69" s="16">
        <v>0</v>
      </c>
      <c r="W69" s="16">
        <v>0</v>
      </c>
      <c r="X69" s="16">
        <v>0</v>
      </c>
      <c r="Y69" s="16">
        <v>0</v>
      </c>
      <c r="Z69" s="16">
        <v>0</v>
      </c>
      <c r="AA69" s="16">
        <v>0</v>
      </c>
      <c r="AB69" s="16">
        <v>0</v>
      </c>
      <c r="AC69" s="16">
        <v>0</v>
      </c>
      <c r="AD69" s="16">
        <v>0</v>
      </c>
      <c r="AE69" s="16">
        <v>0</v>
      </c>
      <c r="AF69" s="16">
        <v>0</v>
      </c>
      <c r="AG69" s="16">
        <v>0</v>
      </c>
      <c r="AH69" s="16">
        <v>0</v>
      </c>
      <c r="AI69" s="16">
        <v>0</v>
      </c>
      <c r="AJ69" s="16">
        <v>0</v>
      </c>
      <c r="AK69" s="16">
        <v>0</v>
      </c>
      <c r="AL69" s="16" t="s">
        <v>51</v>
      </c>
      <c r="AM69" s="16" t="s">
        <v>23</v>
      </c>
      <c r="AN69" s="16" t="s">
        <v>2053</v>
      </c>
      <c r="AO69" s="16" t="s">
        <v>50</v>
      </c>
      <c r="AP69" s="16">
        <v>0</v>
      </c>
      <c r="AQ69" s="16">
        <v>0</v>
      </c>
      <c r="AR69" s="18">
        <v>0</v>
      </c>
      <c r="AS69" s="18">
        <v>1</v>
      </c>
      <c r="AT69" s="19" t="s">
        <v>50</v>
      </c>
      <c r="AU69" s="19" t="s">
        <v>50</v>
      </c>
      <c r="AV69" s="19" t="s">
        <v>50</v>
      </c>
      <c r="AW69" s="19" t="s">
        <v>50</v>
      </c>
      <c r="AX69" s="19" t="s">
        <v>50</v>
      </c>
      <c r="AY69" s="19" t="s">
        <v>50</v>
      </c>
      <c r="AZ69" s="19" t="s">
        <v>50</v>
      </c>
      <c r="BA69" s="19" t="s">
        <v>50</v>
      </c>
      <c r="BB69" s="19" t="s">
        <v>50</v>
      </c>
      <c r="BC69" s="19" t="s">
        <v>50</v>
      </c>
      <c r="BD69" s="19" t="s">
        <v>50</v>
      </c>
      <c r="BE69" s="19" t="s">
        <v>50</v>
      </c>
      <c r="BF69" s="19" t="s">
        <v>50</v>
      </c>
      <c r="BG69" s="19" t="s">
        <v>50</v>
      </c>
      <c r="BH69" s="19" t="s">
        <v>50</v>
      </c>
      <c r="BI69" s="18">
        <v>1</v>
      </c>
      <c r="BJ69" s="18">
        <v>0</v>
      </c>
      <c r="BK69" s="18">
        <v>1</v>
      </c>
      <c r="BL69" s="18">
        <v>0</v>
      </c>
      <c r="BM69" s="18">
        <v>0</v>
      </c>
      <c r="BN69" s="18">
        <v>0</v>
      </c>
      <c r="BO69" s="18">
        <v>0</v>
      </c>
    </row>
    <row r="70" spans="1:67" ht="15.75" customHeight="1" x14ac:dyDescent="0.2">
      <c r="A70" s="3">
        <f t="shared" si="1"/>
        <v>68</v>
      </c>
      <c r="B70" s="3" t="s">
        <v>1394</v>
      </c>
      <c r="C70" s="3" t="s">
        <v>1394</v>
      </c>
      <c r="D70" s="25" t="s">
        <v>1392</v>
      </c>
      <c r="E70" s="4" t="s">
        <v>1393</v>
      </c>
      <c r="F70" s="3">
        <v>0</v>
      </c>
      <c r="G70" s="3">
        <v>0</v>
      </c>
      <c r="H70" s="3">
        <v>0</v>
      </c>
      <c r="I70" s="3">
        <v>50</v>
      </c>
      <c r="J70" s="3">
        <v>20</v>
      </c>
      <c r="K70" s="3">
        <v>0.95</v>
      </c>
      <c r="L70" s="3">
        <v>0</v>
      </c>
      <c r="M70" s="3">
        <v>0</v>
      </c>
      <c r="N70" s="3">
        <v>30</v>
      </c>
      <c r="O70" s="3">
        <v>0</v>
      </c>
      <c r="P70" s="3">
        <v>0</v>
      </c>
      <c r="Q70" s="3">
        <v>0</v>
      </c>
      <c r="R70" s="3">
        <v>0</v>
      </c>
      <c r="S70" s="3">
        <v>0</v>
      </c>
      <c r="T70" s="3">
        <v>0</v>
      </c>
      <c r="U70" s="3">
        <v>0</v>
      </c>
      <c r="V70" s="3">
        <v>0</v>
      </c>
      <c r="W70" s="3">
        <v>0</v>
      </c>
      <c r="X70" s="3">
        <v>0</v>
      </c>
      <c r="Y70" s="3">
        <v>0</v>
      </c>
      <c r="Z70" s="3">
        <v>10</v>
      </c>
      <c r="AA70" s="3">
        <v>0</v>
      </c>
      <c r="AB70" s="3">
        <v>0</v>
      </c>
      <c r="AC70" s="3">
        <v>0</v>
      </c>
      <c r="AD70" s="3">
        <v>0</v>
      </c>
      <c r="AE70" s="3">
        <v>0</v>
      </c>
      <c r="AF70" s="3">
        <v>0</v>
      </c>
      <c r="AG70" s="3">
        <v>0</v>
      </c>
      <c r="AH70" s="3">
        <v>0</v>
      </c>
      <c r="AI70" s="3">
        <v>0</v>
      </c>
      <c r="AJ70" s="3">
        <v>0</v>
      </c>
      <c r="AK70" s="3">
        <v>0</v>
      </c>
      <c r="AL70" s="3" t="s">
        <v>51</v>
      </c>
      <c r="AM70" s="3" t="s">
        <v>23</v>
      </c>
      <c r="AN70" s="3" t="s">
        <v>1962</v>
      </c>
      <c r="AO70" s="3" t="s">
        <v>1853</v>
      </c>
      <c r="AP70" s="3">
        <v>0</v>
      </c>
      <c r="AQ70" s="3">
        <v>0</v>
      </c>
      <c r="AR70">
        <v>0</v>
      </c>
      <c r="AS70">
        <v>1</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row>
    <row r="71" spans="1:67" ht="15.75" customHeight="1" x14ac:dyDescent="0.2">
      <c r="A71" s="3">
        <f t="shared" si="1"/>
        <v>69</v>
      </c>
      <c r="B71" s="3" t="s">
        <v>2183</v>
      </c>
      <c r="C71" s="3" t="s">
        <v>2183</v>
      </c>
      <c r="D71" s="25" t="s">
        <v>2182</v>
      </c>
      <c r="E71" s="4" t="s">
        <v>2181</v>
      </c>
      <c r="F71" s="3">
        <v>0</v>
      </c>
      <c r="G71" s="3">
        <v>0</v>
      </c>
      <c r="H71" s="3">
        <v>0</v>
      </c>
      <c r="I71" s="3">
        <v>50</v>
      </c>
      <c r="J71" s="3">
        <v>20</v>
      </c>
      <c r="K71" s="3">
        <v>0.95</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23</v>
      </c>
      <c r="AN71" s="3" t="s">
        <v>2184</v>
      </c>
      <c r="AO71" s="3" t="s">
        <v>50</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row>
    <row r="72" spans="1:67" ht="15.75" customHeight="1" x14ac:dyDescent="0.2">
      <c r="A72" s="3">
        <f t="shared" si="1"/>
        <v>70</v>
      </c>
      <c r="B72" s="3" t="s">
        <v>362</v>
      </c>
      <c r="C72" s="3" t="s">
        <v>338</v>
      </c>
      <c r="D72" s="25" t="s">
        <v>339</v>
      </c>
      <c r="E72" s="4" t="s">
        <v>2076</v>
      </c>
      <c r="F72" s="3">
        <v>0</v>
      </c>
      <c r="G72" s="3">
        <v>0</v>
      </c>
      <c r="H72" s="3">
        <v>0</v>
      </c>
      <c r="I72" s="3">
        <v>50</v>
      </c>
      <c r="J72" s="3">
        <v>10</v>
      </c>
      <c r="K72" s="3">
        <v>0.95</v>
      </c>
      <c r="L72" s="3">
        <v>0</v>
      </c>
      <c r="M72" s="3">
        <v>0</v>
      </c>
      <c r="N72" s="3">
        <v>0</v>
      </c>
      <c r="O72" s="3">
        <v>0</v>
      </c>
      <c r="P72" s="3">
        <v>10</v>
      </c>
      <c r="Q72" s="3">
        <v>0</v>
      </c>
      <c r="R72" s="3">
        <v>0</v>
      </c>
      <c r="S72" s="3">
        <v>0</v>
      </c>
      <c r="T72" s="3">
        <v>0</v>
      </c>
      <c r="U72" s="3">
        <v>0</v>
      </c>
      <c r="V72" s="3">
        <v>2</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1963</v>
      </c>
      <c r="AO72" s="3" t="s">
        <v>1853</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row>
    <row r="73" spans="1:67" ht="15.75" customHeight="1" x14ac:dyDescent="0.2">
      <c r="A73" s="3">
        <f t="shared" si="1"/>
        <v>71</v>
      </c>
      <c r="B73" s="3" t="s">
        <v>624</v>
      </c>
      <c r="C73" s="3" t="s">
        <v>624</v>
      </c>
      <c r="D73" s="5" t="s">
        <v>623</v>
      </c>
      <c r="E73" s="5" t="s">
        <v>625</v>
      </c>
      <c r="F73" s="3">
        <v>0</v>
      </c>
      <c r="G73" s="3">
        <v>0</v>
      </c>
      <c r="H73" s="3">
        <v>0</v>
      </c>
      <c r="I73" s="3">
        <v>50</v>
      </c>
      <c r="J73" s="3">
        <v>1</v>
      </c>
      <c r="K73" s="3">
        <v>0.95</v>
      </c>
      <c r="L73" s="3">
        <v>0</v>
      </c>
      <c r="M73" s="3">
        <v>0</v>
      </c>
      <c r="N73" s="3">
        <v>0</v>
      </c>
      <c r="O73" s="3">
        <v>0</v>
      </c>
      <c r="P73" s="3">
        <v>50</v>
      </c>
      <c r="Q73" s="3">
        <v>50</v>
      </c>
      <c r="R73" s="3">
        <v>50</v>
      </c>
      <c r="S73" s="3">
        <v>40</v>
      </c>
      <c r="T73" s="3">
        <v>0</v>
      </c>
      <c r="U73" s="3">
        <v>0</v>
      </c>
      <c r="V73" s="3">
        <v>0</v>
      </c>
      <c r="W73" s="3">
        <v>20</v>
      </c>
      <c r="X73" s="3">
        <v>0</v>
      </c>
      <c r="Y73" s="3">
        <v>0</v>
      </c>
      <c r="Z73" s="3">
        <v>0</v>
      </c>
      <c r="AA73" s="3">
        <v>0</v>
      </c>
      <c r="AB73" s="3">
        <v>0</v>
      </c>
      <c r="AC73" s="3">
        <v>0</v>
      </c>
      <c r="AD73" s="3">
        <v>0</v>
      </c>
      <c r="AE73" s="3">
        <v>0</v>
      </c>
      <c r="AF73" s="3">
        <v>0</v>
      </c>
      <c r="AG73" s="3">
        <v>0</v>
      </c>
      <c r="AH73" s="3">
        <v>0</v>
      </c>
      <c r="AI73" s="3">
        <v>0</v>
      </c>
      <c r="AJ73" s="3">
        <v>0</v>
      </c>
      <c r="AK73" s="3">
        <v>0</v>
      </c>
      <c r="AL73" s="3" t="s">
        <v>17</v>
      </c>
      <c r="AM73" s="3" t="s">
        <v>169</v>
      </c>
      <c r="AN73" s="3" t="s">
        <v>1964</v>
      </c>
      <c r="AO73" s="3" t="s">
        <v>1853</v>
      </c>
      <c r="AP73" s="3">
        <v>0</v>
      </c>
      <c r="AQ73" s="3">
        <v>0</v>
      </c>
      <c r="AR73">
        <v>0</v>
      </c>
      <c r="AS73">
        <v>3</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row>
    <row r="74" spans="1:67" s="9" customFormat="1" ht="15.75" customHeight="1" x14ac:dyDescent="0.2">
      <c r="A74" s="7">
        <f t="shared" si="1"/>
        <v>72</v>
      </c>
      <c r="B74" s="7" t="s">
        <v>57</v>
      </c>
      <c r="C74" s="7" t="s">
        <v>256</v>
      </c>
      <c r="D74" s="8" t="s">
        <v>262</v>
      </c>
      <c r="E74" s="8" t="s">
        <v>257</v>
      </c>
      <c r="F74" s="7">
        <v>0</v>
      </c>
      <c r="G74" s="7">
        <v>0</v>
      </c>
      <c r="H74" s="7">
        <v>0</v>
      </c>
      <c r="I74" s="7">
        <v>50</v>
      </c>
      <c r="J74" s="7">
        <v>5</v>
      </c>
      <c r="K74" s="7">
        <v>0.95</v>
      </c>
      <c r="L74" s="7">
        <v>0</v>
      </c>
      <c r="M74" s="7">
        <v>0</v>
      </c>
      <c r="N74" s="7">
        <v>0</v>
      </c>
      <c r="O74" s="7">
        <v>0</v>
      </c>
      <c r="P74" s="7">
        <v>65</v>
      </c>
      <c r="Q74" s="7">
        <v>50</v>
      </c>
      <c r="R74" s="7">
        <v>60</v>
      </c>
      <c r="S74" s="7">
        <v>40</v>
      </c>
      <c r="T74" s="7">
        <v>0</v>
      </c>
      <c r="U74" s="7">
        <v>0</v>
      </c>
      <c r="V74" s="7">
        <v>0</v>
      </c>
      <c r="W74" s="7">
        <v>15</v>
      </c>
      <c r="X74" s="7">
        <v>0</v>
      </c>
      <c r="Y74" s="7">
        <v>0</v>
      </c>
      <c r="Z74" s="7">
        <v>0</v>
      </c>
      <c r="AA74" s="7">
        <v>0</v>
      </c>
      <c r="AB74" s="7">
        <v>0</v>
      </c>
      <c r="AC74" s="7">
        <v>0</v>
      </c>
      <c r="AD74" s="7">
        <v>0</v>
      </c>
      <c r="AE74" s="7">
        <v>0</v>
      </c>
      <c r="AF74" s="7">
        <v>0</v>
      </c>
      <c r="AG74" s="7">
        <v>0</v>
      </c>
      <c r="AH74" s="7">
        <v>0</v>
      </c>
      <c r="AI74" s="7">
        <v>0</v>
      </c>
      <c r="AJ74" s="7">
        <v>0</v>
      </c>
      <c r="AK74" s="7">
        <v>0</v>
      </c>
      <c r="AL74" s="7" t="s">
        <v>17</v>
      </c>
      <c r="AM74" s="7" t="s">
        <v>169</v>
      </c>
      <c r="AN74" s="7" t="s">
        <v>1964</v>
      </c>
      <c r="AO74" s="7" t="s">
        <v>1853</v>
      </c>
      <c r="AP74" s="7">
        <v>0</v>
      </c>
      <c r="AQ74" s="7">
        <v>0</v>
      </c>
      <c r="AR74" s="9">
        <v>0</v>
      </c>
      <c r="AS74" s="9">
        <v>10</v>
      </c>
      <c r="AT74" s="10" t="s">
        <v>50</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0</v>
      </c>
      <c r="BJ74" s="9">
        <v>0</v>
      </c>
      <c r="BK74" s="9">
        <v>1</v>
      </c>
      <c r="BL74" s="9">
        <v>0</v>
      </c>
      <c r="BM74" s="9">
        <v>0</v>
      </c>
      <c r="BN74" s="9">
        <v>0</v>
      </c>
      <c r="BO74" s="9">
        <v>0</v>
      </c>
    </row>
    <row r="75" spans="1:67" ht="15.75" customHeight="1" x14ac:dyDescent="0.2">
      <c r="A75" s="3">
        <f t="shared" si="1"/>
        <v>73</v>
      </c>
      <c r="B75" s="3" t="s">
        <v>83</v>
      </c>
      <c r="C75" s="3" t="s">
        <v>83</v>
      </c>
      <c r="D75" s="5" t="s">
        <v>16</v>
      </c>
      <c r="E75" s="5" t="s">
        <v>832</v>
      </c>
      <c r="F75" s="3">
        <v>0</v>
      </c>
      <c r="G75" s="3">
        <v>0</v>
      </c>
      <c r="H75" s="3">
        <v>0</v>
      </c>
      <c r="I75" s="3">
        <v>50</v>
      </c>
      <c r="J75" s="3">
        <v>5</v>
      </c>
      <c r="K75" s="3">
        <v>0.95</v>
      </c>
      <c r="L75" s="3">
        <v>0</v>
      </c>
      <c r="M75" s="3">
        <v>5</v>
      </c>
      <c r="N75" s="3">
        <v>2</v>
      </c>
      <c r="O75" s="3">
        <v>10</v>
      </c>
      <c r="P75" s="3">
        <v>0</v>
      </c>
      <c r="Q75" s="3">
        <v>0</v>
      </c>
      <c r="R75" s="3">
        <v>0</v>
      </c>
      <c r="S75" s="3">
        <v>0</v>
      </c>
      <c r="T75" s="3">
        <v>0</v>
      </c>
      <c r="U75" s="3">
        <v>0</v>
      </c>
      <c r="V75" s="3">
        <v>0</v>
      </c>
      <c r="W75" s="3">
        <v>0</v>
      </c>
      <c r="X75" s="3">
        <v>3</v>
      </c>
      <c r="Y75" s="3">
        <v>5</v>
      </c>
      <c r="Z75" s="3">
        <v>5</v>
      </c>
      <c r="AA75" s="3">
        <v>0</v>
      </c>
      <c r="AB75" s="3">
        <v>0</v>
      </c>
      <c r="AC75" s="3">
        <v>0</v>
      </c>
      <c r="AD75" s="3">
        <v>0</v>
      </c>
      <c r="AE75" s="3">
        <v>0</v>
      </c>
      <c r="AF75" s="3">
        <v>0</v>
      </c>
      <c r="AG75" s="3">
        <v>0</v>
      </c>
      <c r="AH75" s="3">
        <v>0</v>
      </c>
      <c r="AI75" s="3">
        <v>0</v>
      </c>
      <c r="AJ75" s="3">
        <v>0</v>
      </c>
      <c r="AK75" s="3">
        <v>0</v>
      </c>
      <c r="AL75" s="3" t="s">
        <v>369</v>
      </c>
      <c r="AM75" s="3" t="s">
        <v>18</v>
      </c>
      <c r="AN75" s="3" t="s">
        <v>1965</v>
      </c>
      <c r="AO75" s="3" t="s">
        <v>1853</v>
      </c>
      <c r="AP75" s="3">
        <v>0</v>
      </c>
      <c r="AQ75" s="3">
        <v>0</v>
      </c>
      <c r="AR75">
        <v>0</v>
      </c>
      <c r="AS75">
        <v>3</v>
      </c>
      <c r="AT75" s="6" t="s">
        <v>151</v>
      </c>
      <c r="AU75" s="6" t="s">
        <v>150</v>
      </c>
      <c r="AV75" s="6" t="s">
        <v>150</v>
      </c>
      <c r="AW75" s="6" t="s">
        <v>150</v>
      </c>
      <c r="AX75" s="6" t="s">
        <v>150</v>
      </c>
      <c r="AY75" s="6" t="s">
        <v>150</v>
      </c>
      <c r="AZ75" s="6" t="s">
        <v>150</v>
      </c>
      <c r="BA75" s="6" t="s">
        <v>150</v>
      </c>
      <c r="BB75" s="6" t="s">
        <v>150</v>
      </c>
      <c r="BC75" s="6" t="s">
        <v>150</v>
      </c>
      <c r="BD75" s="6" t="s">
        <v>50</v>
      </c>
      <c r="BE75" s="6" t="s">
        <v>50</v>
      </c>
      <c r="BF75" s="6" t="s">
        <v>50</v>
      </c>
      <c r="BG75" s="6" t="s">
        <v>50</v>
      </c>
      <c r="BH75" s="6" t="s">
        <v>50</v>
      </c>
      <c r="BI75">
        <v>1</v>
      </c>
      <c r="BJ75">
        <v>0</v>
      </c>
      <c r="BK75">
        <v>1</v>
      </c>
      <c r="BL75">
        <v>0</v>
      </c>
      <c r="BM75">
        <v>0</v>
      </c>
      <c r="BN75">
        <v>0</v>
      </c>
      <c r="BO75">
        <v>0</v>
      </c>
    </row>
    <row r="76" spans="1:67" ht="15.75" customHeight="1" x14ac:dyDescent="0.2">
      <c r="A76" s="3">
        <f t="shared" si="1"/>
        <v>74</v>
      </c>
      <c r="B76" s="3" t="s">
        <v>1867</v>
      </c>
      <c r="C76" s="3" t="s">
        <v>1867</v>
      </c>
      <c r="D76" s="5" t="s">
        <v>1866</v>
      </c>
      <c r="E76" s="5" t="s">
        <v>1868</v>
      </c>
      <c r="F76" s="3">
        <v>0</v>
      </c>
      <c r="G76" s="3">
        <v>0</v>
      </c>
      <c r="H76" s="3">
        <v>0</v>
      </c>
      <c r="I76" s="3">
        <v>50</v>
      </c>
      <c r="J76" s="3">
        <v>5</v>
      </c>
      <c r="K76" s="3">
        <v>0.95</v>
      </c>
      <c r="L76" s="3">
        <v>0</v>
      </c>
      <c r="M76" s="3">
        <v>10</v>
      </c>
      <c r="N76" s="3">
        <v>3</v>
      </c>
      <c r="O76" s="3">
        <v>5</v>
      </c>
      <c r="P76" s="3">
        <v>0</v>
      </c>
      <c r="Q76" s="3">
        <v>0</v>
      </c>
      <c r="R76" s="3">
        <v>0</v>
      </c>
      <c r="S76" s="3">
        <v>0</v>
      </c>
      <c r="T76" s="3">
        <v>0</v>
      </c>
      <c r="U76" s="3">
        <v>0</v>
      </c>
      <c r="V76" s="3">
        <v>0</v>
      </c>
      <c r="W76" s="3">
        <v>0</v>
      </c>
      <c r="X76" s="3">
        <v>3</v>
      </c>
      <c r="Y76" s="3">
        <v>5</v>
      </c>
      <c r="Z76" s="3">
        <v>5</v>
      </c>
      <c r="AA76" s="3">
        <v>0</v>
      </c>
      <c r="AB76" s="3">
        <v>0</v>
      </c>
      <c r="AC76" s="3">
        <v>0</v>
      </c>
      <c r="AD76" s="3">
        <v>0</v>
      </c>
      <c r="AE76" s="3">
        <v>0</v>
      </c>
      <c r="AF76" s="3">
        <v>0</v>
      </c>
      <c r="AG76" s="3">
        <v>0</v>
      </c>
      <c r="AH76" s="3">
        <v>0</v>
      </c>
      <c r="AI76" s="3">
        <v>0</v>
      </c>
      <c r="AJ76" s="3">
        <v>0</v>
      </c>
      <c r="AK76" s="3">
        <v>0</v>
      </c>
      <c r="AL76" s="3" t="s">
        <v>51</v>
      </c>
      <c r="AM76" s="3" t="s">
        <v>18</v>
      </c>
      <c r="AN76" s="3" t="s">
        <v>1965</v>
      </c>
      <c r="AO76" s="3" t="s">
        <v>50</v>
      </c>
      <c r="AP76" s="3">
        <v>0</v>
      </c>
      <c r="AQ76" s="3">
        <v>0</v>
      </c>
      <c r="AR76">
        <v>0</v>
      </c>
      <c r="AS76">
        <v>3</v>
      </c>
      <c r="AT76" s="6" t="s">
        <v>1870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row>
    <row r="77" spans="1:67" ht="15.75" customHeight="1" x14ac:dyDescent="0.2">
      <c r="A77" s="3">
        <f t="shared" si="1"/>
        <v>75</v>
      </c>
      <c r="B77" s="3" t="s">
        <v>384</v>
      </c>
      <c r="C77" s="3" t="s">
        <v>2231</v>
      </c>
      <c r="D77" s="5" t="s">
        <v>267</v>
      </c>
      <c r="E77" s="5" t="s">
        <v>265</v>
      </c>
      <c r="F77" s="3">
        <v>0</v>
      </c>
      <c r="G77" s="3">
        <v>0</v>
      </c>
      <c r="H77" s="3">
        <v>0</v>
      </c>
      <c r="I77" s="3">
        <v>50</v>
      </c>
      <c r="J77" s="3">
        <v>10</v>
      </c>
      <c r="K77" s="3">
        <v>0.95</v>
      </c>
      <c r="L77" s="3">
        <v>0</v>
      </c>
      <c r="M77" s="3">
        <v>7</v>
      </c>
      <c r="N77" s="3">
        <v>2</v>
      </c>
      <c r="O77" s="3">
        <v>20</v>
      </c>
      <c r="P77" s="3">
        <v>0</v>
      </c>
      <c r="Q77" s="3">
        <v>0</v>
      </c>
      <c r="R77" s="3">
        <v>0</v>
      </c>
      <c r="S77" s="3">
        <v>0</v>
      </c>
      <c r="T77" s="3">
        <v>0</v>
      </c>
      <c r="U77" s="3">
        <v>0</v>
      </c>
      <c r="V77" s="3">
        <v>0</v>
      </c>
      <c r="W77" s="3">
        <v>0</v>
      </c>
      <c r="X77" s="3">
        <v>4</v>
      </c>
      <c r="Y77" s="3">
        <v>5</v>
      </c>
      <c r="Z77" s="3">
        <v>5</v>
      </c>
      <c r="AA77" s="3">
        <v>0</v>
      </c>
      <c r="AB77" s="3">
        <v>0</v>
      </c>
      <c r="AC77" s="3">
        <v>0</v>
      </c>
      <c r="AD77" s="3">
        <v>0</v>
      </c>
      <c r="AE77" s="3">
        <v>0</v>
      </c>
      <c r="AF77" s="3">
        <v>0</v>
      </c>
      <c r="AG77" s="3">
        <v>0</v>
      </c>
      <c r="AH77" s="3">
        <v>0</v>
      </c>
      <c r="AI77" s="3">
        <v>0</v>
      </c>
      <c r="AJ77" s="3">
        <v>0</v>
      </c>
      <c r="AK77" s="3">
        <v>0</v>
      </c>
      <c r="AL77" s="3" t="s">
        <v>17</v>
      </c>
      <c r="AM77" s="3" t="s">
        <v>18</v>
      </c>
      <c r="AN77" s="3" t="s">
        <v>1965</v>
      </c>
      <c r="AO77" s="3" t="s">
        <v>1853</v>
      </c>
      <c r="AP77" s="3">
        <v>0</v>
      </c>
      <c r="AQ77" s="3">
        <v>0</v>
      </c>
      <c r="AR77">
        <v>0</v>
      </c>
      <c r="AS77">
        <v>6</v>
      </c>
      <c r="AT77" s="6" t="s">
        <v>268</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row>
    <row r="78" spans="1:67" s="9" customFormat="1" ht="15.75" customHeight="1" x14ac:dyDescent="0.2">
      <c r="A78" s="7">
        <f t="shared" si="1"/>
        <v>76</v>
      </c>
      <c r="B78" s="7" t="s">
        <v>83</v>
      </c>
      <c r="C78" s="7" t="s">
        <v>189</v>
      </c>
      <c r="D78" s="8" t="s">
        <v>41</v>
      </c>
      <c r="E78" s="8" t="s">
        <v>310</v>
      </c>
      <c r="F78" s="7">
        <v>0</v>
      </c>
      <c r="G78" s="7">
        <v>0</v>
      </c>
      <c r="H78" s="7">
        <v>0</v>
      </c>
      <c r="I78" s="7">
        <v>0</v>
      </c>
      <c r="J78" s="7">
        <v>50</v>
      </c>
      <c r="K78" s="7">
        <v>0.95</v>
      </c>
      <c r="L78" s="7">
        <v>0</v>
      </c>
      <c r="M78" s="7">
        <v>3</v>
      </c>
      <c r="N78" s="7">
        <v>0</v>
      </c>
      <c r="O78" s="7">
        <v>10</v>
      </c>
      <c r="P78" s="7">
        <v>0</v>
      </c>
      <c r="Q78" s="7">
        <v>0</v>
      </c>
      <c r="R78" s="7">
        <v>0</v>
      </c>
      <c r="S78" s="7">
        <v>0</v>
      </c>
      <c r="T78" s="7">
        <v>0</v>
      </c>
      <c r="U78" s="7">
        <v>0</v>
      </c>
      <c r="V78" s="7">
        <v>0</v>
      </c>
      <c r="W78" s="7">
        <v>0</v>
      </c>
      <c r="X78" s="7">
        <v>0</v>
      </c>
      <c r="Y78" s="7">
        <v>0</v>
      </c>
      <c r="Z78" s="7">
        <v>10</v>
      </c>
      <c r="AA78" s="7">
        <v>0</v>
      </c>
      <c r="AB78" s="7">
        <v>0</v>
      </c>
      <c r="AC78" s="7">
        <v>0</v>
      </c>
      <c r="AD78" s="7">
        <v>0</v>
      </c>
      <c r="AE78" s="7">
        <v>0</v>
      </c>
      <c r="AF78" s="7">
        <v>0</v>
      </c>
      <c r="AG78" s="7">
        <v>0</v>
      </c>
      <c r="AH78" s="7">
        <v>0</v>
      </c>
      <c r="AI78" s="7">
        <v>0</v>
      </c>
      <c r="AJ78" s="7">
        <v>0</v>
      </c>
      <c r="AK78" s="7">
        <v>0</v>
      </c>
      <c r="AL78" s="7" t="s">
        <v>17</v>
      </c>
      <c r="AM78" s="7" t="s">
        <v>23</v>
      </c>
      <c r="AN78" s="7" t="s">
        <v>1966</v>
      </c>
      <c r="AO78" s="7" t="s">
        <v>1853</v>
      </c>
      <c r="AP78" s="7">
        <v>0</v>
      </c>
      <c r="AQ78" s="7">
        <v>0</v>
      </c>
      <c r="AR78" s="9">
        <v>0</v>
      </c>
      <c r="AS78" s="9">
        <v>0</v>
      </c>
      <c r="AT78" s="10" t="s">
        <v>151</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row>
    <row r="79" spans="1:67" ht="15.75" customHeight="1" x14ac:dyDescent="0.2">
      <c r="A79" s="3">
        <f t="shared" si="1"/>
        <v>77</v>
      </c>
      <c r="B79" s="3" t="s">
        <v>54</v>
      </c>
      <c r="C79" s="3" t="s">
        <v>54</v>
      </c>
      <c r="D79" s="5" t="s">
        <v>19</v>
      </c>
      <c r="E79" s="5" t="s">
        <v>124</v>
      </c>
      <c r="F79" s="3">
        <v>0</v>
      </c>
      <c r="G79" s="3">
        <v>0</v>
      </c>
      <c r="H79" s="3">
        <v>0</v>
      </c>
      <c r="I79" s="3">
        <v>50</v>
      </c>
      <c r="J79" s="3">
        <v>8</v>
      </c>
      <c r="K79" s="3">
        <v>0.95</v>
      </c>
      <c r="L79" s="3">
        <v>0</v>
      </c>
      <c r="M79" s="3">
        <v>3</v>
      </c>
      <c r="N79" s="3">
        <v>0</v>
      </c>
      <c r="O79" s="3">
        <v>7</v>
      </c>
      <c r="P79" s="3">
        <v>0</v>
      </c>
      <c r="Q79" s="3">
        <v>0</v>
      </c>
      <c r="R79" s="3">
        <v>0</v>
      </c>
      <c r="S79" s="3">
        <v>0</v>
      </c>
      <c r="T79" s="3">
        <v>0</v>
      </c>
      <c r="U79" s="3">
        <v>0</v>
      </c>
      <c r="V79" s="3">
        <v>0</v>
      </c>
      <c r="W79" s="3">
        <v>0</v>
      </c>
      <c r="X79" s="3">
        <v>3</v>
      </c>
      <c r="Y79" s="3">
        <v>0</v>
      </c>
      <c r="Z79" s="3">
        <v>5</v>
      </c>
      <c r="AA79" s="3">
        <v>0</v>
      </c>
      <c r="AB79" s="3">
        <v>0</v>
      </c>
      <c r="AC79" s="3">
        <v>0</v>
      </c>
      <c r="AD79" s="3">
        <v>0</v>
      </c>
      <c r="AE79" s="3">
        <v>0</v>
      </c>
      <c r="AF79" s="3">
        <v>0</v>
      </c>
      <c r="AG79" s="3">
        <v>0</v>
      </c>
      <c r="AH79" s="3">
        <v>0</v>
      </c>
      <c r="AI79" s="3">
        <v>0</v>
      </c>
      <c r="AJ79" s="3">
        <v>0</v>
      </c>
      <c r="AK79" s="3">
        <v>0</v>
      </c>
      <c r="AL79" s="3" t="s">
        <v>17</v>
      </c>
      <c r="AM79" s="3" t="s">
        <v>18</v>
      </c>
      <c r="AN79" s="3" t="s">
        <v>1967</v>
      </c>
      <c r="AO79" s="3" t="s">
        <v>1853</v>
      </c>
      <c r="AP79" s="3">
        <v>0</v>
      </c>
      <c r="AQ79" s="3">
        <v>0</v>
      </c>
      <c r="AR79">
        <v>0</v>
      </c>
      <c r="AS79">
        <v>4</v>
      </c>
      <c r="AT79" s="6" t="s">
        <v>152</v>
      </c>
      <c r="AU79" s="6" t="s">
        <v>150</v>
      </c>
      <c r="AV79" s="6" t="s">
        <v>150</v>
      </c>
      <c r="AW79" s="6" t="s">
        <v>150</v>
      </c>
      <c r="AX79" s="6" t="s">
        <v>150</v>
      </c>
      <c r="AY79" s="6" t="s">
        <v>150</v>
      </c>
      <c r="AZ79" s="6" t="s">
        <v>150</v>
      </c>
      <c r="BA79" s="6" t="s">
        <v>150</v>
      </c>
      <c r="BB79" s="6" t="s">
        <v>150</v>
      </c>
      <c r="BC79" s="6" t="s">
        <v>150</v>
      </c>
      <c r="BD79" s="6" t="s">
        <v>50</v>
      </c>
      <c r="BE79" s="6" t="s">
        <v>50</v>
      </c>
      <c r="BF79" s="6" t="s">
        <v>50</v>
      </c>
      <c r="BG79" s="6" t="s">
        <v>50</v>
      </c>
      <c r="BH79" s="6" t="s">
        <v>50</v>
      </c>
      <c r="BI79">
        <v>1</v>
      </c>
      <c r="BJ79">
        <v>0</v>
      </c>
      <c r="BK79">
        <v>1</v>
      </c>
      <c r="BL79">
        <v>0</v>
      </c>
      <c r="BM79">
        <v>0</v>
      </c>
      <c r="BN79">
        <v>0</v>
      </c>
      <c r="BO79">
        <v>0</v>
      </c>
    </row>
    <row r="80" spans="1:67" ht="15.75" customHeight="1" x14ac:dyDescent="0.2">
      <c r="A80" s="3">
        <f t="shared" si="1"/>
        <v>78</v>
      </c>
      <c r="B80" s="3" t="s">
        <v>2418</v>
      </c>
      <c r="C80" s="3" t="s">
        <v>2418</v>
      </c>
      <c r="D80" s="5" t="s">
        <v>2417</v>
      </c>
      <c r="E80" s="5" t="s">
        <v>2419</v>
      </c>
      <c r="F80" s="3">
        <v>0</v>
      </c>
      <c r="G80" s="3">
        <v>0</v>
      </c>
      <c r="H80" s="3">
        <v>0</v>
      </c>
      <c r="I80" s="3">
        <v>50</v>
      </c>
      <c r="J80" s="3">
        <v>8</v>
      </c>
      <c r="K80" s="3">
        <v>0.95</v>
      </c>
      <c r="L80" s="3">
        <v>0</v>
      </c>
      <c r="M80" s="3">
        <v>25</v>
      </c>
      <c r="N80" s="3">
        <v>0</v>
      </c>
      <c r="O80" s="3">
        <v>4</v>
      </c>
      <c r="P80" s="3">
        <v>0</v>
      </c>
      <c r="Q80" s="3">
        <v>10</v>
      </c>
      <c r="R80" s="3">
        <v>10</v>
      </c>
      <c r="S80" s="3">
        <v>0</v>
      </c>
      <c r="T80" s="3">
        <v>0</v>
      </c>
      <c r="U80" s="3">
        <v>0</v>
      </c>
      <c r="V80" s="3">
        <v>0</v>
      </c>
      <c r="W80" s="3">
        <v>0</v>
      </c>
      <c r="X80" s="3">
        <v>1</v>
      </c>
      <c r="Y80" s="3">
        <v>0</v>
      </c>
      <c r="Z80" s="3">
        <v>30</v>
      </c>
      <c r="AA80" s="3">
        <v>0</v>
      </c>
      <c r="AB80" s="3">
        <v>0</v>
      </c>
      <c r="AC80" s="3">
        <v>0</v>
      </c>
      <c r="AD80" s="3">
        <v>0</v>
      </c>
      <c r="AE80" s="3">
        <v>0</v>
      </c>
      <c r="AF80" s="3">
        <v>0</v>
      </c>
      <c r="AG80" s="3">
        <v>0</v>
      </c>
      <c r="AH80" s="3">
        <v>0</v>
      </c>
      <c r="AI80" s="3">
        <v>0</v>
      </c>
      <c r="AJ80" s="3">
        <v>0</v>
      </c>
      <c r="AK80" s="3">
        <v>0</v>
      </c>
      <c r="AL80" s="3" t="s">
        <v>17</v>
      </c>
      <c r="AM80" s="3" t="s">
        <v>18</v>
      </c>
      <c r="AN80" s="3" t="s">
        <v>1967</v>
      </c>
      <c r="AO80" s="3" t="s">
        <v>50</v>
      </c>
      <c r="AP80" s="3">
        <v>0</v>
      </c>
      <c r="AQ80" s="3">
        <v>0</v>
      </c>
      <c r="AR80">
        <v>0</v>
      </c>
      <c r="AS80">
        <v>4</v>
      </c>
      <c r="AT80" s="6" t="s">
        <v>2519</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row>
    <row r="81" spans="1:67" s="9" customFormat="1" ht="15.75" customHeight="1" x14ac:dyDescent="0.2">
      <c r="A81" s="7">
        <f t="shared" si="1"/>
        <v>79</v>
      </c>
      <c r="B81" s="7" t="s">
        <v>1305</v>
      </c>
      <c r="C81" s="7" t="s">
        <v>1305</v>
      </c>
      <c r="D81" s="8" t="s">
        <v>1306</v>
      </c>
      <c r="E81" s="8" t="s">
        <v>1307</v>
      </c>
      <c r="F81" s="7">
        <v>0</v>
      </c>
      <c r="G81" s="7">
        <v>0</v>
      </c>
      <c r="H81" s="7">
        <v>0</v>
      </c>
      <c r="I81" s="7">
        <v>50</v>
      </c>
      <c r="J81" s="7">
        <v>8</v>
      </c>
      <c r="K81" s="7">
        <v>0.95</v>
      </c>
      <c r="L81" s="7">
        <v>0</v>
      </c>
      <c r="M81" s="7">
        <v>10</v>
      </c>
      <c r="N81" s="7">
        <v>0</v>
      </c>
      <c r="O81" s="7">
        <v>12</v>
      </c>
      <c r="P81" s="7">
        <v>0</v>
      </c>
      <c r="Q81" s="7">
        <v>0</v>
      </c>
      <c r="R81" s="7">
        <v>0</v>
      </c>
      <c r="S81" s="7">
        <v>0</v>
      </c>
      <c r="T81" s="7">
        <v>0</v>
      </c>
      <c r="U81" s="7">
        <v>0</v>
      </c>
      <c r="V81" s="7">
        <v>0</v>
      </c>
      <c r="W81" s="7">
        <v>0</v>
      </c>
      <c r="X81" s="7">
        <v>1</v>
      </c>
      <c r="Y81" s="7">
        <v>0</v>
      </c>
      <c r="Z81" s="7">
        <v>5</v>
      </c>
      <c r="AA81" s="7">
        <v>0</v>
      </c>
      <c r="AB81" s="7">
        <v>0</v>
      </c>
      <c r="AC81" s="7">
        <v>0</v>
      </c>
      <c r="AD81" s="7">
        <v>0</v>
      </c>
      <c r="AE81" s="7">
        <v>0</v>
      </c>
      <c r="AF81" s="7">
        <v>0</v>
      </c>
      <c r="AG81" s="7">
        <v>0</v>
      </c>
      <c r="AH81" s="7">
        <v>0</v>
      </c>
      <c r="AI81" s="7">
        <v>0</v>
      </c>
      <c r="AJ81" s="7">
        <v>0</v>
      </c>
      <c r="AK81" s="7">
        <v>0</v>
      </c>
      <c r="AL81" s="7" t="s">
        <v>17</v>
      </c>
      <c r="AM81" s="7" t="s">
        <v>18</v>
      </c>
      <c r="AN81" s="7" t="s">
        <v>1967</v>
      </c>
      <c r="AO81" s="7" t="s">
        <v>1853</v>
      </c>
      <c r="AP81" s="7">
        <v>0</v>
      </c>
      <c r="AQ81" s="7">
        <v>0</v>
      </c>
      <c r="AR81" s="9">
        <v>0</v>
      </c>
      <c r="AS81" s="9">
        <v>4</v>
      </c>
      <c r="AT81" s="10" t="s">
        <v>50</v>
      </c>
      <c r="AU81" s="10" t="s">
        <v>50</v>
      </c>
      <c r="AV81" s="10" t="s">
        <v>50</v>
      </c>
      <c r="AW81" s="10" t="s">
        <v>50</v>
      </c>
      <c r="AX81" s="10" t="s">
        <v>50</v>
      </c>
      <c r="AY81" s="10" t="s">
        <v>50</v>
      </c>
      <c r="AZ81" s="10" t="s">
        <v>50</v>
      </c>
      <c r="BA81" s="10" t="s">
        <v>50</v>
      </c>
      <c r="BB81" s="10" t="s">
        <v>50</v>
      </c>
      <c r="BC81" s="10" t="s">
        <v>50</v>
      </c>
      <c r="BD81" s="10" t="s">
        <v>1311</v>
      </c>
      <c r="BE81" s="10" t="s">
        <v>50</v>
      </c>
      <c r="BF81" s="10" t="s">
        <v>50</v>
      </c>
      <c r="BG81" s="10" t="s">
        <v>50</v>
      </c>
      <c r="BH81" s="10" t="s">
        <v>50</v>
      </c>
      <c r="BI81" s="9">
        <v>0</v>
      </c>
      <c r="BJ81" s="9">
        <v>0</v>
      </c>
      <c r="BK81" s="9">
        <v>1</v>
      </c>
      <c r="BL81" s="9">
        <v>0</v>
      </c>
      <c r="BM81" s="9">
        <v>0</v>
      </c>
      <c r="BN81" s="9">
        <v>0</v>
      </c>
      <c r="BO81" s="9">
        <v>0</v>
      </c>
    </row>
    <row r="82" spans="1:67" ht="15.75" customHeight="1" x14ac:dyDescent="0.2">
      <c r="A82" s="3">
        <f t="shared" si="1"/>
        <v>80</v>
      </c>
      <c r="B82" s="3" t="s">
        <v>2434</v>
      </c>
      <c r="C82" s="3" t="s">
        <v>2434</v>
      </c>
      <c r="D82" s="5" t="s">
        <v>2435</v>
      </c>
      <c r="E82" s="5" t="s">
        <v>2439</v>
      </c>
      <c r="F82" s="3">
        <v>0</v>
      </c>
      <c r="G82" s="3">
        <v>0</v>
      </c>
      <c r="H82" s="3">
        <v>0</v>
      </c>
      <c r="I82" s="3">
        <v>50</v>
      </c>
      <c r="J82" s="3">
        <v>8</v>
      </c>
      <c r="K82" s="3">
        <v>0.95</v>
      </c>
      <c r="L82" s="3">
        <v>0</v>
      </c>
      <c r="M82" s="3">
        <v>12</v>
      </c>
      <c r="N82" s="3">
        <v>0</v>
      </c>
      <c r="O82" s="3">
        <v>5</v>
      </c>
      <c r="P82" s="3">
        <v>0</v>
      </c>
      <c r="Q82" s="3">
        <v>0</v>
      </c>
      <c r="R82" s="3">
        <v>0</v>
      </c>
      <c r="S82" s="3">
        <v>0</v>
      </c>
      <c r="T82" s="3">
        <v>0</v>
      </c>
      <c r="U82" s="3">
        <v>0</v>
      </c>
      <c r="V82" s="3">
        <v>0</v>
      </c>
      <c r="W82" s="3">
        <v>0</v>
      </c>
      <c r="X82" s="3">
        <v>5</v>
      </c>
      <c r="Y82" s="3">
        <v>8</v>
      </c>
      <c r="Z82" s="3">
        <v>5</v>
      </c>
      <c r="AA82" s="3">
        <v>6</v>
      </c>
      <c r="AB82" s="3">
        <v>0</v>
      </c>
      <c r="AC82" s="3">
        <v>0</v>
      </c>
      <c r="AD82" s="3">
        <v>0</v>
      </c>
      <c r="AE82" s="3">
        <v>0</v>
      </c>
      <c r="AF82" s="3">
        <v>0</v>
      </c>
      <c r="AG82" s="3">
        <v>0</v>
      </c>
      <c r="AH82" s="3">
        <v>0</v>
      </c>
      <c r="AI82" s="3">
        <v>0</v>
      </c>
      <c r="AJ82" s="3">
        <v>0</v>
      </c>
      <c r="AK82" s="3">
        <v>0</v>
      </c>
      <c r="AL82" s="3" t="s">
        <v>17</v>
      </c>
      <c r="AM82" s="3" t="s">
        <v>18</v>
      </c>
      <c r="AN82" s="3" t="s">
        <v>1967</v>
      </c>
      <c r="AO82" s="3" t="s">
        <v>50</v>
      </c>
      <c r="AP82" s="3">
        <v>0</v>
      </c>
      <c r="AQ82" s="3">
        <v>0</v>
      </c>
      <c r="AR82">
        <v>0</v>
      </c>
      <c r="AS82">
        <v>4</v>
      </c>
      <c r="AT82" s="6" t="s">
        <v>2520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row>
    <row r="83" spans="1:67" ht="15.75" customHeight="1" x14ac:dyDescent="0.2">
      <c r="A83" s="3">
        <f t="shared" si="1"/>
        <v>81</v>
      </c>
      <c r="B83" s="3" t="s">
        <v>2177</v>
      </c>
      <c r="C83" s="3" t="s">
        <v>637</v>
      </c>
      <c r="D83" s="5" t="s">
        <v>20</v>
      </c>
      <c r="E83" s="5" t="s">
        <v>136</v>
      </c>
      <c r="F83" s="3">
        <v>0</v>
      </c>
      <c r="G83" s="3">
        <v>0</v>
      </c>
      <c r="H83" s="3">
        <v>0</v>
      </c>
      <c r="I83" s="3">
        <v>50</v>
      </c>
      <c r="J83" s="3">
        <v>10</v>
      </c>
      <c r="K83" s="3">
        <v>0.95</v>
      </c>
      <c r="L83" s="3">
        <v>0</v>
      </c>
      <c r="M83" s="3">
        <v>5</v>
      </c>
      <c r="N83" s="3">
        <v>0</v>
      </c>
      <c r="O83" s="3">
        <v>5</v>
      </c>
      <c r="P83" s="3">
        <v>0</v>
      </c>
      <c r="Q83" s="3">
        <v>0</v>
      </c>
      <c r="R83" s="3">
        <v>0</v>
      </c>
      <c r="S83" s="3">
        <v>0</v>
      </c>
      <c r="T83" s="3">
        <v>0</v>
      </c>
      <c r="U83" s="3">
        <v>0</v>
      </c>
      <c r="V83" s="3">
        <v>0</v>
      </c>
      <c r="W83" s="3">
        <v>0</v>
      </c>
      <c r="X83" s="3">
        <v>2</v>
      </c>
      <c r="Y83" s="3">
        <v>5</v>
      </c>
      <c r="Z83" s="3">
        <v>5</v>
      </c>
      <c r="AA83" s="3">
        <v>0</v>
      </c>
      <c r="AB83" s="3">
        <v>0</v>
      </c>
      <c r="AC83" s="3">
        <v>0</v>
      </c>
      <c r="AD83" s="3">
        <v>0</v>
      </c>
      <c r="AE83" s="3">
        <v>0</v>
      </c>
      <c r="AF83" s="3">
        <v>0</v>
      </c>
      <c r="AG83" s="3">
        <v>0</v>
      </c>
      <c r="AH83" s="3">
        <v>0</v>
      </c>
      <c r="AI83" s="3">
        <v>0</v>
      </c>
      <c r="AJ83" s="3">
        <v>0</v>
      </c>
      <c r="AK83" s="3">
        <v>0</v>
      </c>
      <c r="AL83" s="3" t="s">
        <v>17</v>
      </c>
      <c r="AM83" t="s">
        <v>1035</v>
      </c>
      <c r="AN83" s="6" t="s">
        <v>1968</v>
      </c>
      <c r="AO83" s="3" t="s">
        <v>1853</v>
      </c>
      <c r="AP83" s="3">
        <v>0</v>
      </c>
      <c r="AQ83" s="3">
        <v>0</v>
      </c>
      <c r="AR83">
        <v>0</v>
      </c>
      <c r="AS83">
        <v>6</v>
      </c>
      <c r="AT83" s="6" t="s">
        <v>153</v>
      </c>
      <c r="AU83" s="6" t="s">
        <v>150</v>
      </c>
      <c r="AV83" s="6" t="s">
        <v>150</v>
      </c>
      <c r="AW83" s="6" t="s">
        <v>150</v>
      </c>
      <c r="AX83" s="6" t="s">
        <v>150</v>
      </c>
      <c r="AY83" s="6" t="s">
        <v>150</v>
      </c>
      <c r="AZ83" s="6" t="s">
        <v>150</v>
      </c>
      <c r="BA83" s="6" t="s">
        <v>150</v>
      </c>
      <c r="BB83" s="6" t="s">
        <v>150</v>
      </c>
      <c r="BC83" s="6" t="s">
        <v>150</v>
      </c>
      <c r="BD83" s="6" t="s">
        <v>50</v>
      </c>
      <c r="BE83" s="6" t="s">
        <v>50</v>
      </c>
      <c r="BF83" s="6" t="s">
        <v>50</v>
      </c>
      <c r="BG83" s="6" t="s">
        <v>50</v>
      </c>
      <c r="BH83" s="6" t="s">
        <v>50</v>
      </c>
      <c r="BI83">
        <v>1</v>
      </c>
      <c r="BJ83">
        <v>0</v>
      </c>
      <c r="BK83">
        <v>1</v>
      </c>
      <c r="BL83">
        <v>0</v>
      </c>
      <c r="BM83">
        <v>0</v>
      </c>
      <c r="BN83">
        <v>0</v>
      </c>
      <c r="BO83">
        <v>0</v>
      </c>
    </row>
    <row r="84" spans="1:67" ht="15.75" customHeight="1" x14ac:dyDescent="0.2">
      <c r="A84" s="3">
        <f t="shared" si="1"/>
        <v>82</v>
      </c>
      <c r="B84" s="3" t="s">
        <v>1008</v>
      </c>
      <c r="C84" s="3" t="s">
        <v>1008</v>
      </c>
      <c r="D84" s="5" t="s">
        <v>1007</v>
      </c>
      <c r="E84" s="5" t="s">
        <v>1009</v>
      </c>
      <c r="F84" s="3">
        <v>0</v>
      </c>
      <c r="G84" s="3">
        <v>0</v>
      </c>
      <c r="H84" s="3">
        <v>0</v>
      </c>
      <c r="I84" s="3">
        <v>50</v>
      </c>
      <c r="J84" s="3">
        <v>10</v>
      </c>
      <c r="K84" s="3">
        <v>0.95</v>
      </c>
      <c r="L84" s="3">
        <v>0</v>
      </c>
      <c r="M84" s="3">
        <v>5</v>
      </c>
      <c r="N84" s="3">
        <v>0</v>
      </c>
      <c r="O84" s="3">
        <v>15</v>
      </c>
      <c r="P84" s="3">
        <v>0</v>
      </c>
      <c r="Q84" s="3">
        <v>0</v>
      </c>
      <c r="R84" s="3">
        <v>0</v>
      </c>
      <c r="S84" s="3">
        <v>0</v>
      </c>
      <c r="T84" s="3">
        <v>0</v>
      </c>
      <c r="U84" s="3">
        <v>0</v>
      </c>
      <c r="V84" s="3">
        <v>0</v>
      </c>
      <c r="W84" s="3">
        <v>0</v>
      </c>
      <c r="X84" s="3">
        <v>2</v>
      </c>
      <c r="Y84" s="3">
        <v>5</v>
      </c>
      <c r="Z84" s="3">
        <v>5</v>
      </c>
      <c r="AA84" s="3">
        <v>0</v>
      </c>
      <c r="AB84" s="3">
        <v>0</v>
      </c>
      <c r="AC84" s="3">
        <v>0</v>
      </c>
      <c r="AD84" s="3">
        <v>0</v>
      </c>
      <c r="AE84" s="3">
        <v>2</v>
      </c>
      <c r="AF84" s="3">
        <v>2</v>
      </c>
      <c r="AG84" s="3">
        <v>3</v>
      </c>
      <c r="AH84" s="3">
        <v>0</v>
      </c>
      <c r="AI84" s="3">
        <v>0</v>
      </c>
      <c r="AJ84" s="3">
        <v>0</v>
      </c>
      <c r="AK84" s="3">
        <v>0</v>
      </c>
      <c r="AL84" s="3" t="s">
        <v>17</v>
      </c>
      <c r="AM84" t="s">
        <v>1035</v>
      </c>
      <c r="AN84" s="6" t="s">
        <v>1969</v>
      </c>
      <c r="AO84" s="3" t="s">
        <v>1853</v>
      </c>
      <c r="AP84" s="3">
        <v>0</v>
      </c>
      <c r="AQ84" s="3">
        <v>0</v>
      </c>
      <c r="AR84">
        <v>0</v>
      </c>
      <c r="AS84">
        <v>6</v>
      </c>
      <c r="AT84" s="6" t="s">
        <v>1014</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row>
    <row r="85" spans="1:67" ht="15.75" customHeight="1" x14ac:dyDescent="0.2">
      <c r="A85" s="3">
        <f t="shared" si="1"/>
        <v>83</v>
      </c>
      <c r="B85" s="3" t="s">
        <v>2560</v>
      </c>
      <c r="C85" s="3" t="s">
        <v>1858</v>
      </c>
      <c r="D85" s="5" t="s">
        <v>1857</v>
      </c>
      <c r="E85" s="5" t="s">
        <v>2561</v>
      </c>
      <c r="F85" s="3">
        <v>0</v>
      </c>
      <c r="G85" s="3">
        <v>0</v>
      </c>
      <c r="H85" s="3">
        <v>0</v>
      </c>
      <c r="I85" s="3">
        <v>50</v>
      </c>
      <c r="J85" s="3">
        <v>10</v>
      </c>
      <c r="K85" s="3">
        <v>0.95</v>
      </c>
      <c r="L85" s="3">
        <v>0</v>
      </c>
      <c r="M85" s="3">
        <v>7</v>
      </c>
      <c r="N85" s="3">
        <v>5</v>
      </c>
      <c r="O85" s="3">
        <v>22</v>
      </c>
      <c r="P85" s="3">
        <v>0</v>
      </c>
      <c r="Q85" s="3">
        <v>0</v>
      </c>
      <c r="R85" s="3">
        <v>0</v>
      </c>
      <c r="S85" s="3">
        <v>0</v>
      </c>
      <c r="T85" s="3">
        <v>0</v>
      </c>
      <c r="U85" s="3">
        <v>0</v>
      </c>
      <c r="V85" s="3">
        <v>0</v>
      </c>
      <c r="W85" s="3">
        <v>0</v>
      </c>
      <c r="X85" s="3">
        <v>2</v>
      </c>
      <c r="Y85" s="3">
        <v>30</v>
      </c>
      <c r="Z85" s="3">
        <v>30</v>
      </c>
      <c r="AA85" s="3">
        <v>0</v>
      </c>
      <c r="AB85" s="3">
        <v>0</v>
      </c>
      <c r="AC85" s="3">
        <v>0</v>
      </c>
      <c r="AD85" s="3">
        <v>0</v>
      </c>
      <c r="AE85" s="3">
        <v>2</v>
      </c>
      <c r="AF85" s="3">
        <v>2</v>
      </c>
      <c r="AG85" s="3">
        <v>3</v>
      </c>
      <c r="AH85" s="3">
        <v>0</v>
      </c>
      <c r="AI85" s="3">
        <v>0</v>
      </c>
      <c r="AJ85" s="3">
        <v>0</v>
      </c>
      <c r="AK85" s="3">
        <v>0</v>
      </c>
      <c r="AL85" s="3" t="s">
        <v>17</v>
      </c>
      <c r="AM85" s="6" t="s">
        <v>1035</v>
      </c>
      <c r="AN85" s="6" t="s">
        <v>1969</v>
      </c>
      <c r="AO85" s="3" t="s">
        <v>50</v>
      </c>
      <c r="AP85" s="3">
        <v>0</v>
      </c>
      <c r="AQ85" s="3">
        <v>0</v>
      </c>
      <c r="AR85">
        <v>0</v>
      </c>
      <c r="AS85">
        <v>10</v>
      </c>
      <c r="AT85" s="6" t="s">
        <v>1859</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3</v>
      </c>
      <c r="BL85">
        <v>0</v>
      </c>
      <c r="BM85">
        <v>0</v>
      </c>
      <c r="BN85">
        <v>0</v>
      </c>
      <c r="BO85">
        <v>0</v>
      </c>
    </row>
    <row r="86" spans="1:67" ht="15.75" customHeight="1" x14ac:dyDescent="0.2">
      <c r="A86" s="3">
        <f t="shared" si="1"/>
        <v>84</v>
      </c>
      <c r="B86" s="3" t="s">
        <v>1906</v>
      </c>
      <c r="C86" s="3" t="s">
        <v>1906</v>
      </c>
      <c r="D86" s="5" t="s">
        <v>1907</v>
      </c>
      <c r="E86" s="5" t="s">
        <v>1908</v>
      </c>
      <c r="F86" s="3">
        <v>0</v>
      </c>
      <c r="G86" s="3">
        <v>0</v>
      </c>
      <c r="H86" s="3">
        <v>0</v>
      </c>
      <c r="I86" s="3">
        <v>50</v>
      </c>
      <c r="J86" s="3">
        <v>10</v>
      </c>
      <c r="K86" s="3">
        <v>0.95</v>
      </c>
      <c r="L86" s="3">
        <v>0</v>
      </c>
      <c r="M86" s="3">
        <v>20</v>
      </c>
      <c r="N86" s="3">
        <v>7</v>
      </c>
      <c r="O86" s="3">
        <v>20</v>
      </c>
      <c r="P86" s="3">
        <v>0</v>
      </c>
      <c r="Q86" s="3">
        <v>0</v>
      </c>
      <c r="R86" s="3">
        <v>0</v>
      </c>
      <c r="S86" s="3">
        <v>0</v>
      </c>
      <c r="T86" s="3">
        <v>0</v>
      </c>
      <c r="U86" s="3">
        <v>0</v>
      </c>
      <c r="V86" s="3">
        <v>0</v>
      </c>
      <c r="W86" s="3">
        <v>0</v>
      </c>
      <c r="X86" s="3">
        <v>2</v>
      </c>
      <c r="Y86" s="3">
        <v>30</v>
      </c>
      <c r="Z86" s="3">
        <v>30</v>
      </c>
      <c r="AA86" s="3">
        <v>0</v>
      </c>
      <c r="AB86" s="3">
        <v>0</v>
      </c>
      <c r="AC86" s="3">
        <v>0</v>
      </c>
      <c r="AD86" s="3">
        <v>0</v>
      </c>
      <c r="AE86" s="3">
        <v>0</v>
      </c>
      <c r="AF86" s="3">
        <v>0</v>
      </c>
      <c r="AG86" s="3">
        <v>8</v>
      </c>
      <c r="AH86" s="3">
        <v>0</v>
      </c>
      <c r="AI86" s="3">
        <v>0</v>
      </c>
      <c r="AJ86" s="3">
        <v>0</v>
      </c>
      <c r="AK86" s="3">
        <v>0</v>
      </c>
      <c r="AL86" s="3" t="s">
        <v>17</v>
      </c>
      <c r="AM86" t="s">
        <v>1035</v>
      </c>
      <c r="AN86" s="6" t="s">
        <v>1970</v>
      </c>
      <c r="AO86" s="3" t="s">
        <v>50</v>
      </c>
      <c r="AP86" s="3">
        <v>0</v>
      </c>
      <c r="AQ86" s="3">
        <v>0</v>
      </c>
      <c r="AR86">
        <v>0</v>
      </c>
      <c r="AS86">
        <v>10</v>
      </c>
      <c r="AT86" s="6" t="s">
        <v>1909</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3</v>
      </c>
      <c r="BL86">
        <v>0</v>
      </c>
      <c r="BM86">
        <v>0</v>
      </c>
      <c r="BN86">
        <v>0</v>
      </c>
      <c r="BO86">
        <v>0</v>
      </c>
    </row>
    <row r="87" spans="1:67" ht="15.75" customHeight="1" x14ac:dyDescent="0.2">
      <c r="A87" s="3">
        <f t="shared" si="1"/>
        <v>85</v>
      </c>
      <c r="B87" s="3" t="s">
        <v>1013</v>
      </c>
      <c r="C87" s="3" t="s">
        <v>1013</v>
      </c>
      <c r="D87" s="5" t="s">
        <v>1011</v>
      </c>
      <c r="E87" s="5" t="s">
        <v>1012</v>
      </c>
      <c r="F87" s="3">
        <v>0</v>
      </c>
      <c r="G87" s="3">
        <v>0</v>
      </c>
      <c r="H87" s="3">
        <v>0</v>
      </c>
      <c r="I87" s="3">
        <v>50</v>
      </c>
      <c r="J87" s="3">
        <v>10</v>
      </c>
      <c r="K87" s="3">
        <v>0.95</v>
      </c>
      <c r="L87" s="3">
        <v>0</v>
      </c>
      <c r="M87" s="3">
        <v>7</v>
      </c>
      <c r="N87" s="3">
        <v>5</v>
      </c>
      <c r="O87" s="3">
        <v>12</v>
      </c>
      <c r="P87" s="3">
        <v>0</v>
      </c>
      <c r="Q87" s="3">
        <v>0</v>
      </c>
      <c r="R87" s="3">
        <v>0</v>
      </c>
      <c r="S87" s="3">
        <v>0</v>
      </c>
      <c r="T87" s="3">
        <v>0</v>
      </c>
      <c r="U87" s="3">
        <v>0</v>
      </c>
      <c r="V87" s="3">
        <v>0</v>
      </c>
      <c r="W87" s="3">
        <v>0</v>
      </c>
      <c r="X87" s="3">
        <v>2</v>
      </c>
      <c r="Y87" s="3">
        <v>5</v>
      </c>
      <c r="Z87" s="3">
        <v>5</v>
      </c>
      <c r="AA87" s="3">
        <v>0</v>
      </c>
      <c r="AB87" s="3">
        <v>0</v>
      </c>
      <c r="AC87" s="3">
        <v>0</v>
      </c>
      <c r="AD87" s="3">
        <v>0</v>
      </c>
      <c r="AE87" s="3">
        <v>5</v>
      </c>
      <c r="AF87" s="3">
        <v>0</v>
      </c>
      <c r="AG87" s="3">
        <v>0</v>
      </c>
      <c r="AH87" s="3">
        <v>0</v>
      </c>
      <c r="AI87" s="3">
        <v>0</v>
      </c>
      <c r="AJ87" s="3">
        <v>0</v>
      </c>
      <c r="AK87" s="3">
        <v>0</v>
      </c>
      <c r="AL87" s="3" t="s">
        <v>17</v>
      </c>
      <c r="AM87" s="6" t="s">
        <v>1035</v>
      </c>
      <c r="AN87" s="6" t="s">
        <v>1971</v>
      </c>
      <c r="AO87" s="3" t="s">
        <v>1853</v>
      </c>
      <c r="AP87" s="3">
        <v>0</v>
      </c>
      <c r="AQ87" s="3">
        <v>0</v>
      </c>
      <c r="AR87">
        <v>0</v>
      </c>
      <c r="AS87">
        <v>6</v>
      </c>
      <c r="AT87" s="6" t="s">
        <v>1015</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row>
    <row r="88" spans="1:67" ht="15.75" customHeight="1" x14ac:dyDescent="0.2">
      <c r="A88" s="3">
        <f t="shared" si="1"/>
        <v>86</v>
      </c>
      <c r="B88" s="3" t="s">
        <v>1018</v>
      </c>
      <c r="C88" s="3" t="s">
        <v>1018</v>
      </c>
      <c r="D88" s="5" t="s">
        <v>1016</v>
      </c>
      <c r="E88" s="5" t="s">
        <v>1017</v>
      </c>
      <c r="F88" s="3">
        <v>0</v>
      </c>
      <c r="G88" s="3">
        <v>0</v>
      </c>
      <c r="H88" s="3">
        <v>0</v>
      </c>
      <c r="I88" s="3">
        <v>50</v>
      </c>
      <c r="J88" s="3">
        <v>10</v>
      </c>
      <c r="K88" s="3">
        <v>0.95</v>
      </c>
      <c r="L88" s="3">
        <v>0</v>
      </c>
      <c r="M88" s="3">
        <v>7</v>
      </c>
      <c r="N88" s="3">
        <v>5</v>
      </c>
      <c r="O88" s="3">
        <v>22</v>
      </c>
      <c r="P88" s="3">
        <v>0</v>
      </c>
      <c r="Q88" s="3">
        <v>0</v>
      </c>
      <c r="R88" s="3">
        <v>0</v>
      </c>
      <c r="S88" s="3">
        <v>0</v>
      </c>
      <c r="T88" s="3">
        <v>0</v>
      </c>
      <c r="U88" s="3">
        <v>0</v>
      </c>
      <c r="V88" s="3">
        <v>0</v>
      </c>
      <c r="W88" s="3">
        <v>0</v>
      </c>
      <c r="X88" s="3">
        <v>2</v>
      </c>
      <c r="Y88" s="3">
        <v>30</v>
      </c>
      <c r="Z88" s="3">
        <v>30</v>
      </c>
      <c r="AA88" s="3">
        <v>0</v>
      </c>
      <c r="AB88" s="3">
        <v>0</v>
      </c>
      <c r="AC88" s="3">
        <v>0</v>
      </c>
      <c r="AD88" s="3">
        <v>0</v>
      </c>
      <c r="AE88" s="3">
        <v>5</v>
      </c>
      <c r="AF88" s="3">
        <v>0</v>
      </c>
      <c r="AG88" s="3">
        <v>0</v>
      </c>
      <c r="AH88" s="3">
        <v>0</v>
      </c>
      <c r="AI88" s="3">
        <v>0</v>
      </c>
      <c r="AJ88" s="3">
        <v>0</v>
      </c>
      <c r="AK88" s="3">
        <v>0</v>
      </c>
      <c r="AL88" s="3" t="s">
        <v>17</v>
      </c>
      <c r="AM88" t="s">
        <v>1035</v>
      </c>
      <c r="AN88" s="6" t="s">
        <v>1972</v>
      </c>
      <c r="AO88" s="3" t="s">
        <v>1853</v>
      </c>
      <c r="AP88" s="3">
        <v>0</v>
      </c>
      <c r="AQ88" s="3">
        <v>0</v>
      </c>
      <c r="AR88">
        <v>0</v>
      </c>
      <c r="AS88">
        <v>10</v>
      </c>
      <c r="AT88" s="6" t="s">
        <v>1022</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3</v>
      </c>
      <c r="BL88">
        <v>0</v>
      </c>
      <c r="BM88">
        <v>0</v>
      </c>
      <c r="BN88">
        <v>0</v>
      </c>
      <c r="BO88">
        <v>0</v>
      </c>
    </row>
    <row r="89" spans="1:67" ht="15.75" customHeight="1" x14ac:dyDescent="0.2">
      <c r="A89" s="3">
        <f t="shared" si="1"/>
        <v>87</v>
      </c>
      <c r="B89" s="3" t="s">
        <v>1020</v>
      </c>
      <c r="C89" s="3" t="s">
        <v>1020</v>
      </c>
      <c r="D89" s="5" t="s">
        <v>1019</v>
      </c>
      <c r="E89" s="5" t="s">
        <v>1021</v>
      </c>
      <c r="F89" s="3">
        <v>0</v>
      </c>
      <c r="G89" s="3">
        <v>0</v>
      </c>
      <c r="H89" s="3">
        <v>0</v>
      </c>
      <c r="I89" s="3">
        <v>50</v>
      </c>
      <c r="J89" s="3">
        <v>10</v>
      </c>
      <c r="K89" s="3">
        <v>0.95</v>
      </c>
      <c r="L89" s="3">
        <v>0</v>
      </c>
      <c r="M89" s="3">
        <v>3</v>
      </c>
      <c r="N89" s="3">
        <v>20</v>
      </c>
      <c r="O89" s="3">
        <v>20</v>
      </c>
      <c r="P89" s="3">
        <v>0</v>
      </c>
      <c r="Q89" s="3">
        <v>0</v>
      </c>
      <c r="R89" s="3">
        <v>0</v>
      </c>
      <c r="S89" s="3">
        <v>0</v>
      </c>
      <c r="T89" s="3">
        <v>0</v>
      </c>
      <c r="U89" s="3">
        <v>0</v>
      </c>
      <c r="V89" s="3">
        <v>0</v>
      </c>
      <c r="W89" s="3">
        <v>0</v>
      </c>
      <c r="X89" s="3">
        <v>2</v>
      </c>
      <c r="Y89" s="3">
        <v>1</v>
      </c>
      <c r="Z89" s="3">
        <v>1</v>
      </c>
      <c r="AA89" s="3">
        <v>0</v>
      </c>
      <c r="AB89" s="3">
        <v>0</v>
      </c>
      <c r="AC89" s="3">
        <v>0</v>
      </c>
      <c r="AD89" s="3">
        <v>0</v>
      </c>
      <c r="AE89" s="3">
        <v>10</v>
      </c>
      <c r="AF89" s="3">
        <v>0</v>
      </c>
      <c r="AG89" s="3">
        <v>0</v>
      </c>
      <c r="AH89" s="3">
        <v>0</v>
      </c>
      <c r="AI89" s="3">
        <v>0</v>
      </c>
      <c r="AJ89" s="3">
        <v>0</v>
      </c>
      <c r="AK89" s="3">
        <v>0</v>
      </c>
      <c r="AL89" s="3" t="s">
        <v>17</v>
      </c>
      <c r="AM89" t="s">
        <v>1035</v>
      </c>
      <c r="AN89" s="6" t="s">
        <v>1973</v>
      </c>
      <c r="AO89" s="3" t="s">
        <v>1853</v>
      </c>
      <c r="AP89" s="3">
        <v>0</v>
      </c>
      <c r="AQ89" s="3">
        <v>0</v>
      </c>
      <c r="AR89">
        <v>0</v>
      </c>
      <c r="AS89">
        <v>6</v>
      </c>
      <c r="AT89" s="6" t="s">
        <v>1023</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row>
    <row r="90" spans="1:67" ht="15.75" customHeight="1" x14ac:dyDescent="0.2">
      <c r="A90" s="3">
        <f t="shared" si="1"/>
        <v>88</v>
      </c>
      <c r="B90" s="3" t="s">
        <v>22</v>
      </c>
      <c r="C90" s="3" t="s">
        <v>154</v>
      </c>
      <c r="D90" s="5" t="s">
        <v>319</v>
      </c>
      <c r="E90" s="5" t="s">
        <v>1010</v>
      </c>
      <c r="F90" s="3">
        <v>0</v>
      </c>
      <c r="G90" s="3">
        <v>0</v>
      </c>
      <c r="H90" s="3">
        <v>0</v>
      </c>
      <c r="I90" s="3">
        <v>50</v>
      </c>
      <c r="J90" s="3">
        <v>15</v>
      </c>
      <c r="K90" s="3">
        <v>0.95</v>
      </c>
      <c r="L90" s="3">
        <v>0</v>
      </c>
      <c r="M90" s="3">
        <v>7</v>
      </c>
      <c r="N90" s="3">
        <v>0</v>
      </c>
      <c r="O90" s="3">
        <v>5</v>
      </c>
      <c r="P90" s="3">
        <v>0</v>
      </c>
      <c r="Q90" s="3">
        <v>0</v>
      </c>
      <c r="R90" s="3">
        <v>0</v>
      </c>
      <c r="S90" s="3">
        <v>0</v>
      </c>
      <c r="T90" s="3">
        <v>0</v>
      </c>
      <c r="U90" s="3">
        <v>0</v>
      </c>
      <c r="V90" s="3">
        <v>0</v>
      </c>
      <c r="W90" s="3">
        <v>0</v>
      </c>
      <c r="X90" s="3">
        <v>3</v>
      </c>
      <c r="Y90" s="3">
        <v>5</v>
      </c>
      <c r="Z90" s="3">
        <v>5</v>
      </c>
      <c r="AA90" s="3">
        <v>0</v>
      </c>
      <c r="AB90" s="3">
        <v>0</v>
      </c>
      <c r="AC90" s="3">
        <v>3</v>
      </c>
      <c r="AD90" s="3">
        <v>0</v>
      </c>
      <c r="AE90" s="3">
        <v>0</v>
      </c>
      <c r="AF90" s="3">
        <v>5</v>
      </c>
      <c r="AG90" s="3">
        <v>3</v>
      </c>
      <c r="AH90" s="3">
        <v>0</v>
      </c>
      <c r="AI90" s="3">
        <v>0</v>
      </c>
      <c r="AJ90" s="3">
        <v>0</v>
      </c>
      <c r="AK90" s="3">
        <v>0</v>
      </c>
      <c r="AL90" s="3" t="s">
        <v>17</v>
      </c>
      <c r="AM90" t="s">
        <v>1035</v>
      </c>
      <c r="AN90" s="6" t="s">
        <v>1974</v>
      </c>
      <c r="AO90" s="3" t="s">
        <v>1853</v>
      </c>
      <c r="AP90" s="3">
        <v>0</v>
      </c>
      <c r="AQ90" s="3">
        <v>0</v>
      </c>
      <c r="AR90">
        <v>0</v>
      </c>
      <c r="AS90">
        <v>5</v>
      </c>
      <c r="AT90" s="6" t="s">
        <v>155</v>
      </c>
      <c r="AU90" s="6" t="s">
        <v>150</v>
      </c>
      <c r="AV90" s="6" t="s">
        <v>150</v>
      </c>
      <c r="AW90" s="6" t="s">
        <v>150</v>
      </c>
      <c r="AX90" s="6" t="s">
        <v>150</v>
      </c>
      <c r="AY90" s="6" t="s">
        <v>150</v>
      </c>
      <c r="AZ90" s="6" t="s">
        <v>150</v>
      </c>
      <c r="BA90" s="6" t="s">
        <v>150</v>
      </c>
      <c r="BB90" s="6" t="s">
        <v>150</v>
      </c>
      <c r="BC90" s="6" t="s">
        <v>150</v>
      </c>
      <c r="BD90" s="6" t="s">
        <v>50</v>
      </c>
      <c r="BE90" s="6" t="s">
        <v>50</v>
      </c>
      <c r="BF90" s="6" t="s">
        <v>50</v>
      </c>
      <c r="BG90" s="6" t="s">
        <v>50</v>
      </c>
      <c r="BH90" s="6" t="s">
        <v>50</v>
      </c>
      <c r="BI90">
        <v>1</v>
      </c>
      <c r="BJ90">
        <v>0</v>
      </c>
      <c r="BK90">
        <v>1</v>
      </c>
      <c r="BL90">
        <v>0</v>
      </c>
      <c r="BM90">
        <v>0</v>
      </c>
      <c r="BN90">
        <v>0</v>
      </c>
      <c r="BO90">
        <v>0</v>
      </c>
    </row>
    <row r="91" spans="1:67" ht="15.75" customHeight="1" x14ac:dyDescent="0.2">
      <c r="A91" s="3">
        <f t="shared" si="1"/>
        <v>89</v>
      </c>
      <c r="B91" s="3" t="s">
        <v>2564</v>
      </c>
      <c r="C91" s="3" t="s">
        <v>2040</v>
      </c>
      <c r="D91" s="5" t="s">
        <v>2387</v>
      </c>
      <c r="E91" s="5" t="s">
        <v>2562</v>
      </c>
      <c r="F91" s="3">
        <v>0</v>
      </c>
      <c r="G91" s="3">
        <v>0</v>
      </c>
      <c r="H91" s="3">
        <v>0</v>
      </c>
      <c r="I91" s="3">
        <v>50</v>
      </c>
      <c r="J91" s="3">
        <v>15</v>
      </c>
      <c r="K91" s="3">
        <v>0.95</v>
      </c>
      <c r="L91" s="3">
        <v>0</v>
      </c>
      <c r="M91" s="3">
        <v>7</v>
      </c>
      <c r="N91" s="3">
        <v>0</v>
      </c>
      <c r="O91" s="3">
        <v>17</v>
      </c>
      <c r="P91" s="3">
        <v>0</v>
      </c>
      <c r="Q91" s="3">
        <v>0</v>
      </c>
      <c r="R91" s="3">
        <v>0</v>
      </c>
      <c r="S91" s="3">
        <v>0</v>
      </c>
      <c r="T91" s="3">
        <v>0</v>
      </c>
      <c r="U91" s="3">
        <v>0</v>
      </c>
      <c r="V91" s="3">
        <v>0</v>
      </c>
      <c r="W91" s="3">
        <v>0</v>
      </c>
      <c r="X91" s="3">
        <v>3</v>
      </c>
      <c r="Y91" s="3">
        <v>5</v>
      </c>
      <c r="Z91" s="3">
        <v>5</v>
      </c>
      <c r="AA91" s="3">
        <v>0</v>
      </c>
      <c r="AB91" s="3">
        <v>0</v>
      </c>
      <c r="AC91" s="3">
        <v>3</v>
      </c>
      <c r="AD91" s="3">
        <v>0</v>
      </c>
      <c r="AE91" s="3">
        <v>0</v>
      </c>
      <c r="AF91" s="3">
        <v>5</v>
      </c>
      <c r="AG91" s="3">
        <v>8</v>
      </c>
      <c r="AH91" s="3">
        <v>0</v>
      </c>
      <c r="AI91" s="3">
        <v>0</v>
      </c>
      <c r="AJ91" s="3">
        <v>0</v>
      </c>
      <c r="AK91" s="3">
        <v>0</v>
      </c>
      <c r="AL91" s="3" t="s">
        <v>17</v>
      </c>
      <c r="AM91" t="s">
        <v>1035</v>
      </c>
      <c r="AN91" s="6" t="s">
        <v>1974</v>
      </c>
      <c r="AO91" s="3" t="s">
        <v>50</v>
      </c>
      <c r="AP91" s="3">
        <v>0</v>
      </c>
      <c r="AQ91" s="3">
        <v>0</v>
      </c>
      <c r="AR91">
        <v>0</v>
      </c>
      <c r="AS91">
        <v>5</v>
      </c>
      <c r="AT91" s="6" t="s">
        <v>2521</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row>
    <row r="92" spans="1:67" ht="15.75" customHeight="1" x14ac:dyDescent="0.2">
      <c r="A92" s="3">
        <f t="shared" si="1"/>
        <v>90</v>
      </c>
      <c r="B92" s="3" t="s">
        <v>2565</v>
      </c>
      <c r="C92" s="3" t="s">
        <v>2041</v>
      </c>
      <c r="D92" s="5" t="s">
        <v>2178</v>
      </c>
      <c r="E92" s="5" t="s">
        <v>2388</v>
      </c>
      <c r="F92" s="3">
        <v>0</v>
      </c>
      <c r="G92" s="3">
        <v>0</v>
      </c>
      <c r="H92" s="3">
        <v>0</v>
      </c>
      <c r="I92" s="3">
        <v>50</v>
      </c>
      <c r="J92" s="3">
        <v>15</v>
      </c>
      <c r="K92" s="3">
        <v>0.95</v>
      </c>
      <c r="L92" s="3">
        <v>0</v>
      </c>
      <c r="M92" s="3">
        <v>22</v>
      </c>
      <c r="N92" s="3">
        <v>0</v>
      </c>
      <c r="O92" s="3">
        <v>3</v>
      </c>
      <c r="P92" s="3">
        <v>0</v>
      </c>
      <c r="Q92" s="3">
        <v>0</v>
      </c>
      <c r="R92" s="3">
        <v>0</v>
      </c>
      <c r="S92" s="3">
        <v>0</v>
      </c>
      <c r="T92" s="3">
        <v>0</v>
      </c>
      <c r="U92" s="3">
        <v>0</v>
      </c>
      <c r="V92" s="3">
        <v>0</v>
      </c>
      <c r="W92" s="3">
        <v>0</v>
      </c>
      <c r="X92" s="3">
        <v>3</v>
      </c>
      <c r="Y92" s="3">
        <v>5</v>
      </c>
      <c r="Z92" s="3">
        <v>5</v>
      </c>
      <c r="AA92" s="3">
        <v>0</v>
      </c>
      <c r="AB92" s="3">
        <v>0</v>
      </c>
      <c r="AC92" s="3">
        <v>6</v>
      </c>
      <c r="AD92" s="3">
        <v>0</v>
      </c>
      <c r="AE92" s="3">
        <v>0</v>
      </c>
      <c r="AF92" s="3">
        <v>5</v>
      </c>
      <c r="AG92" s="3">
        <v>13</v>
      </c>
      <c r="AH92" s="3">
        <v>0</v>
      </c>
      <c r="AI92" s="3">
        <v>0</v>
      </c>
      <c r="AJ92" s="3">
        <v>0</v>
      </c>
      <c r="AK92" s="3">
        <v>0</v>
      </c>
      <c r="AL92" s="3" t="s">
        <v>17</v>
      </c>
      <c r="AM92" t="s">
        <v>1035</v>
      </c>
      <c r="AN92" s="6" t="s">
        <v>1974</v>
      </c>
      <c r="AO92" s="3" t="s">
        <v>50</v>
      </c>
      <c r="AP92" s="3">
        <v>0</v>
      </c>
      <c r="AQ92" s="3">
        <v>0</v>
      </c>
      <c r="AR92">
        <v>0</v>
      </c>
      <c r="AS92">
        <v>5</v>
      </c>
      <c r="AT92" s="6" t="s">
        <v>2522</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row>
    <row r="93" spans="1:67" ht="15.75" customHeight="1" x14ac:dyDescent="0.2">
      <c r="A93" s="3">
        <f t="shared" si="1"/>
        <v>91</v>
      </c>
      <c r="B93" s="3" t="s">
        <v>544</v>
      </c>
      <c r="C93" s="3" t="s">
        <v>544</v>
      </c>
      <c r="D93" s="5" t="s">
        <v>543</v>
      </c>
      <c r="E93" s="5" t="s">
        <v>545</v>
      </c>
      <c r="F93" s="3">
        <v>0</v>
      </c>
      <c r="G93" s="3">
        <v>0</v>
      </c>
      <c r="H93" s="3">
        <v>0</v>
      </c>
      <c r="I93" s="3">
        <v>50</v>
      </c>
      <c r="J93" s="3">
        <v>20</v>
      </c>
      <c r="K93" s="3">
        <v>0.95</v>
      </c>
      <c r="L93" s="3">
        <v>0</v>
      </c>
      <c r="M93" s="3">
        <v>8</v>
      </c>
      <c r="N93" s="3">
        <v>0</v>
      </c>
      <c r="O93" s="3">
        <v>5</v>
      </c>
      <c r="P93" s="3">
        <v>0</v>
      </c>
      <c r="Q93" s="3">
        <v>0</v>
      </c>
      <c r="R93" s="3">
        <v>0</v>
      </c>
      <c r="S93" s="3">
        <v>0</v>
      </c>
      <c r="T93" s="3">
        <v>0</v>
      </c>
      <c r="U93" s="3">
        <v>0</v>
      </c>
      <c r="V93" s="3">
        <v>0</v>
      </c>
      <c r="W93" s="3">
        <v>0</v>
      </c>
      <c r="X93" s="3">
        <v>2</v>
      </c>
      <c r="Y93" s="3">
        <v>5</v>
      </c>
      <c r="Z93" s="3">
        <v>5</v>
      </c>
      <c r="AA93" s="3">
        <v>0</v>
      </c>
      <c r="AB93" s="3">
        <v>0</v>
      </c>
      <c r="AC93" s="3">
        <v>0</v>
      </c>
      <c r="AD93" s="3">
        <v>0</v>
      </c>
      <c r="AE93" s="3">
        <v>0</v>
      </c>
      <c r="AF93" s="3">
        <v>2</v>
      </c>
      <c r="AG93" s="3">
        <v>2</v>
      </c>
      <c r="AH93" s="3">
        <v>0</v>
      </c>
      <c r="AI93" s="3">
        <v>0</v>
      </c>
      <c r="AJ93" s="3">
        <v>0</v>
      </c>
      <c r="AK93" s="3">
        <v>0</v>
      </c>
      <c r="AL93" s="3" t="s">
        <v>17</v>
      </c>
      <c r="AM93" s="6" t="s">
        <v>1035</v>
      </c>
      <c r="AN93" s="6" t="s">
        <v>1975</v>
      </c>
      <c r="AO93" s="3" t="s">
        <v>1853</v>
      </c>
      <c r="AP93" s="3">
        <v>0</v>
      </c>
      <c r="AQ93" s="3">
        <v>0</v>
      </c>
      <c r="AR93">
        <v>0</v>
      </c>
      <c r="AS93">
        <v>5</v>
      </c>
      <c r="AT93" s="6" t="s">
        <v>547</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1</v>
      </c>
      <c r="BL93">
        <v>0</v>
      </c>
      <c r="BM93">
        <v>0</v>
      </c>
      <c r="BN93">
        <v>0</v>
      </c>
      <c r="BO93">
        <v>0</v>
      </c>
    </row>
    <row r="94" spans="1:67" ht="15.75" customHeight="1" x14ac:dyDescent="0.2">
      <c r="A94" s="3">
        <f t="shared" si="1"/>
        <v>92</v>
      </c>
      <c r="B94" s="3" t="s">
        <v>358</v>
      </c>
      <c r="C94" s="3" t="s">
        <v>320</v>
      </c>
      <c r="D94" s="5" t="s">
        <v>318</v>
      </c>
      <c r="E94" s="5" t="s">
        <v>321</v>
      </c>
      <c r="F94" s="3">
        <v>0</v>
      </c>
      <c r="G94" s="3">
        <v>0</v>
      </c>
      <c r="H94" s="3">
        <v>0</v>
      </c>
      <c r="I94" s="3">
        <v>50</v>
      </c>
      <c r="J94" s="3">
        <v>7</v>
      </c>
      <c r="K94" s="3">
        <v>0.95</v>
      </c>
      <c r="L94" s="3">
        <v>0</v>
      </c>
      <c r="M94" s="3">
        <v>9</v>
      </c>
      <c r="N94" s="3">
        <v>0</v>
      </c>
      <c r="O94" s="3">
        <v>0</v>
      </c>
      <c r="P94" s="3">
        <v>0</v>
      </c>
      <c r="Q94" s="3">
        <v>0</v>
      </c>
      <c r="R94" s="3">
        <v>0</v>
      </c>
      <c r="S94" s="3">
        <v>0</v>
      </c>
      <c r="T94" s="3">
        <v>0</v>
      </c>
      <c r="U94" s="3">
        <v>0</v>
      </c>
      <c r="V94" s="3">
        <v>0</v>
      </c>
      <c r="W94" s="3">
        <v>0</v>
      </c>
      <c r="X94" s="3">
        <v>3</v>
      </c>
      <c r="Y94" s="3">
        <v>5</v>
      </c>
      <c r="Z94" s="3">
        <v>5</v>
      </c>
      <c r="AA94" s="3">
        <v>0</v>
      </c>
      <c r="AB94" s="3">
        <v>0</v>
      </c>
      <c r="AC94" s="3">
        <v>0</v>
      </c>
      <c r="AD94" s="3">
        <v>0</v>
      </c>
      <c r="AE94" s="3">
        <v>0</v>
      </c>
      <c r="AF94" s="3">
        <v>0</v>
      </c>
      <c r="AG94" s="3">
        <v>0</v>
      </c>
      <c r="AH94" s="3">
        <v>0</v>
      </c>
      <c r="AI94" s="3">
        <v>0</v>
      </c>
      <c r="AJ94" s="3">
        <v>0</v>
      </c>
      <c r="AK94" s="3">
        <v>0</v>
      </c>
      <c r="AL94" s="3" t="s">
        <v>17</v>
      </c>
      <c r="AM94" s="3" t="s">
        <v>18</v>
      </c>
      <c r="AN94" s="6" t="s">
        <v>1976</v>
      </c>
      <c r="AO94" s="3" t="s">
        <v>1853</v>
      </c>
      <c r="AP94" s="3">
        <v>0</v>
      </c>
      <c r="AQ94" s="3">
        <v>0</v>
      </c>
      <c r="AR94">
        <v>0</v>
      </c>
      <c r="AS94">
        <v>3</v>
      </c>
      <c r="AT94" s="6" t="s">
        <v>331</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row>
    <row r="95" spans="1:67" ht="15.75" customHeight="1" x14ac:dyDescent="0.2">
      <c r="A95" s="3">
        <f t="shared" si="1"/>
        <v>93</v>
      </c>
      <c r="B95" s="3" t="s">
        <v>359</v>
      </c>
      <c r="C95" s="3" t="s">
        <v>323</v>
      </c>
      <c r="D95" s="5" t="s">
        <v>333</v>
      </c>
      <c r="E95" s="5" t="s">
        <v>322</v>
      </c>
      <c r="F95" s="3">
        <v>0</v>
      </c>
      <c r="G95" s="3">
        <v>0</v>
      </c>
      <c r="H95" s="3">
        <v>0</v>
      </c>
      <c r="I95" s="3">
        <v>50</v>
      </c>
      <c r="J95" s="3">
        <v>12</v>
      </c>
      <c r="K95" s="3">
        <v>0.95</v>
      </c>
      <c r="L95" s="3">
        <v>0</v>
      </c>
      <c r="M95" s="3">
        <v>5</v>
      </c>
      <c r="N95" s="3">
        <v>0</v>
      </c>
      <c r="O95" s="3">
        <v>7</v>
      </c>
      <c r="P95" s="3">
        <v>0</v>
      </c>
      <c r="Q95" s="3">
        <v>0</v>
      </c>
      <c r="R95" s="3">
        <v>0</v>
      </c>
      <c r="S95" s="3">
        <v>0</v>
      </c>
      <c r="T95" s="3">
        <v>0</v>
      </c>
      <c r="U95" s="3">
        <v>0</v>
      </c>
      <c r="V95" s="3">
        <v>0</v>
      </c>
      <c r="W95" s="3">
        <v>0</v>
      </c>
      <c r="X95" s="3">
        <v>3</v>
      </c>
      <c r="Y95" s="3">
        <v>5</v>
      </c>
      <c r="Z95" s="3">
        <v>5</v>
      </c>
      <c r="AA95" s="3">
        <v>0</v>
      </c>
      <c r="AB95" s="3">
        <v>0</v>
      </c>
      <c r="AC95" s="3">
        <v>0</v>
      </c>
      <c r="AD95" s="3">
        <v>0</v>
      </c>
      <c r="AE95" s="3">
        <v>0</v>
      </c>
      <c r="AF95" s="3">
        <v>0</v>
      </c>
      <c r="AG95" s="3">
        <v>0</v>
      </c>
      <c r="AH95" s="3">
        <v>0</v>
      </c>
      <c r="AI95" s="3">
        <v>0</v>
      </c>
      <c r="AJ95" s="3">
        <v>0</v>
      </c>
      <c r="AK95" s="3">
        <v>0</v>
      </c>
      <c r="AL95" s="3" t="s">
        <v>17</v>
      </c>
      <c r="AM95" s="3" t="s">
        <v>18</v>
      </c>
      <c r="AN95" s="6" t="s">
        <v>1977</v>
      </c>
      <c r="AO95" s="3" t="s">
        <v>1853</v>
      </c>
      <c r="AP95" s="3">
        <v>0</v>
      </c>
      <c r="AQ95" s="3">
        <v>0</v>
      </c>
      <c r="AR95">
        <v>0</v>
      </c>
      <c r="AS95">
        <v>6</v>
      </c>
      <c r="AT95" s="6" t="s">
        <v>332</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row>
    <row r="96" spans="1:67" ht="15.75" customHeight="1" x14ac:dyDescent="0.2">
      <c r="A96" s="3">
        <f t="shared" si="1"/>
        <v>94</v>
      </c>
      <c r="B96" s="3" t="s">
        <v>524</v>
      </c>
      <c r="C96" s="3" t="s">
        <v>524</v>
      </c>
      <c r="D96" s="5" t="s">
        <v>523</v>
      </c>
      <c r="E96" s="5" t="s">
        <v>830</v>
      </c>
      <c r="F96" s="3">
        <v>0</v>
      </c>
      <c r="G96" s="3">
        <v>0</v>
      </c>
      <c r="H96" s="3">
        <v>0</v>
      </c>
      <c r="I96" s="3">
        <v>50</v>
      </c>
      <c r="J96" s="3">
        <v>20</v>
      </c>
      <c r="K96" s="3">
        <v>0.95</v>
      </c>
      <c r="L96" s="3">
        <v>0</v>
      </c>
      <c r="M96" s="3">
        <v>10</v>
      </c>
      <c r="N96" s="3">
        <v>0</v>
      </c>
      <c r="O96" s="3">
        <v>2</v>
      </c>
      <c r="P96" s="3">
        <v>0</v>
      </c>
      <c r="Q96" s="3">
        <v>0</v>
      </c>
      <c r="R96" s="3">
        <v>0</v>
      </c>
      <c r="S96" s="3">
        <v>0</v>
      </c>
      <c r="T96" s="3">
        <v>0</v>
      </c>
      <c r="U96" s="3">
        <v>0</v>
      </c>
      <c r="V96" s="3">
        <v>0</v>
      </c>
      <c r="W96" s="3">
        <v>0</v>
      </c>
      <c r="X96" s="3">
        <v>3</v>
      </c>
      <c r="Y96" s="3">
        <v>5</v>
      </c>
      <c r="Z96" s="3">
        <v>5</v>
      </c>
      <c r="AA96" s="3">
        <v>0</v>
      </c>
      <c r="AB96" s="3">
        <v>0</v>
      </c>
      <c r="AC96" s="3">
        <v>0</v>
      </c>
      <c r="AD96" s="3">
        <v>0</v>
      </c>
      <c r="AE96" s="3">
        <v>0</v>
      </c>
      <c r="AF96" s="3">
        <v>0</v>
      </c>
      <c r="AG96" s="3">
        <v>0</v>
      </c>
      <c r="AH96" s="3">
        <v>0</v>
      </c>
      <c r="AI96" s="3">
        <v>0</v>
      </c>
      <c r="AJ96" s="3">
        <v>0</v>
      </c>
      <c r="AK96" s="3">
        <v>0</v>
      </c>
      <c r="AL96" s="3" t="s">
        <v>17</v>
      </c>
      <c r="AM96" s="3" t="s">
        <v>18</v>
      </c>
      <c r="AN96" s="6" t="s">
        <v>1978</v>
      </c>
      <c r="AO96" s="3" t="s">
        <v>1853</v>
      </c>
      <c r="AP96" s="3">
        <v>0</v>
      </c>
      <c r="AQ96" s="3">
        <v>0</v>
      </c>
      <c r="AR96">
        <v>0</v>
      </c>
      <c r="AS96">
        <v>8</v>
      </c>
      <c r="AT96" s="6" t="s">
        <v>546</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row>
    <row r="97" spans="1:67" ht="15.75" customHeight="1" x14ac:dyDescent="0.2">
      <c r="A97" s="3">
        <f t="shared" si="1"/>
        <v>95</v>
      </c>
      <c r="B97" s="3" t="s">
        <v>2430</v>
      </c>
      <c r="C97" s="3" t="s">
        <v>2430</v>
      </c>
      <c r="D97" s="5" t="s">
        <v>2429</v>
      </c>
      <c r="E97" s="5" t="s">
        <v>2431</v>
      </c>
      <c r="F97" s="3">
        <v>0</v>
      </c>
      <c r="G97" s="3">
        <v>0</v>
      </c>
      <c r="H97" s="3">
        <v>0</v>
      </c>
      <c r="I97" s="3">
        <v>50</v>
      </c>
      <c r="J97" s="3">
        <v>20</v>
      </c>
      <c r="K97" s="3">
        <v>0.95</v>
      </c>
      <c r="L97" s="3">
        <v>0</v>
      </c>
      <c r="M97" s="3">
        <v>22</v>
      </c>
      <c r="N97" s="3">
        <v>0</v>
      </c>
      <c r="O97" s="3">
        <v>2</v>
      </c>
      <c r="P97" s="3">
        <v>0</v>
      </c>
      <c r="Q97" s="3">
        <v>0</v>
      </c>
      <c r="R97" s="3">
        <v>15</v>
      </c>
      <c r="S97" s="3">
        <v>0</v>
      </c>
      <c r="T97" s="3">
        <v>0</v>
      </c>
      <c r="U97" s="3">
        <v>0</v>
      </c>
      <c r="V97" s="3">
        <v>0</v>
      </c>
      <c r="W97" s="3">
        <v>0</v>
      </c>
      <c r="X97" s="3">
        <v>8</v>
      </c>
      <c r="Y97" s="3">
        <v>15</v>
      </c>
      <c r="Z97" s="3">
        <v>5</v>
      </c>
      <c r="AA97" s="3">
        <v>0</v>
      </c>
      <c r="AB97" s="3">
        <v>0</v>
      </c>
      <c r="AC97" s="3">
        <v>0</v>
      </c>
      <c r="AD97" s="3">
        <v>0</v>
      </c>
      <c r="AE97" s="3">
        <v>0</v>
      </c>
      <c r="AF97" s="3">
        <v>0</v>
      </c>
      <c r="AG97" s="3">
        <v>0</v>
      </c>
      <c r="AH97" s="3">
        <v>0</v>
      </c>
      <c r="AI97" s="3">
        <v>0</v>
      </c>
      <c r="AJ97" s="3">
        <v>0</v>
      </c>
      <c r="AK97" s="3">
        <v>0</v>
      </c>
      <c r="AL97" s="3" t="s">
        <v>17</v>
      </c>
      <c r="AM97" s="3" t="s">
        <v>18</v>
      </c>
      <c r="AN97" s="6" t="s">
        <v>1978</v>
      </c>
      <c r="AO97" s="3" t="s">
        <v>50</v>
      </c>
      <c r="AP97" s="3">
        <v>0</v>
      </c>
      <c r="AQ97" s="3">
        <v>0</v>
      </c>
      <c r="AR97">
        <v>0</v>
      </c>
      <c r="AS97">
        <v>8</v>
      </c>
      <c r="AT97" s="6" t="s">
        <v>2523</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row>
    <row r="98" spans="1:67" ht="15.75" customHeight="1" x14ac:dyDescent="0.2">
      <c r="A98" s="3">
        <f t="shared" si="1"/>
        <v>96</v>
      </c>
      <c r="B98" s="3" t="s">
        <v>784</v>
      </c>
      <c r="C98" s="3" t="s">
        <v>784</v>
      </c>
      <c r="D98" s="5" t="s">
        <v>783</v>
      </c>
      <c r="E98" s="5" t="s">
        <v>785</v>
      </c>
      <c r="F98" s="3">
        <v>0</v>
      </c>
      <c r="G98" s="3">
        <v>0</v>
      </c>
      <c r="H98" s="3">
        <v>0</v>
      </c>
      <c r="I98" s="3">
        <v>50</v>
      </c>
      <c r="J98" s="3">
        <v>20</v>
      </c>
      <c r="K98" s="3">
        <v>0.95</v>
      </c>
      <c r="L98" s="3">
        <v>0</v>
      </c>
      <c r="M98" s="3">
        <v>8</v>
      </c>
      <c r="N98" s="3">
        <v>0</v>
      </c>
      <c r="O98" s="3">
        <v>35</v>
      </c>
      <c r="P98" s="3">
        <v>0</v>
      </c>
      <c r="Q98" s="3">
        <v>0</v>
      </c>
      <c r="R98" s="3">
        <v>0</v>
      </c>
      <c r="S98" s="3">
        <v>0</v>
      </c>
      <c r="T98" s="3">
        <v>0</v>
      </c>
      <c r="U98" s="3">
        <v>0</v>
      </c>
      <c r="V98" s="3">
        <v>0</v>
      </c>
      <c r="W98" s="3">
        <v>0</v>
      </c>
      <c r="X98" s="3">
        <v>0</v>
      </c>
      <c r="Y98" s="3">
        <v>5</v>
      </c>
      <c r="Z98" s="3">
        <v>5</v>
      </c>
      <c r="AA98" s="3">
        <v>0</v>
      </c>
      <c r="AB98" s="3">
        <v>0</v>
      </c>
      <c r="AC98" s="3">
        <v>0</v>
      </c>
      <c r="AD98" s="3">
        <v>0</v>
      </c>
      <c r="AE98" s="3">
        <v>0</v>
      </c>
      <c r="AF98" s="3">
        <v>0</v>
      </c>
      <c r="AG98" s="3">
        <v>0</v>
      </c>
      <c r="AH98" s="3">
        <v>0</v>
      </c>
      <c r="AI98" s="3">
        <v>0</v>
      </c>
      <c r="AJ98" s="3">
        <v>0</v>
      </c>
      <c r="AK98" s="3">
        <v>0</v>
      </c>
      <c r="AL98" s="3" t="s">
        <v>17</v>
      </c>
      <c r="AM98" s="3" t="s">
        <v>18</v>
      </c>
      <c r="AN98" s="6" t="s">
        <v>1979</v>
      </c>
      <c r="AO98" s="3" t="s">
        <v>1853</v>
      </c>
      <c r="AP98" s="3">
        <v>0</v>
      </c>
      <c r="AQ98" s="3">
        <v>0</v>
      </c>
      <c r="AR98">
        <v>0</v>
      </c>
      <c r="AS98">
        <v>3</v>
      </c>
      <c r="AT98" s="6" t="s">
        <v>871</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1</v>
      </c>
      <c r="BL98">
        <v>0</v>
      </c>
      <c r="BM98">
        <v>0</v>
      </c>
      <c r="BN98">
        <v>0</v>
      </c>
      <c r="BO98">
        <v>0</v>
      </c>
    </row>
    <row r="99" spans="1:67" ht="15.75" customHeight="1" x14ac:dyDescent="0.2">
      <c r="A99" s="3">
        <f t="shared" si="1"/>
        <v>97</v>
      </c>
      <c r="B99" s="3" t="s">
        <v>916</v>
      </c>
      <c r="C99" s="3" t="s">
        <v>916</v>
      </c>
      <c r="D99" s="5" t="s">
        <v>917</v>
      </c>
      <c r="E99" s="5" t="s">
        <v>918</v>
      </c>
      <c r="F99" s="3">
        <v>0</v>
      </c>
      <c r="G99" s="3">
        <v>0</v>
      </c>
      <c r="H99" s="3">
        <v>0</v>
      </c>
      <c r="I99" s="3">
        <v>50</v>
      </c>
      <c r="J99" s="3">
        <v>7</v>
      </c>
      <c r="K99" s="3">
        <v>0.95</v>
      </c>
      <c r="L99" s="3">
        <v>0</v>
      </c>
      <c r="M99" s="3">
        <v>10</v>
      </c>
      <c r="N99" s="3">
        <v>0</v>
      </c>
      <c r="O99" s="3">
        <v>10</v>
      </c>
      <c r="P99" s="3">
        <v>5</v>
      </c>
      <c r="Q99" s="3">
        <v>0</v>
      </c>
      <c r="R99" s="3">
        <v>0</v>
      </c>
      <c r="S99" s="3">
        <v>5</v>
      </c>
      <c r="T99" s="3">
        <v>0</v>
      </c>
      <c r="U99" s="3">
        <v>0</v>
      </c>
      <c r="V99" s="3">
        <v>0</v>
      </c>
      <c r="W99" s="3">
        <v>0</v>
      </c>
      <c r="X99" s="3">
        <v>4</v>
      </c>
      <c r="Y99" s="3">
        <v>5</v>
      </c>
      <c r="Z99" s="3">
        <v>5</v>
      </c>
      <c r="AA99" s="3">
        <v>0</v>
      </c>
      <c r="AB99" s="3">
        <v>0</v>
      </c>
      <c r="AC99" s="3">
        <v>0</v>
      </c>
      <c r="AD99" s="3">
        <v>0</v>
      </c>
      <c r="AE99" s="3">
        <v>0</v>
      </c>
      <c r="AF99" s="3">
        <v>0</v>
      </c>
      <c r="AG99" s="3">
        <v>0</v>
      </c>
      <c r="AH99" s="3">
        <v>0</v>
      </c>
      <c r="AI99" s="3">
        <v>0</v>
      </c>
      <c r="AJ99" s="3">
        <v>0</v>
      </c>
      <c r="AK99" s="3">
        <v>0</v>
      </c>
      <c r="AL99" s="3" t="s">
        <v>17</v>
      </c>
      <c r="AM99" s="3" t="s">
        <v>18</v>
      </c>
      <c r="AN99" s="6" t="s">
        <v>1980</v>
      </c>
      <c r="AO99" s="3" t="s">
        <v>1853</v>
      </c>
      <c r="AP99" s="3">
        <v>0</v>
      </c>
      <c r="AQ99" s="3">
        <v>0</v>
      </c>
      <c r="AR99">
        <v>0</v>
      </c>
      <c r="AS99">
        <v>4</v>
      </c>
      <c r="AT99" s="6" t="s">
        <v>919</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row>
    <row r="100" spans="1:67" ht="15.75" customHeight="1" x14ac:dyDescent="0.2">
      <c r="A100" s="3">
        <f t="shared" si="1"/>
        <v>98</v>
      </c>
      <c r="B100" s="3" t="s">
        <v>2427</v>
      </c>
      <c r="C100" s="3" t="s">
        <v>2427</v>
      </c>
      <c r="D100" s="5" t="s">
        <v>2426</v>
      </c>
      <c r="E100" s="5" t="s">
        <v>2428</v>
      </c>
      <c r="F100" s="3">
        <v>0</v>
      </c>
      <c r="G100" s="3">
        <v>0</v>
      </c>
      <c r="H100" s="3">
        <v>0</v>
      </c>
      <c r="I100" s="3">
        <v>50</v>
      </c>
      <c r="J100" s="3">
        <v>7</v>
      </c>
      <c r="K100" s="3">
        <v>0.95</v>
      </c>
      <c r="L100" s="3">
        <v>0</v>
      </c>
      <c r="M100" s="3">
        <v>5</v>
      </c>
      <c r="N100" s="3">
        <v>0</v>
      </c>
      <c r="O100" s="3">
        <v>20</v>
      </c>
      <c r="P100" s="3">
        <v>10</v>
      </c>
      <c r="Q100" s="3">
        <v>10</v>
      </c>
      <c r="R100" s="3">
        <v>10</v>
      </c>
      <c r="S100" s="3">
        <v>5</v>
      </c>
      <c r="T100" s="3">
        <v>0</v>
      </c>
      <c r="U100" s="3">
        <v>0</v>
      </c>
      <c r="V100" s="3">
        <v>0</v>
      </c>
      <c r="W100" s="3">
        <v>0</v>
      </c>
      <c r="X100" s="3">
        <v>4</v>
      </c>
      <c r="Y100" s="3">
        <v>5</v>
      </c>
      <c r="Z100" s="3">
        <v>15</v>
      </c>
      <c r="AA100" s="3">
        <v>0</v>
      </c>
      <c r="AB100" s="3">
        <v>0</v>
      </c>
      <c r="AC100" s="3">
        <v>0</v>
      </c>
      <c r="AD100" s="3">
        <v>0</v>
      </c>
      <c r="AE100" s="3">
        <v>0</v>
      </c>
      <c r="AF100" s="3">
        <v>0</v>
      </c>
      <c r="AG100" s="3">
        <v>0</v>
      </c>
      <c r="AH100" s="3">
        <v>0</v>
      </c>
      <c r="AI100" s="3">
        <v>0</v>
      </c>
      <c r="AJ100" s="3">
        <v>0</v>
      </c>
      <c r="AK100" s="3">
        <v>0</v>
      </c>
      <c r="AL100" s="3" t="s">
        <v>17</v>
      </c>
      <c r="AM100" s="3" t="s">
        <v>18</v>
      </c>
      <c r="AN100" s="6" t="s">
        <v>1980</v>
      </c>
      <c r="AO100" s="3" t="s">
        <v>50</v>
      </c>
      <c r="AP100" s="3">
        <v>0</v>
      </c>
      <c r="AQ100" s="3">
        <v>0</v>
      </c>
      <c r="AR100">
        <v>0</v>
      </c>
      <c r="AS100">
        <v>4</v>
      </c>
      <c r="AT100" s="6" t="s">
        <v>2524</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2</v>
      </c>
      <c r="BL100">
        <v>0</v>
      </c>
      <c r="BM100">
        <v>0</v>
      </c>
      <c r="BN100">
        <v>0</v>
      </c>
      <c r="BO100">
        <v>0</v>
      </c>
    </row>
    <row r="101" spans="1:67" ht="15.75" customHeight="1" x14ac:dyDescent="0.2">
      <c r="A101" s="3">
        <f t="shared" si="1"/>
        <v>99</v>
      </c>
      <c r="B101" s="3" t="s">
        <v>1102</v>
      </c>
      <c r="C101" s="3" t="s">
        <v>1102</v>
      </c>
      <c r="D101" s="25" t="s">
        <v>1101</v>
      </c>
      <c r="E101" s="5" t="s">
        <v>1260</v>
      </c>
      <c r="F101" s="3">
        <v>0</v>
      </c>
      <c r="G101" s="3">
        <v>0</v>
      </c>
      <c r="H101" s="3">
        <v>0</v>
      </c>
      <c r="I101" s="3">
        <v>50</v>
      </c>
      <c r="J101" s="3">
        <v>7</v>
      </c>
      <c r="K101" s="3">
        <v>0.95</v>
      </c>
      <c r="L101" s="3">
        <v>0</v>
      </c>
      <c r="M101" s="3">
        <v>10</v>
      </c>
      <c r="N101" s="3">
        <v>0</v>
      </c>
      <c r="O101" s="3">
        <v>22</v>
      </c>
      <c r="P101" s="3">
        <v>5</v>
      </c>
      <c r="Q101" s="3">
        <v>0</v>
      </c>
      <c r="R101" s="3">
        <v>0</v>
      </c>
      <c r="S101" s="3">
        <v>5</v>
      </c>
      <c r="T101" s="3">
        <v>0</v>
      </c>
      <c r="U101" s="3">
        <v>0</v>
      </c>
      <c r="V101" s="3">
        <v>0</v>
      </c>
      <c r="W101" s="3">
        <v>0</v>
      </c>
      <c r="X101" s="3">
        <v>7</v>
      </c>
      <c r="Y101" s="3">
        <v>5</v>
      </c>
      <c r="Z101" s="3">
        <v>5</v>
      </c>
      <c r="AA101" s="3">
        <v>0</v>
      </c>
      <c r="AB101" s="3">
        <v>0</v>
      </c>
      <c r="AC101" s="3">
        <v>0</v>
      </c>
      <c r="AD101" s="3">
        <v>0</v>
      </c>
      <c r="AE101" s="3">
        <v>0</v>
      </c>
      <c r="AF101" s="3">
        <v>0</v>
      </c>
      <c r="AG101" s="3">
        <v>0</v>
      </c>
      <c r="AH101" s="3">
        <v>0</v>
      </c>
      <c r="AI101" s="3">
        <v>0</v>
      </c>
      <c r="AJ101" s="3">
        <v>0</v>
      </c>
      <c r="AK101" s="3">
        <v>0</v>
      </c>
      <c r="AL101" s="3" t="s">
        <v>17</v>
      </c>
      <c r="AM101" s="3" t="s">
        <v>18</v>
      </c>
      <c r="AN101" s="6" t="s">
        <v>1980</v>
      </c>
      <c r="AO101" s="3" t="s">
        <v>1853</v>
      </c>
      <c r="AP101" s="3">
        <v>0</v>
      </c>
      <c r="AQ101" s="3">
        <v>0</v>
      </c>
      <c r="AR101">
        <v>0</v>
      </c>
      <c r="AS101">
        <v>4</v>
      </c>
      <c r="AT101" s="6" t="s">
        <v>1348</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row>
    <row r="102" spans="1:67" ht="15.75" customHeight="1" x14ac:dyDescent="0.2">
      <c r="A102" s="3">
        <f t="shared" si="1"/>
        <v>100</v>
      </c>
      <c r="B102" s="3" t="s">
        <v>2403</v>
      </c>
      <c r="C102" s="3" t="s">
        <v>1865</v>
      </c>
      <c r="D102" s="5" t="s">
        <v>1863</v>
      </c>
      <c r="E102" s="5" t="s">
        <v>1864</v>
      </c>
      <c r="F102" s="3">
        <v>0</v>
      </c>
      <c r="G102" s="3">
        <v>0</v>
      </c>
      <c r="H102" s="3">
        <v>0</v>
      </c>
      <c r="I102" s="3">
        <v>50</v>
      </c>
      <c r="J102" s="3">
        <v>7</v>
      </c>
      <c r="K102" s="3">
        <v>0.95</v>
      </c>
      <c r="L102" s="3">
        <v>0</v>
      </c>
      <c r="M102" s="3">
        <v>10</v>
      </c>
      <c r="N102" s="3">
        <v>0</v>
      </c>
      <c r="O102" s="3">
        <v>10</v>
      </c>
      <c r="P102" s="3">
        <v>5</v>
      </c>
      <c r="Q102" s="3">
        <v>0</v>
      </c>
      <c r="R102" s="3">
        <v>0</v>
      </c>
      <c r="S102" s="3">
        <v>5</v>
      </c>
      <c r="T102" s="3">
        <v>0</v>
      </c>
      <c r="U102" s="3">
        <v>0</v>
      </c>
      <c r="V102" s="3">
        <v>0</v>
      </c>
      <c r="W102" s="3">
        <v>0</v>
      </c>
      <c r="X102" s="3">
        <v>4</v>
      </c>
      <c r="Y102" s="3">
        <v>5</v>
      </c>
      <c r="Z102" s="3">
        <v>5</v>
      </c>
      <c r="AA102" s="3">
        <v>0</v>
      </c>
      <c r="AB102" s="3">
        <v>0</v>
      </c>
      <c r="AC102" s="3">
        <v>0</v>
      </c>
      <c r="AD102" s="3">
        <v>0</v>
      </c>
      <c r="AE102" s="3">
        <v>0</v>
      </c>
      <c r="AF102" s="3">
        <v>0</v>
      </c>
      <c r="AG102" s="3">
        <v>0</v>
      </c>
      <c r="AH102" s="3">
        <v>0</v>
      </c>
      <c r="AI102" s="3">
        <v>0</v>
      </c>
      <c r="AJ102" s="3">
        <v>0</v>
      </c>
      <c r="AK102" s="3">
        <v>0</v>
      </c>
      <c r="AL102" s="3" t="s">
        <v>17</v>
      </c>
      <c r="AM102" s="3" t="s">
        <v>18</v>
      </c>
      <c r="AN102" s="6" t="s">
        <v>1980</v>
      </c>
      <c r="AO102" s="3" t="s">
        <v>50</v>
      </c>
      <c r="AP102" s="3">
        <v>0</v>
      </c>
      <c r="AQ102" s="3">
        <v>0</v>
      </c>
      <c r="AR102">
        <v>0</v>
      </c>
      <c r="AS102">
        <v>4</v>
      </c>
      <c r="AT102" s="6" t="s">
        <v>1869</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3</v>
      </c>
      <c r="BL102">
        <v>0</v>
      </c>
      <c r="BM102">
        <v>0</v>
      </c>
      <c r="BN102">
        <v>0</v>
      </c>
      <c r="BO102">
        <v>0</v>
      </c>
    </row>
    <row r="103" spans="1:67" ht="15.75" customHeight="1" x14ac:dyDescent="0.2">
      <c r="A103" s="3">
        <f t="shared" si="1"/>
        <v>101</v>
      </c>
      <c r="B103" s="3" t="s">
        <v>528</v>
      </c>
      <c r="C103" s="3" t="s">
        <v>528</v>
      </c>
      <c r="D103" s="5" t="s">
        <v>527</v>
      </c>
      <c r="E103" s="5" t="s">
        <v>529</v>
      </c>
      <c r="F103" s="3">
        <v>0</v>
      </c>
      <c r="G103" s="3">
        <v>0</v>
      </c>
      <c r="H103" s="3">
        <v>0</v>
      </c>
      <c r="I103" s="3">
        <v>50</v>
      </c>
      <c r="J103" s="3">
        <v>10</v>
      </c>
      <c r="K103" s="3">
        <v>0.95</v>
      </c>
      <c r="L103" s="3">
        <v>0</v>
      </c>
      <c r="M103" s="3">
        <v>8</v>
      </c>
      <c r="N103" s="3">
        <v>0</v>
      </c>
      <c r="O103" s="3">
        <v>15</v>
      </c>
      <c r="P103" s="3">
        <v>0</v>
      </c>
      <c r="Q103" s="3">
        <v>0</v>
      </c>
      <c r="R103" s="3">
        <v>15</v>
      </c>
      <c r="S103" s="3">
        <v>0</v>
      </c>
      <c r="T103" s="3">
        <v>0</v>
      </c>
      <c r="U103" s="3">
        <v>0</v>
      </c>
      <c r="V103" s="3">
        <v>0</v>
      </c>
      <c r="W103" s="3">
        <v>0</v>
      </c>
      <c r="X103" s="3">
        <v>10</v>
      </c>
      <c r="Y103" s="3">
        <v>5</v>
      </c>
      <c r="Z103" s="3">
        <v>5</v>
      </c>
      <c r="AA103" s="3">
        <v>0</v>
      </c>
      <c r="AB103" s="3">
        <v>0</v>
      </c>
      <c r="AC103" s="3">
        <v>0</v>
      </c>
      <c r="AD103" s="3">
        <v>0</v>
      </c>
      <c r="AE103" s="3">
        <v>0</v>
      </c>
      <c r="AF103" s="3">
        <v>0</v>
      </c>
      <c r="AG103" s="3">
        <v>0</v>
      </c>
      <c r="AH103" s="3">
        <v>0</v>
      </c>
      <c r="AI103" s="3">
        <v>0</v>
      </c>
      <c r="AJ103" s="3">
        <v>0</v>
      </c>
      <c r="AK103" s="3">
        <v>0</v>
      </c>
      <c r="AL103" s="3" t="s">
        <v>17</v>
      </c>
      <c r="AM103" s="3" t="s">
        <v>18</v>
      </c>
      <c r="AN103" s="6" t="s">
        <v>1981</v>
      </c>
      <c r="AO103" s="3" t="s">
        <v>1853</v>
      </c>
      <c r="AP103" s="3">
        <v>0</v>
      </c>
      <c r="AQ103" s="3">
        <v>0</v>
      </c>
      <c r="AR103">
        <v>0</v>
      </c>
      <c r="AS103">
        <v>7</v>
      </c>
      <c r="AT103" s="6" t="s">
        <v>548</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row>
    <row r="104" spans="1:67" ht="15.75" customHeight="1" x14ac:dyDescent="0.2">
      <c r="A104" s="3">
        <f t="shared" si="1"/>
        <v>102</v>
      </c>
      <c r="B104" s="3" t="s">
        <v>2327</v>
      </c>
      <c r="C104" s="3" t="s">
        <v>2327</v>
      </c>
      <c r="D104" s="5" t="s">
        <v>2325</v>
      </c>
      <c r="E104" s="5" t="s">
        <v>2326</v>
      </c>
      <c r="F104" s="3">
        <v>0</v>
      </c>
      <c r="G104" s="3">
        <v>0</v>
      </c>
      <c r="H104" s="3">
        <v>0</v>
      </c>
      <c r="I104" s="3">
        <v>50</v>
      </c>
      <c r="J104" s="3">
        <v>10</v>
      </c>
      <c r="K104" s="3">
        <v>0.95</v>
      </c>
      <c r="L104" s="3">
        <v>0</v>
      </c>
      <c r="M104" s="3">
        <v>25</v>
      </c>
      <c r="N104" s="3">
        <v>0</v>
      </c>
      <c r="O104" s="3">
        <v>9</v>
      </c>
      <c r="P104" s="3">
        <v>0</v>
      </c>
      <c r="Q104" s="3">
        <v>0</v>
      </c>
      <c r="R104" s="3">
        <v>30</v>
      </c>
      <c r="S104" s="3">
        <v>0</v>
      </c>
      <c r="T104" s="3">
        <v>0</v>
      </c>
      <c r="U104" s="3">
        <v>0</v>
      </c>
      <c r="V104" s="3">
        <v>0</v>
      </c>
      <c r="W104" s="3">
        <v>0</v>
      </c>
      <c r="X104" s="3">
        <v>15</v>
      </c>
      <c r="Y104" s="3">
        <v>5</v>
      </c>
      <c r="Z104" s="3">
        <v>5</v>
      </c>
      <c r="AA104" s="3">
        <v>0</v>
      </c>
      <c r="AB104" s="3">
        <v>0</v>
      </c>
      <c r="AC104" s="3">
        <v>0</v>
      </c>
      <c r="AD104" s="3">
        <v>0</v>
      </c>
      <c r="AE104" s="3">
        <v>10</v>
      </c>
      <c r="AF104" s="3">
        <v>2</v>
      </c>
      <c r="AG104" s="3">
        <v>0</v>
      </c>
      <c r="AH104" s="3">
        <v>0</v>
      </c>
      <c r="AI104" s="3">
        <v>0</v>
      </c>
      <c r="AJ104" s="3">
        <v>0</v>
      </c>
      <c r="AK104" s="3">
        <v>0</v>
      </c>
      <c r="AL104" s="3" t="s">
        <v>17</v>
      </c>
      <c r="AM104" s="3" t="s">
        <v>18</v>
      </c>
      <c r="AN104" s="6" t="s">
        <v>2400</v>
      </c>
      <c r="AO104" s="3" t="s">
        <v>50</v>
      </c>
      <c r="AP104" s="3">
        <v>0</v>
      </c>
      <c r="AQ104" s="3">
        <v>0</v>
      </c>
      <c r="AR104">
        <v>0</v>
      </c>
      <c r="AS104">
        <v>7</v>
      </c>
      <c r="AT104" s="6" t="s">
        <v>2525</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3</v>
      </c>
      <c r="BL104">
        <v>0</v>
      </c>
      <c r="BM104">
        <v>0</v>
      </c>
      <c r="BN104">
        <v>0</v>
      </c>
      <c r="BO104">
        <v>0</v>
      </c>
    </row>
    <row r="105" spans="1:67" ht="15.75" customHeight="1" x14ac:dyDescent="0.2">
      <c r="A105" s="3">
        <f t="shared" si="1"/>
        <v>103</v>
      </c>
      <c r="B105" s="3" t="s">
        <v>2563</v>
      </c>
      <c r="C105" s="3" t="s">
        <v>2423</v>
      </c>
      <c r="D105" s="5" t="s">
        <v>2424</v>
      </c>
      <c r="E105" s="5" t="s">
        <v>2425</v>
      </c>
      <c r="F105" s="3">
        <v>0</v>
      </c>
      <c r="G105" s="3">
        <v>0</v>
      </c>
      <c r="H105" s="3">
        <v>0</v>
      </c>
      <c r="I105" s="3">
        <v>50</v>
      </c>
      <c r="J105" s="3">
        <v>10</v>
      </c>
      <c r="K105" s="3">
        <v>0.95</v>
      </c>
      <c r="L105" s="3">
        <v>0</v>
      </c>
      <c r="M105" s="3">
        <v>25</v>
      </c>
      <c r="N105" s="3">
        <v>0</v>
      </c>
      <c r="O105" s="3">
        <v>9</v>
      </c>
      <c r="P105" s="3">
        <v>0</v>
      </c>
      <c r="Q105" s="3">
        <v>0</v>
      </c>
      <c r="R105" s="3">
        <v>30</v>
      </c>
      <c r="S105" s="3">
        <v>0</v>
      </c>
      <c r="T105" s="3">
        <v>0</v>
      </c>
      <c r="U105" s="3">
        <v>0</v>
      </c>
      <c r="V105" s="3">
        <v>0</v>
      </c>
      <c r="W105" s="3">
        <v>0</v>
      </c>
      <c r="X105" s="3">
        <v>15</v>
      </c>
      <c r="Y105" s="3">
        <v>5</v>
      </c>
      <c r="Z105" s="3">
        <v>5</v>
      </c>
      <c r="AA105" s="3">
        <v>0</v>
      </c>
      <c r="AB105" s="3">
        <v>0</v>
      </c>
      <c r="AC105" s="3">
        <v>0</v>
      </c>
      <c r="AD105" s="3">
        <v>0</v>
      </c>
      <c r="AE105" s="3">
        <v>10</v>
      </c>
      <c r="AF105" s="3">
        <v>2</v>
      </c>
      <c r="AG105" s="3">
        <v>0</v>
      </c>
      <c r="AH105" s="3">
        <v>0</v>
      </c>
      <c r="AI105" s="3">
        <v>0</v>
      </c>
      <c r="AJ105" s="3">
        <v>0</v>
      </c>
      <c r="AK105" s="3">
        <v>0</v>
      </c>
      <c r="AL105" s="3" t="s">
        <v>17</v>
      </c>
      <c r="AM105" s="3" t="s">
        <v>18</v>
      </c>
      <c r="AN105" s="6" t="s">
        <v>2400</v>
      </c>
      <c r="AO105" s="3" t="s">
        <v>50</v>
      </c>
      <c r="AP105" s="3">
        <v>0</v>
      </c>
      <c r="AQ105" s="3">
        <v>0</v>
      </c>
      <c r="AR105">
        <v>0</v>
      </c>
      <c r="AS105">
        <v>7</v>
      </c>
      <c r="AT105" s="6" t="s">
        <v>2526</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3</v>
      </c>
      <c r="BL105">
        <v>0</v>
      </c>
      <c r="BM105">
        <v>0</v>
      </c>
      <c r="BN105">
        <v>0</v>
      </c>
      <c r="BO105">
        <v>0</v>
      </c>
    </row>
    <row r="106" spans="1:67" ht="15.75" customHeight="1" x14ac:dyDescent="0.2">
      <c r="A106" s="3">
        <f t="shared" si="1"/>
        <v>104</v>
      </c>
      <c r="B106" s="3" t="s">
        <v>2323</v>
      </c>
      <c r="C106" s="3" t="s">
        <v>2323</v>
      </c>
      <c r="D106" s="5" t="s">
        <v>2322</v>
      </c>
      <c r="E106" s="5" t="s">
        <v>2324</v>
      </c>
      <c r="F106" s="3">
        <v>0</v>
      </c>
      <c r="G106" s="3">
        <v>0</v>
      </c>
      <c r="H106" s="3">
        <v>0</v>
      </c>
      <c r="I106" s="3">
        <v>50</v>
      </c>
      <c r="J106" s="3">
        <v>10</v>
      </c>
      <c r="K106" s="3">
        <v>0.95</v>
      </c>
      <c r="L106" s="3">
        <v>0</v>
      </c>
      <c r="M106" s="3">
        <v>8</v>
      </c>
      <c r="N106" s="3">
        <v>0</v>
      </c>
      <c r="O106" s="3">
        <v>0</v>
      </c>
      <c r="P106" s="3">
        <v>20</v>
      </c>
      <c r="Q106" s="3">
        <v>8</v>
      </c>
      <c r="R106" s="3">
        <v>0</v>
      </c>
      <c r="S106" s="3">
        <v>6</v>
      </c>
      <c r="T106" s="3">
        <v>0</v>
      </c>
      <c r="U106" s="3">
        <v>0</v>
      </c>
      <c r="V106" s="3">
        <v>0</v>
      </c>
      <c r="W106" s="3">
        <v>0</v>
      </c>
      <c r="X106" s="3">
        <v>10</v>
      </c>
      <c r="Y106" s="3">
        <v>5</v>
      </c>
      <c r="Z106" s="3">
        <v>5</v>
      </c>
      <c r="AA106" s="3">
        <v>0</v>
      </c>
      <c r="AB106" s="3">
        <v>0</v>
      </c>
      <c r="AC106" s="3">
        <v>0</v>
      </c>
      <c r="AD106" s="3">
        <v>0</v>
      </c>
      <c r="AE106" s="3">
        <v>5</v>
      </c>
      <c r="AF106" s="3">
        <v>0</v>
      </c>
      <c r="AG106" s="3">
        <v>0</v>
      </c>
      <c r="AH106" s="3">
        <v>0</v>
      </c>
      <c r="AI106" s="3">
        <v>0</v>
      </c>
      <c r="AJ106" s="3">
        <v>0</v>
      </c>
      <c r="AK106" s="3">
        <v>0</v>
      </c>
      <c r="AL106" s="3" t="s">
        <v>17</v>
      </c>
      <c r="AM106" s="3" t="s">
        <v>156</v>
      </c>
      <c r="AN106" s="6" t="s">
        <v>2503</v>
      </c>
      <c r="AO106" s="3" t="s">
        <v>50</v>
      </c>
      <c r="AP106" s="3">
        <v>0</v>
      </c>
      <c r="AQ106" s="3">
        <v>0</v>
      </c>
      <c r="AR106">
        <v>0</v>
      </c>
      <c r="AS106">
        <v>7</v>
      </c>
      <c r="AT106" s="6" t="s">
        <v>2527</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row>
    <row r="107" spans="1:67" ht="15.75" customHeight="1" x14ac:dyDescent="0.2">
      <c r="A107" s="3">
        <f t="shared" si="1"/>
        <v>105</v>
      </c>
      <c r="B107" s="3" t="s">
        <v>2321</v>
      </c>
      <c r="C107" s="3" t="s">
        <v>2321</v>
      </c>
      <c r="D107" s="5" t="s">
        <v>2319</v>
      </c>
      <c r="E107" s="5" t="s">
        <v>2320</v>
      </c>
      <c r="F107" s="3">
        <v>0</v>
      </c>
      <c r="G107" s="3">
        <v>0</v>
      </c>
      <c r="H107" s="3">
        <v>0</v>
      </c>
      <c r="I107" s="3">
        <v>50</v>
      </c>
      <c r="J107" s="3">
        <v>10</v>
      </c>
      <c r="K107" s="3">
        <v>0.95</v>
      </c>
      <c r="L107" s="3">
        <v>0</v>
      </c>
      <c r="M107" s="3">
        <v>17</v>
      </c>
      <c r="N107" s="3">
        <v>0</v>
      </c>
      <c r="O107" s="3">
        <v>15</v>
      </c>
      <c r="P107" s="3">
        <v>0</v>
      </c>
      <c r="Q107" s="3">
        <v>0</v>
      </c>
      <c r="R107" s="3">
        <v>10</v>
      </c>
      <c r="S107" s="3">
        <v>0</v>
      </c>
      <c r="T107" s="3">
        <v>0</v>
      </c>
      <c r="U107" s="3">
        <v>0</v>
      </c>
      <c r="V107" s="3">
        <v>0</v>
      </c>
      <c r="W107" s="3">
        <v>0</v>
      </c>
      <c r="X107" s="3">
        <v>5</v>
      </c>
      <c r="Y107" s="3">
        <v>5</v>
      </c>
      <c r="Z107" s="3">
        <v>5</v>
      </c>
      <c r="AA107" s="3">
        <v>0</v>
      </c>
      <c r="AB107" s="3">
        <v>0</v>
      </c>
      <c r="AC107" s="3">
        <v>0</v>
      </c>
      <c r="AD107" s="3">
        <v>0</v>
      </c>
      <c r="AE107" s="3">
        <v>3</v>
      </c>
      <c r="AF107" s="3">
        <v>0</v>
      </c>
      <c r="AG107" s="3">
        <v>0</v>
      </c>
      <c r="AH107" s="3">
        <v>0</v>
      </c>
      <c r="AI107" s="3">
        <v>0</v>
      </c>
      <c r="AJ107" s="3">
        <v>0</v>
      </c>
      <c r="AK107" s="3">
        <v>0</v>
      </c>
      <c r="AL107" s="3" t="s">
        <v>17</v>
      </c>
      <c r="AM107" s="3" t="s">
        <v>3469</v>
      </c>
      <c r="AN107" s="6" t="s">
        <v>2402</v>
      </c>
      <c r="AO107" s="3" t="s">
        <v>50</v>
      </c>
      <c r="AP107" s="3">
        <v>0</v>
      </c>
      <c r="AQ107" s="3">
        <v>0</v>
      </c>
      <c r="AR107">
        <v>0</v>
      </c>
      <c r="AS107">
        <v>7</v>
      </c>
      <c r="AT107" s="6" t="s">
        <v>2528</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row>
    <row r="108" spans="1:67" s="9" customFormat="1" ht="15.75" customHeight="1" x14ac:dyDescent="0.2">
      <c r="A108" s="7">
        <f t="shared" si="1"/>
        <v>106</v>
      </c>
      <c r="B108" s="7" t="s">
        <v>83</v>
      </c>
      <c r="C108" s="7" t="s">
        <v>364</v>
      </c>
      <c r="D108" s="8" t="s">
        <v>2639</v>
      </c>
      <c r="E108" s="8" t="s">
        <v>365</v>
      </c>
      <c r="F108" s="7">
        <v>0</v>
      </c>
      <c r="G108" s="7">
        <v>0</v>
      </c>
      <c r="H108" s="7">
        <v>0</v>
      </c>
      <c r="I108" s="7">
        <v>50</v>
      </c>
      <c r="J108" s="7">
        <v>5</v>
      </c>
      <c r="K108" s="7">
        <v>1</v>
      </c>
      <c r="L108" s="7">
        <v>0</v>
      </c>
      <c r="M108" s="7">
        <v>10</v>
      </c>
      <c r="N108" s="7">
        <v>0</v>
      </c>
      <c r="O108" s="7">
        <v>15</v>
      </c>
      <c r="P108" s="7">
        <v>0</v>
      </c>
      <c r="Q108" s="7">
        <v>0</v>
      </c>
      <c r="R108" s="7">
        <v>0</v>
      </c>
      <c r="S108" s="7">
        <v>0</v>
      </c>
      <c r="T108" s="7">
        <v>0</v>
      </c>
      <c r="U108" s="7">
        <v>0</v>
      </c>
      <c r="V108" s="7">
        <v>0</v>
      </c>
      <c r="W108" s="7">
        <v>0</v>
      </c>
      <c r="X108" s="7">
        <v>5</v>
      </c>
      <c r="Y108" s="7">
        <v>0</v>
      </c>
      <c r="Z108" s="7">
        <v>0</v>
      </c>
      <c r="AA108" s="7">
        <v>0</v>
      </c>
      <c r="AB108" s="7">
        <v>0</v>
      </c>
      <c r="AC108" s="7">
        <v>0</v>
      </c>
      <c r="AD108" s="7">
        <v>0</v>
      </c>
      <c r="AE108" s="7">
        <v>0</v>
      </c>
      <c r="AF108" s="7">
        <v>0</v>
      </c>
      <c r="AG108" s="7">
        <v>0</v>
      </c>
      <c r="AH108" s="7">
        <v>0</v>
      </c>
      <c r="AI108" s="7">
        <v>0</v>
      </c>
      <c r="AJ108" s="7">
        <v>0</v>
      </c>
      <c r="AK108" s="7">
        <v>0</v>
      </c>
      <c r="AL108" s="7" t="s">
        <v>366</v>
      </c>
      <c r="AM108" s="7" t="s">
        <v>23</v>
      </c>
      <c r="AN108" s="7" t="s">
        <v>974</v>
      </c>
      <c r="AO108" s="7" t="s">
        <v>1853</v>
      </c>
      <c r="AP108" s="7">
        <v>0</v>
      </c>
      <c r="AQ108" s="7">
        <v>0</v>
      </c>
      <c r="AR108" s="9">
        <v>0</v>
      </c>
      <c r="AS108" s="9">
        <v>1</v>
      </c>
      <c r="AT108" s="10" t="s">
        <v>50</v>
      </c>
      <c r="AU108" s="10" t="s">
        <v>50</v>
      </c>
      <c r="AV108" s="10" t="s">
        <v>50</v>
      </c>
      <c r="AW108" s="10" t="s">
        <v>50</v>
      </c>
      <c r="AX108" s="10" t="s">
        <v>50</v>
      </c>
      <c r="AY108" s="10" t="s">
        <v>50</v>
      </c>
      <c r="AZ108" s="10" t="s">
        <v>50</v>
      </c>
      <c r="BA108" s="10" t="s">
        <v>50</v>
      </c>
      <c r="BB108" s="10" t="s">
        <v>50</v>
      </c>
      <c r="BC108" s="10" t="s">
        <v>50</v>
      </c>
      <c r="BD108" s="10" t="s">
        <v>50</v>
      </c>
      <c r="BE108" s="10" t="s">
        <v>50</v>
      </c>
      <c r="BF108" s="10" t="s">
        <v>50</v>
      </c>
      <c r="BG108" s="10" t="s">
        <v>50</v>
      </c>
      <c r="BH108" s="10" t="s">
        <v>50</v>
      </c>
      <c r="BI108" s="9">
        <v>0</v>
      </c>
      <c r="BJ108" s="9">
        <v>0</v>
      </c>
      <c r="BK108" s="9">
        <v>1</v>
      </c>
      <c r="BL108" s="9">
        <v>0</v>
      </c>
      <c r="BM108" s="9">
        <v>0</v>
      </c>
      <c r="BN108" s="9">
        <v>0</v>
      </c>
      <c r="BO108" s="9">
        <v>0</v>
      </c>
    </row>
    <row r="109" spans="1:67" ht="15.75" customHeight="1" x14ac:dyDescent="0.2">
      <c r="A109" s="3">
        <f t="shared" si="1"/>
        <v>107</v>
      </c>
      <c r="B109" s="3" t="s">
        <v>3403</v>
      </c>
      <c r="C109" s="3" t="s">
        <v>3239</v>
      </c>
      <c r="D109" s="5" t="s">
        <v>3238</v>
      </c>
      <c r="E109" s="5" t="s">
        <v>3240</v>
      </c>
      <c r="F109" s="3">
        <v>0</v>
      </c>
      <c r="G109" s="3">
        <v>0</v>
      </c>
      <c r="H109" s="3">
        <v>0</v>
      </c>
      <c r="I109" s="3">
        <v>50</v>
      </c>
      <c r="J109" s="3">
        <v>5</v>
      </c>
      <c r="K109" s="3">
        <v>1</v>
      </c>
      <c r="L109" s="3">
        <v>0</v>
      </c>
      <c r="M109" s="3">
        <v>10</v>
      </c>
      <c r="N109" s="3">
        <v>0</v>
      </c>
      <c r="O109" s="3">
        <v>15</v>
      </c>
      <c r="P109" s="3">
        <v>0</v>
      </c>
      <c r="Q109" s="3">
        <v>0</v>
      </c>
      <c r="R109" s="3">
        <v>0</v>
      </c>
      <c r="S109" s="3">
        <v>0</v>
      </c>
      <c r="T109" s="3">
        <v>0</v>
      </c>
      <c r="U109" s="3">
        <v>0</v>
      </c>
      <c r="V109" s="3">
        <v>0</v>
      </c>
      <c r="W109" s="3">
        <v>0</v>
      </c>
      <c r="X109" s="3">
        <v>5</v>
      </c>
      <c r="Y109" s="3">
        <v>0</v>
      </c>
      <c r="Z109" s="3">
        <v>0</v>
      </c>
      <c r="AA109" s="3">
        <v>0</v>
      </c>
      <c r="AB109" s="3">
        <v>0</v>
      </c>
      <c r="AC109" s="3">
        <v>0</v>
      </c>
      <c r="AD109" s="3">
        <v>0</v>
      </c>
      <c r="AE109" s="3">
        <v>0</v>
      </c>
      <c r="AF109" s="3">
        <v>0</v>
      </c>
      <c r="AG109" s="3">
        <v>0</v>
      </c>
      <c r="AH109" s="3">
        <v>0</v>
      </c>
      <c r="AI109" s="3">
        <v>0</v>
      </c>
      <c r="AJ109" s="3">
        <v>0</v>
      </c>
      <c r="AK109" s="3">
        <v>0</v>
      </c>
      <c r="AL109" s="3" t="s">
        <v>51</v>
      </c>
      <c r="AM109" s="3" t="s">
        <v>23</v>
      </c>
      <c r="AN109" s="3" t="s">
        <v>974</v>
      </c>
      <c r="AO109" s="3" t="s">
        <v>50</v>
      </c>
      <c r="AP109" s="3">
        <v>0</v>
      </c>
      <c r="AQ109" s="3">
        <v>0</v>
      </c>
      <c r="AR109">
        <v>0</v>
      </c>
      <c r="AS109">
        <v>1</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row>
    <row r="110" spans="1:67" ht="15.75" customHeight="1" x14ac:dyDescent="0.2">
      <c r="A110" s="3">
        <f t="shared" si="1"/>
        <v>108</v>
      </c>
      <c r="B110" s="3" t="s">
        <v>3221</v>
      </c>
      <c r="C110" s="3" t="s">
        <v>3221</v>
      </c>
      <c r="D110" s="25" t="s">
        <v>3223</v>
      </c>
      <c r="E110" s="4" t="s">
        <v>3218</v>
      </c>
      <c r="F110" s="3">
        <v>0</v>
      </c>
      <c r="G110" s="3">
        <v>0</v>
      </c>
      <c r="H110" s="3">
        <v>0</v>
      </c>
      <c r="I110" s="3">
        <v>50</v>
      </c>
      <c r="J110" s="3">
        <v>5</v>
      </c>
      <c r="K110" s="3">
        <v>1</v>
      </c>
      <c r="L110" s="3">
        <v>0</v>
      </c>
      <c r="M110" s="3">
        <v>5</v>
      </c>
      <c r="N110" s="3">
        <v>2</v>
      </c>
      <c r="O110" s="3">
        <v>0</v>
      </c>
      <c r="P110" s="3">
        <v>0</v>
      </c>
      <c r="Q110" s="3">
        <v>0</v>
      </c>
      <c r="R110" s="3">
        <v>0</v>
      </c>
      <c r="S110" s="3">
        <v>0</v>
      </c>
      <c r="T110" s="3">
        <v>0</v>
      </c>
      <c r="U110" s="3">
        <v>0</v>
      </c>
      <c r="V110" s="3">
        <v>0</v>
      </c>
      <c r="W110" s="3">
        <v>0</v>
      </c>
      <c r="X110" s="3">
        <v>0</v>
      </c>
      <c r="Y110" s="3">
        <v>10</v>
      </c>
      <c r="Z110" s="3">
        <v>0</v>
      </c>
      <c r="AA110" s="3">
        <v>0</v>
      </c>
      <c r="AB110" s="3">
        <v>0</v>
      </c>
      <c r="AC110" s="3">
        <v>0</v>
      </c>
      <c r="AD110" s="3">
        <v>0</v>
      </c>
      <c r="AE110" s="3">
        <v>0</v>
      </c>
      <c r="AF110" s="3">
        <v>0</v>
      </c>
      <c r="AG110" s="3">
        <v>0</v>
      </c>
      <c r="AH110" s="3">
        <v>0</v>
      </c>
      <c r="AI110" s="3">
        <v>0</v>
      </c>
      <c r="AJ110" s="3">
        <v>0</v>
      </c>
      <c r="AK110" s="3">
        <v>0</v>
      </c>
      <c r="AL110" s="3" t="s">
        <v>51</v>
      </c>
      <c r="AM110" s="3" t="s">
        <v>3469</v>
      </c>
      <c r="AN110" s="3" t="s">
        <v>3225</v>
      </c>
      <c r="AO110" s="3" t="s">
        <v>50</v>
      </c>
      <c r="AP110" s="3">
        <v>0</v>
      </c>
      <c r="AQ110" s="3">
        <v>0</v>
      </c>
      <c r="AR110">
        <v>0</v>
      </c>
      <c r="AS110">
        <v>1</v>
      </c>
      <c r="AT110" s="6" t="s">
        <v>496</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row>
    <row r="111" spans="1:67" s="37" customFormat="1" ht="15.75" customHeight="1" x14ac:dyDescent="0.2">
      <c r="A111" s="34">
        <f t="shared" si="1"/>
        <v>109</v>
      </c>
      <c r="B111" s="34" t="s">
        <v>3221</v>
      </c>
      <c r="C111" s="34" t="s">
        <v>3470</v>
      </c>
      <c r="D111" s="35" t="s">
        <v>3539</v>
      </c>
      <c r="E111" s="36" t="s">
        <v>3471</v>
      </c>
      <c r="F111" s="34">
        <v>0</v>
      </c>
      <c r="G111" s="34">
        <v>0</v>
      </c>
      <c r="H111" s="34">
        <v>0</v>
      </c>
      <c r="I111" s="34">
        <v>50</v>
      </c>
      <c r="J111" s="34">
        <v>5</v>
      </c>
      <c r="K111" s="34">
        <v>1</v>
      </c>
      <c r="L111" s="34">
        <v>0</v>
      </c>
      <c r="M111" s="34">
        <v>5</v>
      </c>
      <c r="N111" s="34">
        <v>2</v>
      </c>
      <c r="O111" s="34">
        <v>0</v>
      </c>
      <c r="P111" s="34">
        <v>0</v>
      </c>
      <c r="Q111" s="34">
        <v>0</v>
      </c>
      <c r="R111" s="34">
        <v>0</v>
      </c>
      <c r="S111" s="34">
        <v>0</v>
      </c>
      <c r="T111" s="34">
        <v>0</v>
      </c>
      <c r="U111" s="34">
        <v>0</v>
      </c>
      <c r="V111" s="34">
        <v>0</v>
      </c>
      <c r="W111" s="34">
        <v>0</v>
      </c>
      <c r="X111" s="34">
        <v>0</v>
      </c>
      <c r="Y111" s="34">
        <v>10</v>
      </c>
      <c r="Z111" s="34">
        <v>0</v>
      </c>
      <c r="AA111" s="34">
        <v>0</v>
      </c>
      <c r="AB111" s="34">
        <v>0</v>
      </c>
      <c r="AC111" s="34">
        <v>0</v>
      </c>
      <c r="AD111" s="34">
        <v>0</v>
      </c>
      <c r="AE111" s="34">
        <v>0</v>
      </c>
      <c r="AF111" s="34">
        <v>0</v>
      </c>
      <c r="AG111" s="34">
        <v>0</v>
      </c>
      <c r="AH111" s="34">
        <v>0</v>
      </c>
      <c r="AI111" s="34">
        <v>0</v>
      </c>
      <c r="AJ111" s="34">
        <v>0</v>
      </c>
      <c r="AK111" s="34">
        <v>0</v>
      </c>
      <c r="AL111" s="34" t="s">
        <v>51</v>
      </c>
      <c r="AM111" s="34" t="s">
        <v>3469</v>
      </c>
      <c r="AN111" s="34" t="s">
        <v>3225</v>
      </c>
      <c r="AO111" s="34" t="s">
        <v>50</v>
      </c>
      <c r="AP111" s="34">
        <v>0</v>
      </c>
      <c r="AQ111" s="34">
        <v>0</v>
      </c>
      <c r="AR111" s="37">
        <v>0</v>
      </c>
      <c r="AS111" s="37">
        <v>1</v>
      </c>
      <c r="AT111" s="38" t="s">
        <v>496</v>
      </c>
      <c r="AU111" s="38" t="s">
        <v>50</v>
      </c>
      <c r="AV111" s="38" t="s">
        <v>50</v>
      </c>
      <c r="AW111" s="38" t="s">
        <v>50</v>
      </c>
      <c r="AX111" s="38" t="s">
        <v>50</v>
      </c>
      <c r="AY111" s="38" t="s">
        <v>50</v>
      </c>
      <c r="AZ111" s="38" t="s">
        <v>50</v>
      </c>
      <c r="BA111" s="38" t="s">
        <v>50</v>
      </c>
      <c r="BB111" s="38" t="s">
        <v>50</v>
      </c>
      <c r="BC111" s="38" t="s">
        <v>50</v>
      </c>
      <c r="BD111" s="38" t="s">
        <v>50</v>
      </c>
      <c r="BE111" s="38" t="s">
        <v>50</v>
      </c>
      <c r="BF111" s="38" t="s">
        <v>50</v>
      </c>
      <c r="BG111" s="38" t="s">
        <v>50</v>
      </c>
      <c r="BH111" s="38" t="s">
        <v>50</v>
      </c>
      <c r="BI111" s="37">
        <v>1</v>
      </c>
      <c r="BJ111" s="37">
        <v>0</v>
      </c>
      <c r="BK111" s="37">
        <v>1</v>
      </c>
      <c r="BL111" s="37">
        <v>0</v>
      </c>
      <c r="BM111" s="37">
        <v>0</v>
      </c>
      <c r="BN111" s="37">
        <v>0</v>
      </c>
      <c r="BO111" s="37">
        <v>0</v>
      </c>
    </row>
    <row r="112" spans="1:67" ht="15.75" customHeight="1" x14ac:dyDescent="0.2">
      <c r="A112" s="3">
        <f t="shared" si="1"/>
        <v>110</v>
      </c>
      <c r="B112" s="3" t="s">
        <v>183</v>
      </c>
      <c r="C112" s="3" t="s">
        <v>73</v>
      </c>
      <c r="D112" s="5" t="s">
        <v>21</v>
      </c>
      <c r="E112" s="5" t="s">
        <v>125</v>
      </c>
      <c r="F112" s="3">
        <v>0</v>
      </c>
      <c r="G112" s="3">
        <v>0</v>
      </c>
      <c r="H112" s="3">
        <v>0</v>
      </c>
      <c r="I112" s="3">
        <v>50</v>
      </c>
      <c r="J112" s="3">
        <v>3</v>
      </c>
      <c r="K112" s="3">
        <v>0.95</v>
      </c>
      <c r="L112" s="3">
        <v>0</v>
      </c>
      <c r="M112" s="3">
        <v>0</v>
      </c>
      <c r="N112" s="3">
        <v>0</v>
      </c>
      <c r="O112" s="3">
        <v>0</v>
      </c>
      <c r="P112" s="3">
        <v>5</v>
      </c>
      <c r="Q112" s="3">
        <v>0</v>
      </c>
      <c r="R112" s="3">
        <v>0</v>
      </c>
      <c r="S112" s="3">
        <v>0</v>
      </c>
      <c r="T112" s="3">
        <v>0</v>
      </c>
      <c r="U112" s="3">
        <v>0</v>
      </c>
      <c r="V112" s="3">
        <v>0</v>
      </c>
      <c r="W112" s="3">
        <v>3</v>
      </c>
      <c r="X112" s="3">
        <v>-3</v>
      </c>
      <c r="Y112" s="3">
        <v>2</v>
      </c>
      <c r="Z112" s="3">
        <v>2</v>
      </c>
      <c r="AA112" s="3">
        <v>0</v>
      </c>
      <c r="AB112" s="3">
        <v>0</v>
      </c>
      <c r="AC112" s="3">
        <v>0</v>
      </c>
      <c r="AD112" s="3">
        <v>0</v>
      </c>
      <c r="AE112" s="3">
        <v>0</v>
      </c>
      <c r="AF112" s="3">
        <v>0</v>
      </c>
      <c r="AG112" s="3">
        <v>0</v>
      </c>
      <c r="AH112" s="3">
        <v>0</v>
      </c>
      <c r="AI112" s="3">
        <v>0</v>
      </c>
      <c r="AJ112" s="3">
        <v>0</v>
      </c>
      <c r="AK112" s="3">
        <v>0</v>
      </c>
      <c r="AL112" s="3" t="s">
        <v>17</v>
      </c>
      <c r="AM112" s="3" t="s">
        <v>156</v>
      </c>
      <c r="AN112" s="3" t="s">
        <v>1982</v>
      </c>
      <c r="AO112" s="3" t="s">
        <v>1853</v>
      </c>
      <c r="AP112" s="3">
        <v>0</v>
      </c>
      <c r="AQ112" s="3">
        <v>0</v>
      </c>
      <c r="AR112">
        <v>0</v>
      </c>
      <c r="AS112">
        <v>2</v>
      </c>
      <c r="AT112" s="6" t="s">
        <v>156</v>
      </c>
      <c r="AU112" s="6" t="s">
        <v>150</v>
      </c>
      <c r="AV112" s="6" t="s">
        <v>150</v>
      </c>
      <c r="AW112" s="6" t="s">
        <v>150</v>
      </c>
      <c r="AX112" s="6" t="s">
        <v>150</v>
      </c>
      <c r="AY112" s="6" t="s">
        <v>150</v>
      </c>
      <c r="AZ112" s="6" t="s">
        <v>150</v>
      </c>
      <c r="BA112" s="6" t="s">
        <v>150</v>
      </c>
      <c r="BB112" s="6" t="s">
        <v>150</v>
      </c>
      <c r="BC112" s="6" t="s">
        <v>150</v>
      </c>
      <c r="BD112" s="6" t="s">
        <v>50</v>
      </c>
      <c r="BE112" s="6" t="s">
        <v>50</v>
      </c>
      <c r="BF112" s="6" t="s">
        <v>50</v>
      </c>
      <c r="BG112" s="6" t="s">
        <v>50</v>
      </c>
      <c r="BH112" s="6" t="s">
        <v>50</v>
      </c>
      <c r="BI112">
        <v>1</v>
      </c>
      <c r="BJ112">
        <v>0</v>
      </c>
      <c r="BK112">
        <v>1</v>
      </c>
      <c r="BL112">
        <v>0</v>
      </c>
      <c r="BM112">
        <v>0</v>
      </c>
      <c r="BN112">
        <v>0</v>
      </c>
      <c r="BO112">
        <v>0</v>
      </c>
    </row>
    <row r="113" spans="1:67" ht="15.75" customHeight="1" x14ac:dyDescent="0.2">
      <c r="A113" s="3">
        <f t="shared" si="1"/>
        <v>111</v>
      </c>
      <c r="B113" s="3" t="s">
        <v>3108</v>
      </c>
      <c r="C113" s="3" t="s">
        <v>1861</v>
      </c>
      <c r="D113" s="5" t="s">
        <v>1860</v>
      </c>
      <c r="E113" s="5" t="s">
        <v>1862</v>
      </c>
      <c r="F113" s="3">
        <v>0</v>
      </c>
      <c r="G113" s="3">
        <v>0</v>
      </c>
      <c r="H113" s="3">
        <v>0</v>
      </c>
      <c r="I113" s="3">
        <v>50</v>
      </c>
      <c r="J113" s="3">
        <v>3</v>
      </c>
      <c r="K113" s="3">
        <v>0.95</v>
      </c>
      <c r="L113" s="3">
        <v>0</v>
      </c>
      <c r="M113" s="3">
        <v>0</v>
      </c>
      <c r="N113" s="3">
        <v>0</v>
      </c>
      <c r="O113" s="3">
        <v>0</v>
      </c>
      <c r="P113" s="3">
        <v>5</v>
      </c>
      <c r="Q113" s="3">
        <v>0</v>
      </c>
      <c r="R113" s="3">
        <v>0</v>
      </c>
      <c r="S113" s="3">
        <v>0</v>
      </c>
      <c r="T113" s="3">
        <v>0</v>
      </c>
      <c r="U113" s="3">
        <v>0</v>
      </c>
      <c r="V113" s="3">
        <v>0</v>
      </c>
      <c r="W113" s="3">
        <v>3</v>
      </c>
      <c r="X113" s="3">
        <v>-3</v>
      </c>
      <c r="Y113" s="3">
        <v>2</v>
      </c>
      <c r="Z113" s="3">
        <v>2</v>
      </c>
      <c r="AA113" s="3">
        <v>0</v>
      </c>
      <c r="AB113" s="3">
        <v>0</v>
      </c>
      <c r="AC113" s="3">
        <v>0</v>
      </c>
      <c r="AD113" s="3">
        <v>0</v>
      </c>
      <c r="AE113" s="3">
        <v>0</v>
      </c>
      <c r="AF113" s="3">
        <v>0</v>
      </c>
      <c r="AG113" s="3">
        <v>0</v>
      </c>
      <c r="AH113" s="3">
        <v>0</v>
      </c>
      <c r="AI113" s="3">
        <v>0</v>
      </c>
      <c r="AJ113" s="3">
        <v>0</v>
      </c>
      <c r="AK113" s="3">
        <v>0</v>
      </c>
      <c r="AL113" s="3" t="s">
        <v>17</v>
      </c>
      <c r="AM113" s="3" t="s">
        <v>156</v>
      </c>
      <c r="AN113" s="3" t="s">
        <v>1982</v>
      </c>
      <c r="AO113" s="3" t="s">
        <v>50</v>
      </c>
      <c r="AP113" s="3">
        <v>0</v>
      </c>
      <c r="AQ113" s="3">
        <v>0</v>
      </c>
      <c r="AR113">
        <v>0</v>
      </c>
      <c r="AS113">
        <v>2</v>
      </c>
      <c r="AT113" s="6" t="s">
        <v>1871</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3</v>
      </c>
      <c r="BL113">
        <v>0</v>
      </c>
      <c r="BM113">
        <v>0</v>
      </c>
      <c r="BN113">
        <v>0</v>
      </c>
      <c r="BO113">
        <v>0</v>
      </c>
    </row>
    <row r="114" spans="1:67" ht="15.75" customHeight="1" x14ac:dyDescent="0.2">
      <c r="A114" s="3">
        <f t="shared" si="1"/>
        <v>112</v>
      </c>
      <c r="B114" s="3" t="s">
        <v>2187</v>
      </c>
      <c r="C114" s="3" t="s">
        <v>2187</v>
      </c>
      <c r="D114" s="5" t="s">
        <v>2185</v>
      </c>
      <c r="E114" s="5" t="s">
        <v>2186</v>
      </c>
      <c r="F114" s="3">
        <v>0</v>
      </c>
      <c r="G114" s="3">
        <v>0</v>
      </c>
      <c r="H114" s="3">
        <v>0</v>
      </c>
      <c r="I114" s="3">
        <v>50</v>
      </c>
      <c r="J114" s="3">
        <v>3</v>
      </c>
      <c r="K114" s="3">
        <v>0.95</v>
      </c>
      <c r="L114" s="3">
        <v>0</v>
      </c>
      <c r="M114" s="3">
        <v>0</v>
      </c>
      <c r="N114" s="3">
        <v>0</v>
      </c>
      <c r="O114" s="3">
        <v>0</v>
      </c>
      <c r="P114" s="3">
        <v>5</v>
      </c>
      <c r="Q114" s="3">
        <v>0</v>
      </c>
      <c r="R114" s="3">
        <v>0</v>
      </c>
      <c r="S114" s="3">
        <v>0</v>
      </c>
      <c r="T114" s="3">
        <v>0</v>
      </c>
      <c r="U114" s="3">
        <v>0</v>
      </c>
      <c r="V114" s="3">
        <v>0</v>
      </c>
      <c r="W114" s="3">
        <v>3</v>
      </c>
      <c r="X114" s="3">
        <v>-3</v>
      </c>
      <c r="Y114" s="3">
        <v>2</v>
      </c>
      <c r="Z114" s="3">
        <v>2</v>
      </c>
      <c r="AA114" s="3">
        <v>5</v>
      </c>
      <c r="AB114" s="3">
        <v>0</v>
      </c>
      <c r="AC114" s="3">
        <v>0</v>
      </c>
      <c r="AD114" s="3">
        <v>0</v>
      </c>
      <c r="AE114" s="3">
        <v>0</v>
      </c>
      <c r="AF114" s="3">
        <v>0</v>
      </c>
      <c r="AG114" s="3">
        <v>0</v>
      </c>
      <c r="AH114" s="3">
        <v>0</v>
      </c>
      <c r="AI114" s="3">
        <v>0</v>
      </c>
      <c r="AJ114" s="3">
        <v>0</v>
      </c>
      <c r="AK114" s="3">
        <v>0</v>
      </c>
      <c r="AL114" s="3" t="s">
        <v>17</v>
      </c>
      <c r="AM114" s="3" t="s">
        <v>156</v>
      </c>
      <c r="AN114" s="3" t="s">
        <v>1982</v>
      </c>
      <c r="AO114" s="3" t="s">
        <v>50</v>
      </c>
      <c r="AP114" s="3">
        <v>0</v>
      </c>
      <c r="AQ114" s="3">
        <v>0</v>
      </c>
      <c r="AR114">
        <v>0</v>
      </c>
      <c r="AS114">
        <v>2</v>
      </c>
      <c r="AT114" s="6" t="s">
        <v>2529</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row>
    <row r="115" spans="1:67" ht="15.75" customHeight="1" x14ac:dyDescent="0.2">
      <c r="A115" s="3">
        <f t="shared" si="1"/>
        <v>113</v>
      </c>
      <c r="B115" s="3" t="s">
        <v>2567</v>
      </c>
      <c r="C115" s="3" t="s">
        <v>2190</v>
      </c>
      <c r="D115" s="5" t="s">
        <v>2188</v>
      </c>
      <c r="E115" s="5" t="s">
        <v>2189</v>
      </c>
      <c r="F115" s="3">
        <v>0</v>
      </c>
      <c r="G115" s="3">
        <v>0</v>
      </c>
      <c r="H115" s="3">
        <v>0</v>
      </c>
      <c r="I115" s="3">
        <v>50</v>
      </c>
      <c r="J115" s="3">
        <v>3</v>
      </c>
      <c r="K115" s="3">
        <v>0.95</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17</v>
      </c>
      <c r="AM115" s="3" t="s">
        <v>270</v>
      </c>
      <c r="AN115" s="3" t="s">
        <v>2191</v>
      </c>
      <c r="AO115" s="3" t="s">
        <v>50</v>
      </c>
      <c r="AP115" s="3">
        <v>0</v>
      </c>
      <c r="AQ115" s="3">
        <v>0</v>
      </c>
      <c r="AR115">
        <v>0</v>
      </c>
      <c r="AS115">
        <v>2</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row>
    <row r="116" spans="1:67" ht="15.75" customHeight="1" x14ac:dyDescent="0.2">
      <c r="A116" s="3">
        <f t="shared" si="1"/>
        <v>114</v>
      </c>
      <c r="B116" s="3" t="s">
        <v>377</v>
      </c>
      <c r="C116" s="3" t="s">
        <v>377</v>
      </c>
      <c r="D116" s="5" t="s">
        <v>826</v>
      </c>
      <c r="E116" s="5" t="s">
        <v>831</v>
      </c>
      <c r="F116" s="3">
        <v>0</v>
      </c>
      <c r="G116" s="3">
        <v>0</v>
      </c>
      <c r="H116" s="3">
        <v>0</v>
      </c>
      <c r="I116" s="3">
        <v>50</v>
      </c>
      <c r="J116" s="3">
        <v>3</v>
      </c>
      <c r="K116" s="3">
        <v>0.95</v>
      </c>
      <c r="L116" s="3">
        <v>0</v>
      </c>
      <c r="M116" s="3">
        <v>0</v>
      </c>
      <c r="N116" s="3">
        <v>0</v>
      </c>
      <c r="O116" s="3">
        <v>0</v>
      </c>
      <c r="P116" s="3">
        <v>0</v>
      </c>
      <c r="Q116" s="3">
        <v>0</v>
      </c>
      <c r="R116" s="3">
        <v>0</v>
      </c>
      <c r="S116" s="3">
        <v>0</v>
      </c>
      <c r="T116" s="3">
        <v>0</v>
      </c>
      <c r="U116" s="3">
        <v>0</v>
      </c>
      <c r="V116" s="3">
        <v>-7</v>
      </c>
      <c r="W116" s="3">
        <v>0</v>
      </c>
      <c r="X116" s="3">
        <v>15</v>
      </c>
      <c r="Y116" s="3">
        <v>0</v>
      </c>
      <c r="Z116" s="3">
        <v>0</v>
      </c>
      <c r="AA116" s="3">
        <v>0</v>
      </c>
      <c r="AB116" s="3">
        <v>0</v>
      </c>
      <c r="AC116" s="3">
        <v>0</v>
      </c>
      <c r="AD116" s="3">
        <v>0</v>
      </c>
      <c r="AE116" s="3">
        <v>0</v>
      </c>
      <c r="AF116" s="3">
        <v>0</v>
      </c>
      <c r="AG116" s="3">
        <v>0</v>
      </c>
      <c r="AH116" s="3">
        <v>0</v>
      </c>
      <c r="AI116" s="3">
        <v>0</v>
      </c>
      <c r="AJ116" s="3">
        <v>0</v>
      </c>
      <c r="AK116" s="3">
        <v>0</v>
      </c>
      <c r="AL116" s="3" t="s">
        <v>17</v>
      </c>
      <c r="AM116" s="3" t="s">
        <v>1611</v>
      </c>
      <c r="AN116" s="3" t="s">
        <v>1983</v>
      </c>
      <c r="AO116" s="3" t="s">
        <v>1853</v>
      </c>
      <c r="AP116" s="3">
        <v>0</v>
      </c>
      <c r="AQ116" s="3">
        <v>0</v>
      </c>
      <c r="AR116">
        <v>0</v>
      </c>
      <c r="AS116">
        <v>1</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row>
    <row r="117" spans="1:67" ht="15.75" customHeight="1" x14ac:dyDescent="0.2">
      <c r="A117" s="3">
        <f t="shared" si="1"/>
        <v>115</v>
      </c>
      <c r="B117" s="3" t="s">
        <v>2398</v>
      </c>
      <c r="C117" s="3" t="s">
        <v>2398</v>
      </c>
      <c r="D117" s="5" t="s">
        <v>2616</v>
      </c>
      <c r="E117" s="5" t="s">
        <v>2399</v>
      </c>
      <c r="F117" s="3">
        <v>0</v>
      </c>
      <c r="G117" s="3">
        <v>0</v>
      </c>
      <c r="H117" s="3">
        <v>0</v>
      </c>
      <c r="I117" s="3">
        <v>50</v>
      </c>
      <c r="J117" s="3">
        <v>3</v>
      </c>
      <c r="K117" s="3">
        <v>0.95</v>
      </c>
      <c r="L117" s="3">
        <v>0</v>
      </c>
      <c r="M117" s="3">
        <v>0</v>
      </c>
      <c r="N117" s="3">
        <v>0</v>
      </c>
      <c r="O117" s="3">
        <v>0</v>
      </c>
      <c r="P117" s="3">
        <v>20</v>
      </c>
      <c r="Q117" s="3">
        <v>20</v>
      </c>
      <c r="R117" s="3">
        <v>20</v>
      </c>
      <c r="S117" s="3">
        <v>0</v>
      </c>
      <c r="T117" s="3">
        <v>0</v>
      </c>
      <c r="U117" s="3">
        <v>0</v>
      </c>
      <c r="V117" s="3">
        <v>-7</v>
      </c>
      <c r="W117" s="3">
        <v>0</v>
      </c>
      <c r="X117" s="3">
        <v>15</v>
      </c>
      <c r="Y117" s="3">
        <v>0</v>
      </c>
      <c r="Z117" s="3">
        <v>0</v>
      </c>
      <c r="AA117" s="3">
        <v>0</v>
      </c>
      <c r="AB117" s="3">
        <v>0</v>
      </c>
      <c r="AC117" s="3">
        <v>0</v>
      </c>
      <c r="AD117" s="3">
        <v>0</v>
      </c>
      <c r="AE117" s="3">
        <v>0</v>
      </c>
      <c r="AF117" s="3">
        <v>0</v>
      </c>
      <c r="AG117" s="3">
        <v>0</v>
      </c>
      <c r="AH117" s="3">
        <v>0</v>
      </c>
      <c r="AI117" s="3">
        <v>0</v>
      </c>
      <c r="AJ117" s="3">
        <v>0</v>
      </c>
      <c r="AK117" s="3">
        <v>0</v>
      </c>
      <c r="AL117" s="3" t="s">
        <v>17</v>
      </c>
      <c r="AM117" s="3" t="s">
        <v>1611</v>
      </c>
      <c r="AN117" s="3" t="s">
        <v>1983</v>
      </c>
      <c r="AO117" s="3" t="s">
        <v>50</v>
      </c>
      <c r="AP117" s="3">
        <v>0</v>
      </c>
      <c r="AQ117" s="3">
        <v>0</v>
      </c>
      <c r="AR117">
        <v>0</v>
      </c>
      <c r="AS117">
        <v>1</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2</v>
      </c>
      <c r="BL117">
        <v>0</v>
      </c>
      <c r="BM117">
        <v>0</v>
      </c>
      <c r="BN117">
        <v>0</v>
      </c>
      <c r="BO117">
        <v>0</v>
      </c>
    </row>
    <row r="118" spans="1:67" ht="15.75" customHeight="1" x14ac:dyDescent="0.2">
      <c r="A118" s="3">
        <f t="shared" si="1"/>
        <v>116</v>
      </c>
      <c r="B118" s="3" t="s">
        <v>2415</v>
      </c>
      <c r="C118" s="3" t="s">
        <v>2415</v>
      </c>
      <c r="D118" s="5" t="s">
        <v>2414</v>
      </c>
      <c r="E118" s="5" t="s">
        <v>2416</v>
      </c>
      <c r="F118" s="3">
        <v>0</v>
      </c>
      <c r="G118" s="3">
        <v>0</v>
      </c>
      <c r="H118" s="3">
        <v>0</v>
      </c>
      <c r="I118" s="3">
        <v>50</v>
      </c>
      <c r="J118" s="3">
        <v>3</v>
      </c>
      <c r="K118" s="3">
        <v>0.95</v>
      </c>
      <c r="L118" s="3">
        <v>0</v>
      </c>
      <c r="M118" s="3">
        <v>0</v>
      </c>
      <c r="N118" s="3">
        <v>0</v>
      </c>
      <c r="O118" s="3">
        <v>0</v>
      </c>
      <c r="P118" s="3">
        <v>40</v>
      </c>
      <c r="Q118" s="3">
        <v>40</v>
      </c>
      <c r="R118" s="3">
        <v>40</v>
      </c>
      <c r="S118" s="3">
        <v>0</v>
      </c>
      <c r="T118" s="3">
        <v>0</v>
      </c>
      <c r="U118" s="3">
        <v>0</v>
      </c>
      <c r="V118" s="3">
        <v>-7</v>
      </c>
      <c r="W118" s="3">
        <v>0</v>
      </c>
      <c r="X118" s="3">
        <v>15</v>
      </c>
      <c r="Y118" s="3">
        <v>0</v>
      </c>
      <c r="Z118" s="3">
        <v>0</v>
      </c>
      <c r="AA118" s="3">
        <v>0</v>
      </c>
      <c r="AB118" s="3">
        <v>0</v>
      </c>
      <c r="AC118" s="3">
        <v>0</v>
      </c>
      <c r="AD118" s="3">
        <v>0</v>
      </c>
      <c r="AE118" s="3">
        <v>0</v>
      </c>
      <c r="AF118" s="3">
        <v>0</v>
      </c>
      <c r="AG118" s="3">
        <v>0</v>
      </c>
      <c r="AH118" s="3">
        <v>0</v>
      </c>
      <c r="AI118" s="3">
        <v>0</v>
      </c>
      <c r="AJ118" s="3">
        <v>0</v>
      </c>
      <c r="AK118" s="3">
        <v>0</v>
      </c>
      <c r="AL118" s="3" t="s">
        <v>17</v>
      </c>
      <c r="AM118" s="3" t="s">
        <v>1611</v>
      </c>
      <c r="AN118" s="3" t="s">
        <v>1983</v>
      </c>
      <c r="AO118" s="3" t="s">
        <v>50</v>
      </c>
      <c r="AP118" s="3">
        <v>0</v>
      </c>
      <c r="AQ118" s="3">
        <v>0</v>
      </c>
      <c r="AR118">
        <v>0</v>
      </c>
      <c r="AS118">
        <v>1</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3</v>
      </c>
      <c r="BL118">
        <v>0</v>
      </c>
      <c r="BM118">
        <v>0</v>
      </c>
      <c r="BN118">
        <v>0</v>
      </c>
      <c r="BO118">
        <v>0</v>
      </c>
    </row>
    <row r="119" spans="1:67" ht="15.75" customHeight="1" x14ac:dyDescent="0.2">
      <c r="A119" s="3">
        <f t="shared" si="1"/>
        <v>117</v>
      </c>
      <c r="B119" s="3" t="s">
        <v>2653</v>
      </c>
      <c r="C119" s="3" t="s">
        <v>2653</v>
      </c>
      <c r="D119" s="5" t="s">
        <v>2652</v>
      </c>
      <c r="E119" s="5" t="s">
        <v>3147</v>
      </c>
      <c r="F119" s="3">
        <v>0</v>
      </c>
      <c r="G119" s="3">
        <v>0</v>
      </c>
      <c r="H119" s="3">
        <v>0</v>
      </c>
      <c r="I119" s="3">
        <v>50</v>
      </c>
      <c r="J119" s="3">
        <v>3</v>
      </c>
      <c r="K119" s="3">
        <v>0.95</v>
      </c>
      <c r="L119" s="3">
        <v>0</v>
      </c>
      <c r="M119" s="3">
        <v>0</v>
      </c>
      <c r="N119" s="3">
        <v>0</v>
      </c>
      <c r="O119" s="3">
        <v>0</v>
      </c>
      <c r="P119" s="3">
        <v>0</v>
      </c>
      <c r="Q119" s="3">
        <v>0</v>
      </c>
      <c r="R119" s="3">
        <v>0</v>
      </c>
      <c r="S119" s="3">
        <v>0</v>
      </c>
      <c r="T119" s="3">
        <v>0</v>
      </c>
      <c r="U119" s="3">
        <v>0</v>
      </c>
      <c r="V119" s="3">
        <v>-7</v>
      </c>
      <c r="W119" s="3">
        <v>0</v>
      </c>
      <c r="X119" s="3">
        <v>15</v>
      </c>
      <c r="Y119" s="3">
        <v>0</v>
      </c>
      <c r="Z119" s="3">
        <v>0</v>
      </c>
      <c r="AA119" s="3">
        <v>0</v>
      </c>
      <c r="AB119" s="3">
        <v>0</v>
      </c>
      <c r="AC119" s="3">
        <v>0</v>
      </c>
      <c r="AD119" s="3">
        <v>0</v>
      </c>
      <c r="AE119" s="3">
        <v>0</v>
      </c>
      <c r="AF119" s="3">
        <v>0</v>
      </c>
      <c r="AG119" s="3">
        <v>0</v>
      </c>
      <c r="AH119" s="3">
        <v>0</v>
      </c>
      <c r="AI119" s="3">
        <v>0</v>
      </c>
      <c r="AJ119" s="3">
        <v>0</v>
      </c>
      <c r="AK119" s="3">
        <v>0</v>
      </c>
      <c r="AL119" s="3" t="s">
        <v>17</v>
      </c>
      <c r="AM119" s="3" t="s">
        <v>1611</v>
      </c>
      <c r="AN119" s="3" t="s">
        <v>2654</v>
      </c>
      <c r="AO119" s="3" t="s">
        <v>50</v>
      </c>
      <c r="AP119" s="3">
        <v>0</v>
      </c>
      <c r="AQ119" s="3">
        <v>0</v>
      </c>
      <c r="AR119">
        <v>0</v>
      </c>
      <c r="AS119">
        <v>1</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row>
    <row r="120" spans="1:67" s="9" customFormat="1" ht="15.75" customHeight="1" x14ac:dyDescent="0.2">
      <c r="A120" s="7">
        <f t="shared" si="1"/>
        <v>118</v>
      </c>
      <c r="B120" s="7" t="s">
        <v>2653</v>
      </c>
      <c r="C120" s="7" t="s">
        <v>3390</v>
      </c>
      <c r="D120" s="8" t="s">
        <v>3388</v>
      </c>
      <c r="E120" s="8" t="s">
        <v>3389</v>
      </c>
      <c r="F120" s="7">
        <v>0</v>
      </c>
      <c r="G120" s="7">
        <v>0</v>
      </c>
      <c r="H120" s="7">
        <v>0</v>
      </c>
      <c r="I120" s="7">
        <v>50</v>
      </c>
      <c r="J120" s="7">
        <v>3</v>
      </c>
      <c r="K120" s="7">
        <v>0.95</v>
      </c>
      <c r="L120" s="7">
        <v>0</v>
      </c>
      <c r="M120" s="7">
        <v>0</v>
      </c>
      <c r="N120" s="7">
        <v>0</v>
      </c>
      <c r="O120" s="7">
        <v>0</v>
      </c>
      <c r="P120" s="7">
        <v>0</v>
      </c>
      <c r="Q120" s="7">
        <v>0</v>
      </c>
      <c r="R120" s="7">
        <v>0</v>
      </c>
      <c r="S120" s="7">
        <v>0</v>
      </c>
      <c r="T120" s="7">
        <v>0</v>
      </c>
      <c r="U120" s="7">
        <v>0</v>
      </c>
      <c r="V120" s="7">
        <v>-7</v>
      </c>
      <c r="W120" s="7">
        <v>0</v>
      </c>
      <c r="X120" s="7">
        <v>15</v>
      </c>
      <c r="Y120" s="7">
        <v>0</v>
      </c>
      <c r="Z120" s="7">
        <v>0</v>
      </c>
      <c r="AA120" s="7">
        <v>0</v>
      </c>
      <c r="AB120" s="7">
        <v>0</v>
      </c>
      <c r="AC120" s="7">
        <v>0</v>
      </c>
      <c r="AD120" s="7">
        <v>0</v>
      </c>
      <c r="AE120" s="7">
        <v>0</v>
      </c>
      <c r="AF120" s="7">
        <v>0</v>
      </c>
      <c r="AG120" s="7">
        <v>0</v>
      </c>
      <c r="AH120" s="7">
        <v>0</v>
      </c>
      <c r="AI120" s="7">
        <v>0</v>
      </c>
      <c r="AJ120" s="7">
        <v>0</v>
      </c>
      <c r="AK120" s="7">
        <v>0</v>
      </c>
      <c r="AL120" s="7" t="s">
        <v>17</v>
      </c>
      <c r="AM120" s="7" t="s">
        <v>1611</v>
      </c>
      <c r="AN120" s="7" t="s">
        <v>2654</v>
      </c>
      <c r="AO120" s="7" t="s">
        <v>50</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1</v>
      </c>
      <c r="BJ120" s="9">
        <v>0</v>
      </c>
      <c r="BK120" s="9">
        <v>3</v>
      </c>
      <c r="BL120" s="9">
        <v>0</v>
      </c>
      <c r="BM120" s="9">
        <v>0</v>
      </c>
      <c r="BN120" s="9">
        <v>0</v>
      </c>
      <c r="BO120" s="9">
        <v>0</v>
      </c>
    </row>
    <row r="121" spans="1:67" ht="15.75" customHeight="1" x14ac:dyDescent="0.2">
      <c r="A121" s="3">
        <f t="shared" si="1"/>
        <v>119</v>
      </c>
      <c r="B121" s="3" t="s">
        <v>1490</v>
      </c>
      <c r="C121" s="3" t="s">
        <v>1490</v>
      </c>
      <c r="D121" s="25" t="s">
        <v>1489</v>
      </c>
      <c r="E121" s="4" t="s">
        <v>1494</v>
      </c>
      <c r="F121" s="3">
        <v>0</v>
      </c>
      <c r="G121" s="3">
        <v>0</v>
      </c>
      <c r="H121" s="3">
        <v>0</v>
      </c>
      <c r="I121" s="3">
        <v>0</v>
      </c>
      <c r="J121" s="3">
        <v>0</v>
      </c>
      <c r="K121" s="3">
        <v>1</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51</v>
      </c>
      <c r="AM121" s="3" t="s">
        <v>1611</v>
      </c>
      <c r="AN121" s="3" t="s">
        <v>2953</v>
      </c>
      <c r="AO121" s="3" t="s">
        <v>1853</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row>
    <row r="122" spans="1:67" ht="15.75" customHeight="1" x14ac:dyDescent="0.2">
      <c r="A122" s="3">
        <f t="shared" si="1"/>
        <v>120</v>
      </c>
      <c r="B122" s="3" t="s">
        <v>2951</v>
      </c>
      <c r="C122" s="3" t="s">
        <v>2951</v>
      </c>
      <c r="D122" s="25" t="s">
        <v>2950</v>
      </c>
      <c r="E122" s="4" t="s">
        <v>2952</v>
      </c>
      <c r="F122" s="3">
        <v>0</v>
      </c>
      <c r="G122" s="3">
        <v>0</v>
      </c>
      <c r="H122" s="3">
        <v>0</v>
      </c>
      <c r="I122" s="3">
        <v>0</v>
      </c>
      <c r="J122" s="3">
        <v>0</v>
      </c>
      <c r="K122" s="3">
        <v>1</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1611</v>
      </c>
      <c r="AN122" s="3" t="s">
        <v>2959</v>
      </c>
      <c r="AO122" s="3" t="s">
        <v>50</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row>
    <row r="123" spans="1:67" ht="15.75" customHeight="1" x14ac:dyDescent="0.2">
      <c r="A123" s="3">
        <f t="shared" si="1"/>
        <v>121</v>
      </c>
      <c r="B123" s="3" t="s">
        <v>1491</v>
      </c>
      <c r="C123" s="3" t="s">
        <v>1491</v>
      </c>
      <c r="D123" s="25" t="s">
        <v>1492</v>
      </c>
      <c r="E123" s="4" t="s">
        <v>1493</v>
      </c>
      <c r="F123" s="3">
        <v>0</v>
      </c>
      <c r="G123" s="3">
        <v>0</v>
      </c>
      <c r="H123" s="3">
        <v>0</v>
      </c>
      <c r="I123" s="3">
        <v>0</v>
      </c>
      <c r="J123" s="3">
        <v>0</v>
      </c>
      <c r="K123" s="3">
        <v>1</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1611</v>
      </c>
      <c r="AN123" s="3" t="s">
        <v>2953</v>
      </c>
      <c r="AO123" s="3" t="s">
        <v>1853</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row>
    <row r="124" spans="1:67" ht="15.75" customHeight="1" x14ac:dyDescent="0.2">
      <c r="A124" s="3">
        <f t="shared" si="1"/>
        <v>122</v>
      </c>
      <c r="B124" s="3" t="s">
        <v>612</v>
      </c>
      <c r="C124" s="3" t="s">
        <v>612</v>
      </c>
      <c r="D124" s="5" t="s">
        <v>611</v>
      </c>
      <c r="E124" s="5" t="s">
        <v>613</v>
      </c>
      <c r="F124" s="3">
        <v>0</v>
      </c>
      <c r="G124" s="3">
        <v>0</v>
      </c>
      <c r="H124" s="3">
        <v>0</v>
      </c>
      <c r="I124" s="3">
        <v>50</v>
      </c>
      <c r="J124" s="3">
        <v>3</v>
      </c>
      <c r="K124" s="3">
        <v>0.95</v>
      </c>
      <c r="L124" s="3">
        <v>0</v>
      </c>
      <c r="M124" s="3">
        <v>0</v>
      </c>
      <c r="N124" s="3">
        <v>12</v>
      </c>
      <c r="O124" s="3">
        <v>12</v>
      </c>
      <c r="P124" s="3">
        <v>0</v>
      </c>
      <c r="Q124" s="3">
        <v>0</v>
      </c>
      <c r="R124" s="3">
        <v>0</v>
      </c>
      <c r="S124" s="3">
        <v>0</v>
      </c>
      <c r="T124" s="3">
        <v>0</v>
      </c>
      <c r="U124" s="3">
        <v>0</v>
      </c>
      <c r="V124" s="3">
        <v>-3</v>
      </c>
      <c r="W124" s="3">
        <v>-3</v>
      </c>
      <c r="X124" s="3">
        <v>1</v>
      </c>
      <c r="Y124" s="3">
        <v>0</v>
      </c>
      <c r="Z124" s="3">
        <v>20</v>
      </c>
      <c r="AA124" s="3">
        <v>0</v>
      </c>
      <c r="AB124" s="3">
        <v>0</v>
      </c>
      <c r="AC124" s="3">
        <v>0</v>
      </c>
      <c r="AD124" s="3">
        <v>0</v>
      </c>
      <c r="AE124" s="3">
        <v>0</v>
      </c>
      <c r="AF124" s="3">
        <v>0</v>
      </c>
      <c r="AG124" s="3">
        <v>0</v>
      </c>
      <c r="AH124" s="3">
        <v>0</v>
      </c>
      <c r="AI124" s="3">
        <v>0</v>
      </c>
      <c r="AJ124" s="3">
        <v>0</v>
      </c>
      <c r="AK124" s="3">
        <v>0</v>
      </c>
      <c r="AL124" s="3" t="s">
        <v>17</v>
      </c>
      <c r="AM124" s="3" t="s">
        <v>3357</v>
      </c>
      <c r="AN124" s="3" t="s">
        <v>1984</v>
      </c>
      <c r="AO124" s="3" t="s">
        <v>1853</v>
      </c>
      <c r="AP124" s="3">
        <v>0</v>
      </c>
      <c r="AQ124" s="3">
        <v>0</v>
      </c>
      <c r="AR124">
        <v>0</v>
      </c>
      <c r="AS124">
        <v>2</v>
      </c>
      <c r="AT124" s="6" t="s">
        <v>873</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row>
    <row r="125" spans="1:67" ht="15.75" customHeight="1" x14ac:dyDescent="0.2">
      <c r="A125" s="3">
        <f t="shared" si="1"/>
        <v>123</v>
      </c>
      <c r="B125" s="3" t="s">
        <v>2421</v>
      </c>
      <c r="C125" s="3" t="s">
        <v>2421</v>
      </c>
      <c r="D125" s="5" t="s">
        <v>2420</v>
      </c>
      <c r="E125" s="5" t="s">
        <v>2422</v>
      </c>
      <c r="F125" s="3">
        <v>0</v>
      </c>
      <c r="G125" s="3">
        <v>0</v>
      </c>
      <c r="H125" s="3">
        <v>0</v>
      </c>
      <c r="I125" s="3">
        <v>50</v>
      </c>
      <c r="J125" s="3">
        <v>3</v>
      </c>
      <c r="K125" s="3">
        <v>0.95</v>
      </c>
      <c r="L125" s="3">
        <v>0</v>
      </c>
      <c r="M125" s="3">
        <v>0</v>
      </c>
      <c r="N125" s="3">
        <v>15</v>
      </c>
      <c r="O125" s="3">
        <v>15</v>
      </c>
      <c r="P125" s="3">
        <v>0</v>
      </c>
      <c r="Q125" s="3">
        <v>0</v>
      </c>
      <c r="R125" s="3">
        <v>0</v>
      </c>
      <c r="S125" s="3">
        <v>0</v>
      </c>
      <c r="T125" s="3">
        <v>0</v>
      </c>
      <c r="U125" s="3">
        <v>0</v>
      </c>
      <c r="V125" s="3">
        <v>-3</v>
      </c>
      <c r="W125" s="3">
        <v>-3</v>
      </c>
      <c r="X125" s="3">
        <v>1</v>
      </c>
      <c r="Y125" s="3">
        <v>0</v>
      </c>
      <c r="Z125" s="3">
        <v>20</v>
      </c>
      <c r="AA125" s="3">
        <v>0</v>
      </c>
      <c r="AB125" s="3">
        <v>0</v>
      </c>
      <c r="AC125" s="3">
        <v>0</v>
      </c>
      <c r="AD125" s="3">
        <v>0</v>
      </c>
      <c r="AE125" s="3">
        <v>0</v>
      </c>
      <c r="AF125" s="3">
        <v>0</v>
      </c>
      <c r="AG125" s="3">
        <v>0</v>
      </c>
      <c r="AH125" s="3">
        <v>0</v>
      </c>
      <c r="AI125" s="3">
        <v>0</v>
      </c>
      <c r="AJ125" s="3">
        <v>0</v>
      </c>
      <c r="AK125" s="3">
        <v>0</v>
      </c>
      <c r="AL125" s="3" t="s">
        <v>17</v>
      </c>
      <c r="AM125" s="3" t="s">
        <v>3357</v>
      </c>
      <c r="AN125" s="3" t="s">
        <v>1984</v>
      </c>
      <c r="AO125" s="3" t="s">
        <v>50</v>
      </c>
      <c r="AP125" s="3">
        <v>0</v>
      </c>
      <c r="AQ125" s="3">
        <v>0</v>
      </c>
      <c r="AR125">
        <v>0</v>
      </c>
      <c r="AS125">
        <v>2</v>
      </c>
      <c r="AT125" s="6" t="s">
        <v>2530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row>
    <row r="126" spans="1:67" ht="15.75" customHeight="1" x14ac:dyDescent="0.2">
      <c r="A126" s="3">
        <f t="shared" si="1"/>
        <v>124</v>
      </c>
      <c r="B126" s="3" t="s">
        <v>2615</v>
      </c>
      <c r="C126" s="3" t="s">
        <v>2615</v>
      </c>
      <c r="D126" s="5" t="s">
        <v>2614</v>
      </c>
      <c r="E126" s="5" t="s">
        <v>2656</v>
      </c>
      <c r="F126" s="3">
        <v>0</v>
      </c>
      <c r="G126" s="3">
        <v>0</v>
      </c>
      <c r="H126" s="3">
        <v>0</v>
      </c>
      <c r="I126" s="3">
        <v>50</v>
      </c>
      <c r="J126" s="3">
        <v>3</v>
      </c>
      <c r="K126" s="3">
        <v>0.95</v>
      </c>
      <c r="L126" s="3">
        <v>0</v>
      </c>
      <c r="M126" s="3">
        <v>6</v>
      </c>
      <c r="N126" s="3">
        <v>20</v>
      </c>
      <c r="O126" s="3">
        <v>0</v>
      </c>
      <c r="P126" s="3">
        <v>0</v>
      </c>
      <c r="Q126" s="3">
        <v>0</v>
      </c>
      <c r="R126" s="3">
        <v>0</v>
      </c>
      <c r="S126" s="3">
        <v>0</v>
      </c>
      <c r="T126" s="3">
        <v>0</v>
      </c>
      <c r="U126" s="3">
        <v>0</v>
      </c>
      <c r="V126" s="3">
        <v>-3</v>
      </c>
      <c r="W126" s="3">
        <v>-3</v>
      </c>
      <c r="X126" s="3">
        <v>1</v>
      </c>
      <c r="Y126" s="3">
        <v>0</v>
      </c>
      <c r="Z126" s="3">
        <v>20</v>
      </c>
      <c r="AA126" s="3">
        <v>0</v>
      </c>
      <c r="AB126" s="3">
        <v>0</v>
      </c>
      <c r="AC126" s="3">
        <v>0</v>
      </c>
      <c r="AD126" s="3">
        <v>0</v>
      </c>
      <c r="AE126" s="3">
        <v>0</v>
      </c>
      <c r="AF126" s="3">
        <v>0</v>
      </c>
      <c r="AG126" s="3">
        <v>0</v>
      </c>
      <c r="AH126" s="3">
        <v>0</v>
      </c>
      <c r="AI126" s="3">
        <v>0</v>
      </c>
      <c r="AJ126" s="3">
        <v>0</v>
      </c>
      <c r="AK126" s="3">
        <v>0</v>
      </c>
      <c r="AL126" s="3" t="s">
        <v>17</v>
      </c>
      <c r="AM126" s="3" t="s">
        <v>3357</v>
      </c>
      <c r="AN126" s="3" t="s">
        <v>1984</v>
      </c>
      <c r="AO126" s="3" t="s">
        <v>50</v>
      </c>
      <c r="AP126" s="3">
        <v>0</v>
      </c>
      <c r="AQ126" s="3">
        <v>0</v>
      </c>
      <c r="AR126">
        <v>0</v>
      </c>
      <c r="AS126">
        <v>2</v>
      </c>
      <c r="AT126" s="6" t="s">
        <v>3540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row>
    <row r="127" spans="1:67" ht="15.75" customHeight="1" x14ac:dyDescent="0.2">
      <c r="A127" s="3">
        <f t="shared" si="1"/>
        <v>125</v>
      </c>
      <c r="B127" s="3" t="s">
        <v>1472</v>
      </c>
      <c r="C127" s="3" t="s">
        <v>1454</v>
      </c>
      <c r="D127" s="5" t="s">
        <v>1451</v>
      </c>
      <c r="E127" s="5" t="s">
        <v>1452</v>
      </c>
      <c r="F127" s="3">
        <v>0</v>
      </c>
      <c r="G127" s="3">
        <v>0</v>
      </c>
      <c r="H127" s="3">
        <v>0</v>
      </c>
      <c r="I127" s="3">
        <v>50</v>
      </c>
      <c r="J127" s="3">
        <v>3</v>
      </c>
      <c r="K127" s="3">
        <v>0.95</v>
      </c>
      <c r="L127" s="3">
        <v>0</v>
      </c>
      <c r="M127" s="3">
        <v>10</v>
      </c>
      <c r="N127" s="3">
        <v>21</v>
      </c>
      <c r="O127" s="3">
        <v>5</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17</v>
      </c>
      <c r="AM127" s="3" t="s">
        <v>3357</v>
      </c>
      <c r="AN127" s="3" t="s">
        <v>1985</v>
      </c>
      <c r="AO127" s="3" t="s">
        <v>1853</v>
      </c>
      <c r="AP127" s="3">
        <v>0</v>
      </c>
      <c r="AQ127" s="3">
        <v>0</v>
      </c>
      <c r="AR127">
        <v>0</v>
      </c>
      <c r="AS127">
        <v>2</v>
      </c>
      <c r="AT127" s="6" t="s">
        <v>1453</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row>
    <row r="128" spans="1:67" ht="15.75" customHeight="1" x14ac:dyDescent="0.2">
      <c r="A128" s="3">
        <f t="shared" si="1"/>
        <v>126</v>
      </c>
      <c r="B128" s="3" t="s">
        <v>2566</v>
      </c>
      <c r="C128" s="3" t="s">
        <v>2433</v>
      </c>
      <c r="D128" s="5" t="s">
        <v>2432</v>
      </c>
      <c r="E128" s="5" t="s">
        <v>2440</v>
      </c>
      <c r="F128" s="3">
        <v>0</v>
      </c>
      <c r="G128" s="3">
        <v>0</v>
      </c>
      <c r="H128" s="3">
        <v>0</v>
      </c>
      <c r="I128" s="3">
        <v>50</v>
      </c>
      <c r="J128" s="3">
        <v>3</v>
      </c>
      <c r="K128" s="3">
        <v>0.95</v>
      </c>
      <c r="L128" s="3">
        <v>0</v>
      </c>
      <c r="M128" s="3">
        <v>10</v>
      </c>
      <c r="N128" s="3">
        <v>5</v>
      </c>
      <c r="O128" s="3">
        <v>21</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17</v>
      </c>
      <c r="AM128" s="3" t="s">
        <v>3357</v>
      </c>
      <c r="AN128" s="3" t="s">
        <v>1985</v>
      </c>
      <c r="AO128" s="3" t="s">
        <v>50</v>
      </c>
      <c r="AP128" s="3">
        <v>0</v>
      </c>
      <c r="AQ128" s="3">
        <v>0</v>
      </c>
      <c r="AR128">
        <v>0</v>
      </c>
      <c r="AS128">
        <v>2</v>
      </c>
      <c r="AT128" s="6" t="s">
        <v>2531</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row>
    <row r="129" spans="1:67" ht="15.75" customHeight="1" x14ac:dyDescent="0.2">
      <c r="A129" s="3">
        <f t="shared" si="1"/>
        <v>127</v>
      </c>
      <c r="B129" s="3" t="s">
        <v>2867</v>
      </c>
      <c r="C129" s="3" t="s">
        <v>2867</v>
      </c>
      <c r="D129" s="5" t="s">
        <v>2866</v>
      </c>
      <c r="E129" s="5" t="s">
        <v>2868</v>
      </c>
      <c r="F129" s="3">
        <v>0</v>
      </c>
      <c r="G129" s="3">
        <v>0</v>
      </c>
      <c r="H129" s="3">
        <v>0</v>
      </c>
      <c r="I129" s="3">
        <v>50</v>
      </c>
      <c r="J129" s="3">
        <v>3</v>
      </c>
      <c r="K129" s="3">
        <v>0.95</v>
      </c>
      <c r="L129" s="3">
        <v>0</v>
      </c>
      <c r="M129" s="3">
        <v>5</v>
      </c>
      <c r="N129" s="3">
        <v>0</v>
      </c>
      <c r="O129" s="3">
        <v>0</v>
      </c>
      <c r="P129" s="3">
        <v>8</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17</v>
      </c>
      <c r="AM129" s="3" t="s">
        <v>3358</v>
      </c>
      <c r="AN129" s="3" t="s">
        <v>2898</v>
      </c>
      <c r="AO129" s="3" t="s">
        <v>50</v>
      </c>
      <c r="AP129" s="3">
        <v>0</v>
      </c>
      <c r="AQ129" s="3">
        <v>0</v>
      </c>
      <c r="AR129">
        <v>0</v>
      </c>
      <c r="AS129">
        <v>2</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row>
    <row r="130" spans="1:67" ht="15.75" customHeight="1" x14ac:dyDescent="0.2">
      <c r="A130" s="3">
        <f t="shared" si="1"/>
        <v>128</v>
      </c>
      <c r="B130" s="3" t="s">
        <v>2867</v>
      </c>
      <c r="C130" s="3" t="s">
        <v>3541</v>
      </c>
      <c r="D130" s="5" t="s">
        <v>3542</v>
      </c>
      <c r="E130" s="5" t="s">
        <v>3543</v>
      </c>
      <c r="F130" s="3">
        <v>0</v>
      </c>
      <c r="G130" s="3">
        <v>0</v>
      </c>
      <c r="H130" s="3">
        <v>0</v>
      </c>
      <c r="I130" s="3">
        <v>50</v>
      </c>
      <c r="J130" s="3">
        <v>3</v>
      </c>
      <c r="K130" s="3">
        <v>0.95</v>
      </c>
      <c r="L130" s="3">
        <v>0</v>
      </c>
      <c r="M130" s="3">
        <v>5</v>
      </c>
      <c r="N130" s="3">
        <v>0</v>
      </c>
      <c r="O130" s="3">
        <v>0</v>
      </c>
      <c r="P130" s="3">
        <v>8</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17</v>
      </c>
      <c r="AM130" s="3" t="s">
        <v>3358</v>
      </c>
      <c r="AN130" s="3" t="s">
        <v>2898</v>
      </c>
      <c r="AO130" s="3" t="s">
        <v>50</v>
      </c>
      <c r="AP130" s="3">
        <v>0</v>
      </c>
      <c r="AQ130" s="3">
        <v>0</v>
      </c>
      <c r="AR130">
        <v>0</v>
      </c>
      <c r="AS130">
        <v>2</v>
      </c>
      <c r="AT130" s="6" t="s">
        <v>2531</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row>
    <row r="131" spans="1:67" ht="15.75" customHeight="1" x14ac:dyDescent="0.2">
      <c r="A131" s="3">
        <f t="shared" si="1"/>
        <v>129</v>
      </c>
      <c r="B131" s="3" t="s">
        <v>3432</v>
      </c>
      <c r="C131" s="3" t="s">
        <v>3432</v>
      </c>
      <c r="D131" s="5" t="s">
        <v>3433</v>
      </c>
      <c r="E131" s="5" t="s">
        <v>3434</v>
      </c>
      <c r="F131" s="3">
        <v>0</v>
      </c>
      <c r="G131" s="3">
        <v>0</v>
      </c>
      <c r="H131" s="3">
        <v>0</v>
      </c>
      <c r="I131" s="3">
        <v>50</v>
      </c>
      <c r="J131" s="3">
        <v>3</v>
      </c>
      <c r="K131" s="3">
        <v>0.95</v>
      </c>
      <c r="L131" s="3">
        <v>0</v>
      </c>
      <c r="M131" s="3">
        <v>10</v>
      </c>
      <c r="N131" s="3">
        <v>0</v>
      </c>
      <c r="O131" s="3">
        <v>0</v>
      </c>
      <c r="P131" s="3">
        <v>12</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17</v>
      </c>
      <c r="AM131" s="3" t="s">
        <v>3358</v>
      </c>
      <c r="AN131" s="3" t="s">
        <v>2898</v>
      </c>
      <c r="AO131" s="3" t="s">
        <v>50</v>
      </c>
      <c r="AP131" s="3">
        <v>0</v>
      </c>
      <c r="AQ131" s="3">
        <v>0</v>
      </c>
      <c r="AR131">
        <v>0</v>
      </c>
      <c r="AS131">
        <v>2</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row>
    <row r="132" spans="1:67" ht="15.75" customHeight="1" x14ac:dyDescent="0.2">
      <c r="A132" s="3">
        <f t="shared" si="1"/>
        <v>130</v>
      </c>
      <c r="B132" s="3" t="s">
        <v>3436</v>
      </c>
      <c r="C132" s="3" t="s">
        <v>3436</v>
      </c>
      <c r="D132" s="5" t="s">
        <v>3435</v>
      </c>
      <c r="E132" s="5" t="s">
        <v>3437</v>
      </c>
      <c r="F132" s="3">
        <v>0</v>
      </c>
      <c r="G132" s="3">
        <v>0</v>
      </c>
      <c r="H132" s="3">
        <v>0</v>
      </c>
      <c r="I132" s="3">
        <v>50</v>
      </c>
      <c r="J132" s="3">
        <v>3</v>
      </c>
      <c r="K132" s="3">
        <v>0.95</v>
      </c>
      <c r="L132" s="3">
        <v>0</v>
      </c>
      <c r="M132" s="3">
        <v>7</v>
      </c>
      <c r="N132" s="3">
        <v>0</v>
      </c>
      <c r="O132" s="3">
        <v>0</v>
      </c>
      <c r="P132" s="3">
        <v>15</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17</v>
      </c>
      <c r="AM132" s="3" t="s">
        <v>3358</v>
      </c>
      <c r="AN132" s="3" t="s">
        <v>2898</v>
      </c>
      <c r="AO132" s="3" t="s">
        <v>50</v>
      </c>
      <c r="AP132" s="3">
        <v>0</v>
      </c>
      <c r="AQ132" s="3">
        <v>0</v>
      </c>
      <c r="AR132">
        <v>0</v>
      </c>
      <c r="AS132">
        <v>2</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row>
    <row r="133" spans="1:67" ht="15.75" customHeight="1" x14ac:dyDescent="0.2">
      <c r="A133" s="3">
        <f t="shared" ref="A133:A196" si="2">ROW()-2</f>
        <v>131</v>
      </c>
      <c r="B133" s="3" t="s">
        <v>2871</v>
      </c>
      <c r="C133" s="3" t="s">
        <v>2871</v>
      </c>
      <c r="D133" s="5" t="s">
        <v>2869</v>
      </c>
      <c r="E133" s="5" t="s">
        <v>2870</v>
      </c>
      <c r="F133" s="3">
        <v>0</v>
      </c>
      <c r="G133" s="3">
        <v>0</v>
      </c>
      <c r="H133" s="3">
        <v>0</v>
      </c>
      <c r="I133" s="3">
        <v>50</v>
      </c>
      <c r="J133" s="3">
        <v>3</v>
      </c>
      <c r="K133" s="3">
        <v>0.95</v>
      </c>
      <c r="L133" s="3">
        <v>0</v>
      </c>
      <c r="M133" s="3">
        <v>10</v>
      </c>
      <c r="N133" s="3">
        <v>0</v>
      </c>
      <c r="O133" s="3">
        <v>0</v>
      </c>
      <c r="P133" s="3">
        <v>12</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17</v>
      </c>
      <c r="AM133" s="3" t="s">
        <v>3358</v>
      </c>
      <c r="AN133" s="3" t="s">
        <v>3431</v>
      </c>
      <c r="AO133" s="3" t="s">
        <v>50</v>
      </c>
      <c r="AP133" s="3">
        <v>0</v>
      </c>
      <c r="AQ133" s="3">
        <v>0</v>
      </c>
      <c r="AR133">
        <v>0</v>
      </c>
      <c r="AS133">
        <v>2</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row>
    <row r="134" spans="1:67" ht="15.75" customHeight="1" x14ac:dyDescent="0.2">
      <c r="A134" s="3">
        <f t="shared" si="2"/>
        <v>132</v>
      </c>
      <c r="B134" s="3" t="s">
        <v>744</v>
      </c>
      <c r="C134" s="3" t="s">
        <v>744</v>
      </c>
      <c r="D134" s="25" t="s">
        <v>745</v>
      </c>
      <c r="E134" s="4" t="s">
        <v>978</v>
      </c>
      <c r="F134" s="3">
        <v>0</v>
      </c>
      <c r="G134" s="3">
        <v>0</v>
      </c>
      <c r="H134" s="3">
        <v>0</v>
      </c>
      <c r="I134" s="3">
        <v>50</v>
      </c>
      <c r="J134" s="3">
        <v>10</v>
      </c>
      <c r="K134" s="3">
        <v>0.95</v>
      </c>
      <c r="L134" s="3">
        <v>0</v>
      </c>
      <c r="M134" s="3">
        <v>3</v>
      </c>
      <c r="N134" s="3">
        <v>15</v>
      </c>
      <c r="O134" s="3">
        <v>0</v>
      </c>
      <c r="P134" s="3">
        <v>0</v>
      </c>
      <c r="Q134" s="3">
        <v>0</v>
      </c>
      <c r="R134" s="3">
        <v>0</v>
      </c>
      <c r="S134" s="3">
        <v>0</v>
      </c>
      <c r="T134" s="3">
        <v>0</v>
      </c>
      <c r="U134" s="3">
        <v>0</v>
      </c>
      <c r="V134" s="3">
        <v>-3</v>
      </c>
      <c r="W134" s="3">
        <v>-5</v>
      </c>
      <c r="X134" s="3">
        <v>0</v>
      </c>
      <c r="Y134" s="3">
        <v>0</v>
      </c>
      <c r="Z134" s="3">
        <v>10</v>
      </c>
      <c r="AA134" s="3">
        <v>10</v>
      </c>
      <c r="AB134" s="3">
        <v>0</v>
      </c>
      <c r="AC134" s="3">
        <v>0</v>
      </c>
      <c r="AD134" s="3">
        <v>0</v>
      </c>
      <c r="AE134" s="3">
        <v>5</v>
      </c>
      <c r="AF134" s="3">
        <v>0</v>
      </c>
      <c r="AG134" s="3">
        <v>0</v>
      </c>
      <c r="AH134" s="3">
        <v>0</v>
      </c>
      <c r="AI134" s="3">
        <v>0</v>
      </c>
      <c r="AJ134" s="3">
        <v>0</v>
      </c>
      <c r="AK134" s="3">
        <v>0</v>
      </c>
      <c r="AL134" s="3" t="s">
        <v>17</v>
      </c>
      <c r="AM134" s="3" t="s">
        <v>3357</v>
      </c>
      <c r="AN134" s="3" t="s">
        <v>1986</v>
      </c>
      <c r="AO134" s="3" t="s">
        <v>50</v>
      </c>
      <c r="AP134" s="3">
        <v>0</v>
      </c>
      <c r="AQ134" s="3">
        <v>0</v>
      </c>
      <c r="AR134">
        <v>0</v>
      </c>
      <c r="AS134">
        <v>3</v>
      </c>
      <c r="AT134" s="6" t="s">
        <v>938</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row>
    <row r="135" spans="1:67" s="9" customFormat="1" ht="15.75" customHeight="1" x14ac:dyDescent="0.2">
      <c r="A135" s="7">
        <f t="shared" si="2"/>
        <v>133</v>
      </c>
      <c r="B135" s="7" t="s">
        <v>977</v>
      </c>
      <c r="C135" s="7" t="s">
        <v>977</v>
      </c>
      <c r="D135" s="8" t="s">
        <v>976</v>
      </c>
      <c r="E135" s="8" t="s">
        <v>975</v>
      </c>
      <c r="F135" s="7">
        <v>0</v>
      </c>
      <c r="G135" s="7">
        <v>0</v>
      </c>
      <c r="H135" s="7">
        <v>0</v>
      </c>
      <c r="I135" s="7">
        <v>50</v>
      </c>
      <c r="J135" s="7">
        <v>3</v>
      </c>
      <c r="K135" s="7">
        <v>0.95</v>
      </c>
      <c r="L135" s="7">
        <v>0</v>
      </c>
      <c r="M135" s="7">
        <v>0</v>
      </c>
      <c r="N135" s="7">
        <v>0</v>
      </c>
      <c r="O135" s="7">
        <v>0</v>
      </c>
      <c r="P135" s="7">
        <v>0</v>
      </c>
      <c r="Q135" s="7">
        <v>0</v>
      </c>
      <c r="R135" s="7">
        <v>0</v>
      </c>
      <c r="S135" s="7">
        <v>0</v>
      </c>
      <c r="T135" s="7">
        <v>0</v>
      </c>
      <c r="U135" s="7">
        <v>0</v>
      </c>
      <c r="V135" s="7">
        <v>0</v>
      </c>
      <c r="W135" s="7">
        <v>0</v>
      </c>
      <c r="X135" s="7">
        <v>0</v>
      </c>
      <c r="Y135" s="7">
        <v>0</v>
      </c>
      <c r="Z135" s="7">
        <v>0</v>
      </c>
      <c r="AA135" s="7">
        <v>0</v>
      </c>
      <c r="AB135" s="7">
        <v>0</v>
      </c>
      <c r="AC135" s="7">
        <v>0</v>
      </c>
      <c r="AD135" s="7">
        <v>0</v>
      </c>
      <c r="AE135" s="7">
        <v>0</v>
      </c>
      <c r="AF135" s="7">
        <v>0</v>
      </c>
      <c r="AG135" s="7">
        <v>0</v>
      </c>
      <c r="AH135" s="7">
        <v>0</v>
      </c>
      <c r="AI135" s="7">
        <v>0</v>
      </c>
      <c r="AJ135" s="7">
        <v>0</v>
      </c>
      <c r="AK135" s="7">
        <v>0</v>
      </c>
      <c r="AL135" s="7" t="s">
        <v>17</v>
      </c>
      <c r="AM135" s="7" t="s">
        <v>974</v>
      </c>
      <c r="AN135" s="7" t="s">
        <v>974</v>
      </c>
      <c r="AO135" s="7" t="s">
        <v>1853</v>
      </c>
      <c r="AP135" s="7">
        <v>0</v>
      </c>
      <c r="AQ135" s="7">
        <v>0</v>
      </c>
      <c r="AR135" s="9">
        <v>0</v>
      </c>
      <c r="AS135" s="9">
        <v>7</v>
      </c>
      <c r="AT135" s="10" t="s">
        <v>50</v>
      </c>
      <c r="AU135" s="10" t="s">
        <v>50</v>
      </c>
      <c r="AV135" s="10" t="s">
        <v>50</v>
      </c>
      <c r="AW135" s="10" t="s">
        <v>50</v>
      </c>
      <c r="AX135" s="10" t="s">
        <v>50</v>
      </c>
      <c r="AY135" s="10" t="s">
        <v>50</v>
      </c>
      <c r="AZ135" s="10" t="s">
        <v>50</v>
      </c>
      <c r="BA135" s="10" t="s">
        <v>50</v>
      </c>
      <c r="BB135" s="10" t="s">
        <v>50</v>
      </c>
      <c r="BC135" s="10" t="s">
        <v>50</v>
      </c>
      <c r="BD135" s="10" t="s">
        <v>50</v>
      </c>
      <c r="BE135" s="10" t="s">
        <v>50</v>
      </c>
      <c r="BF135" s="10" t="s">
        <v>50</v>
      </c>
      <c r="BG135" s="10" t="s">
        <v>50</v>
      </c>
      <c r="BH135" s="10" t="s">
        <v>50</v>
      </c>
      <c r="BI135" s="9">
        <v>0</v>
      </c>
      <c r="BJ135" s="9">
        <v>0</v>
      </c>
      <c r="BK135" s="9">
        <v>1</v>
      </c>
      <c r="BL135" s="9">
        <v>0</v>
      </c>
      <c r="BM135" s="9">
        <v>0</v>
      </c>
      <c r="BN135" s="9">
        <v>0</v>
      </c>
      <c r="BO135" s="9">
        <v>0</v>
      </c>
    </row>
    <row r="136" spans="1:67" ht="15.75" customHeight="1" x14ac:dyDescent="0.2">
      <c r="A136" s="3">
        <f t="shared" si="2"/>
        <v>134</v>
      </c>
      <c r="B136" s="3" t="s">
        <v>829</v>
      </c>
      <c r="C136" s="3" t="s">
        <v>619</v>
      </c>
      <c r="D136" s="5" t="s">
        <v>618</v>
      </c>
      <c r="E136" s="5" t="s">
        <v>620</v>
      </c>
      <c r="F136" s="3">
        <v>0</v>
      </c>
      <c r="G136" s="3">
        <v>0</v>
      </c>
      <c r="H136" s="3">
        <v>0</v>
      </c>
      <c r="I136" s="3">
        <v>50</v>
      </c>
      <c r="J136" s="3">
        <v>3</v>
      </c>
      <c r="K136" s="3">
        <v>0.95</v>
      </c>
      <c r="L136" s="3">
        <v>0</v>
      </c>
      <c r="M136" s="3">
        <v>1</v>
      </c>
      <c r="N136" s="3">
        <v>0</v>
      </c>
      <c r="O136" s="3">
        <v>0</v>
      </c>
      <c r="P136" s="3">
        <v>0</v>
      </c>
      <c r="Q136" s="3">
        <v>0</v>
      </c>
      <c r="R136" s="3">
        <v>0</v>
      </c>
      <c r="S136" s="3">
        <v>0</v>
      </c>
      <c r="T136" s="3">
        <v>0</v>
      </c>
      <c r="U136" s="3">
        <v>0</v>
      </c>
      <c r="V136" s="3">
        <v>0</v>
      </c>
      <c r="W136" s="3">
        <v>0</v>
      </c>
      <c r="X136" s="3">
        <v>0</v>
      </c>
      <c r="Y136" s="3">
        <v>0</v>
      </c>
      <c r="Z136" s="3">
        <v>10</v>
      </c>
      <c r="AA136" s="3">
        <v>0</v>
      </c>
      <c r="AB136" s="3">
        <v>0</v>
      </c>
      <c r="AC136" s="3">
        <v>0</v>
      </c>
      <c r="AD136" s="3">
        <v>0</v>
      </c>
      <c r="AE136" s="3">
        <v>0</v>
      </c>
      <c r="AF136" s="3">
        <v>0</v>
      </c>
      <c r="AG136" s="3">
        <v>0</v>
      </c>
      <c r="AH136" s="3">
        <v>0</v>
      </c>
      <c r="AI136" s="3">
        <v>0</v>
      </c>
      <c r="AJ136" s="3">
        <v>0</v>
      </c>
      <c r="AK136" s="3">
        <v>0</v>
      </c>
      <c r="AL136" s="3" t="s">
        <v>17</v>
      </c>
      <c r="AM136" s="3" t="s">
        <v>974</v>
      </c>
      <c r="AN136" s="3" t="s">
        <v>1987</v>
      </c>
      <c r="AO136" s="3" t="s">
        <v>1853</v>
      </c>
      <c r="AP136" s="3">
        <v>0</v>
      </c>
      <c r="AQ136" s="3">
        <v>0</v>
      </c>
      <c r="AR136">
        <v>0</v>
      </c>
      <c r="AS136">
        <v>1</v>
      </c>
      <c r="AT136" s="6" t="s">
        <v>874</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row>
    <row r="137" spans="1:67" ht="15.75" customHeight="1" x14ac:dyDescent="0.2">
      <c r="A137" s="3">
        <f t="shared" si="2"/>
        <v>135</v>
      </c>
      <c r="B137" s="3" t="s">
        <v>828</v>
      </c>
      <c r="C137" s="3" t="s">
        <v>823</v>
      </c>
      <c r="D137" s="5" t="s">
        <v>824</v>
      </c>
      <c r="E137" s="5" t="s">
        <v>825</v>
      </c>
      <c r="F137" s="3">
        <v>0</v>
      </c>
      <c r="G137" s="3">
        <v>0</v>
      </c>
      <c r="H137" s="3">
        <v>0</v>
      </c>
      <c r="I137" s="3">
        <v>50</v>
      </c>
      <c r="J137" s="3">
        <v>3</v>
      </c>
      <c r="K137" s="3">
        <v>0.95</v>
      </c>
      <c r="L137" s="3">
        <v>0</v>
      </c>
      <c r="M137" s="3">
        <v>0</v>
      </c>
      <c r="N137" s="3">
        <v>3</v>
      </c>
      <c r="O137" s="3">
        <v>0</v>
      </c>
      <c r="P137" s="3">
        <v>0</v>
      </c>
      <c r="Q137" s="3">
        <v>0</v>
      </c>
      <c r="R137" s="3">
        <v>0</v>
      </c>
      <c r="S137" s="3">
        <v>0</v>
      </c>
      <c r="T137" s="3">
        <v>0</v>
      </c>
      <c r="U137" s="3">
        <v>0</v>
      </c>
      <c r="V137" s="3">
        <v>0</v>
      </c>
      <c r="W137" s="3">
        <v>0</v>
      </c>
      <c r="X137" s="3">
        <v>0</v>
      </c>
      <c r="Y137" s="3">
        <v>5</v>
      </c>
      <c r="Z137" s="3">
        <v>10</v>
      </c>
      <c r="AA137" s="3">
        <v>0</v>
      </c>
      <c r="AB137" s="3">
        <v>0</v>
      </c>
      <c r="AC137" s="3">
        <v>0</v>
      </c>
      <c r="AD137" s="3">
        <v>0</v>
      </c>
      <c r="AE137" s="3">
        <v>0</v>
      </c>
      <c r="AF137" s="3">
        <v>0</v>
      </c>
      <c r="AG137" s="3">
        <v>0</v>
      </c>
      <c r="AH137" s="3">
        <v>0</v>
      </c>
      <c r="AI137" s="3">
        <v>0</v>
      </c>
      <c r="AJ137" s="3">
        <v>0</v>
      </c>
      <c r="AK137" s="3">
        <v>0</v>
      </c>
      <c r="AL137" s="3" t="s">
        <v>17</v>
      </c>
      <c r="AM137" s="3" t="s">
        <v>1162</v>
      </c>
      <c r="AN137" s="3" t="s">
        <v>1988</v>
      </c>
      <c r="AO137" s="3" t="s">
        <v>1853</v>
      </c>
      <c r="AP137" s="3">
        <v>0</v>
      </c>
      <c r="AQ137" s="3">
        <v>0</v>
      </c>
      <c r="AR137">
        <v>0</v>
      </c>
      <c r="AS137">
        <v>2</v>
      </c>
      <c r="AT137" s="6" t="s">
        <v>836</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row>
    <row r="138" spans="1:67" ht="15.75" customHeight="1" x14ac:dyDescent="0.2">
      <c r="A138" s="3">
        <f t="shared" si="2"/>
        <v>136</v>
      </c>
      <c r="B138" s="3" t="s">
        <v>943</v>
      </c>
      <c r="C138" s="3" t="s">
        <v>943</v>
      </c>
      <c r="D138" s="5" t="s">
        <v>942</v>
      </c>
      <c r="E138" s="5" t="s">
        <v>1322</v>
      </c>
      <c r="F138" s="3">
        <v>0</v>
      </c>
      <c r="G138" s="3">
        <v>0</v>
      </c>
      <c r="H138" s="3">
        <v>0</v>
      </c>
      <c r="I138" s="3">
        <v>50</v>
      </c>
      <c r="J138" s="3">
        <v>3</v>
      </c>
      <c r="K138" s="3">
        <v>0.95</v>
      </c>
      <c r="L138" s="3">
        <v>0</v>
      </c>
      <c r="M138" s="3">
        <v>0</v>
      </c>
      <c r="N138" s="3">
        <v>7</v>
      </c>
      <c r="O138" s="3">
        <v>0</v>
      </c>
      <c r="P138" s="3">
        <v>0</v>
      </c>
      <c r="Q138" s="3">
        <v>0</v>
      </c>
      <c r="R138" s="3">
        <v>0</v>
      </c>
      <c r="S138" s="3">
        <v>0</v>
      </c>
      <c r="T138" s="3">
        <v>0</v>
      </c>
      <c r="U138" s="3">
        <v>0</v>
      </c>
      <c r="V138" s="3">
        <v>0</v>
      </c>
      <c r="W138" s="3">
        <v>0</v>
      </c>
      <c r="X138" s="3">
        <v>0</v>
      </c>
      <c r="Y138" s="3">
        <v>5</v>
      </c>
      <c r="Z138" s="3">
        <v>16</v>
      </c>
      <c r="AA138" s="3">
        <v>0</v>
      </c>
      <c r="AB138" s="3">
        <v>0</v>
      </c>
      <c r="AC138" s="3">
        <v>0</v>
      </c>
      <c r="AD138" s="3">
        <v>0</v>
      </c>
      <c r="AE138" s="3">
        <v>0</v>
      </c>
      <c r="AF138" s="3">
        <v>0</v>
      </c>
      <c r="AG138" s="3">
        <v>0</v>
      </c>
      <c r="AH138" s="3">
        <v>0</v>
      </c>
      <c r="AI138" s="3">
        <v>0</v>
      </c>
      <c r="AJ138" s="3">
        <v>0</v>
      </c>
      <c r="AK138" s="3">
        <v>0</v>
      </c>
      <c r="AL138" s="3" t="s">
        <v>17</v>
      </c>
      <c r="AM138" s="3" t="s">
        <v>1162</v>
      </c>
      <c r="AN138" s="3" t="s">
        <v>1989</v>
      </c>
      <c r="AO138" s="3" t="s">
        <v>1853</v>
      </c>
      <c r="AP138" s="3">
        <v>0</v>
      </c>
      <c r="AQ138" s="3">
        <v>0</v>
      </c>
      <c r="AR138">
        <v>0</v>
      </c>
      <c r="AS138">
        <v>5</v>
      </c>
      <c r="AT138" s="6" t="s">
        <v>994</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row>
    <row r="139" spans="1:67" ht="15.75" customHeight="1" x14ac:dyDescent="0.2">
      <c r="A139" s="3">
        <f t="shared" si="2"/>
        <v>137</v>
      </c>
      <c r="B139" s="3" t="s">
        <v>1046</v>
      </c>
      <c r="C139" s="3" t="s">
        <v>1046</v>
      </c>
      <c r="D139" s="5" t="s">
        <v>1045</v>
      </c>
      <c r="E139" s="5" t="s">
        <v>1320</v>
      </c>
      <c r="F139" s="3">
        <v>0</v>
      </c>
      <c r="G139" s="3">
        <v>0</v>
      </c>
      <c r="H139" s="3">
        <v>0</v>
      </c>
      <c r="I139" s="3">
        <v>50</v>
      </c>
      <c r="J139" s="3">
        <v>3</v>
      </c>
      <c r="K139" s="3">
        <v>0.95</v>
      </c>
      <c r="L139" s="3">
        <v>0</v>
      </c>
      <c r="M139" s="3">
        <v>3</v>
      </c>
      <c r="N139" s="3">
        <v>4</v>
      </c>
      <c r="O139" s="3">
        <v>0</v>
      </c>
      <c r="P139" s="3">
        <v>0</v>
      </c>
      <c r="Q139" s="3">
        <v>0</v>
      </c>
      <c r="R139" s="3">
        <v>0</v>
      </c>
      <c r="S139" s="3">
        <v>0</v>
      </c>
      <c r="T139" s="3">
        <v>0</v>
      </c>
      <c r="U139" s="3">
        <v>0</v>
      </c>
      <c r="V139" s="3">
        <v>0</v>
      </c>
      <c r="W139" s="3">
        <v>0</v>
      </c>
      <c r="X139" s="3">
        <v>0</v>
      </c>
      <c r="Y139" s="3">
        <v>5</v>
      </c>
      <c r="Z139" s="3">
        <v>13</v>
      </c>
      <c r="AA139" s="3">
        <v>0</v>
      </c>
      <c r="AB139" s="3">
        <v>0</v>
      </c>
      <c r="AC139" s="3">
        <v>0</v>
      </c>
      <c r="AD139" s="3">
        <v>0</v>
      </c>
      <c r="AE139" s="3">
        <v>0</v>
      </c>
      <c r="AF139" s="3">
        <v>0</v>
      </c>
      <c r="AG139" s="3">
        <v>0</v>
      </c>
      <c r="AH139" s="3">
        <v>0</v>
      </c>
      <c r="AI139" s="3">
        <v>0</v>
      </c>
      <c r="AJ139" s="3">
        <v>0</v>
      </c>
      <c r="AK139" s="3">
        <v>0</v>
      </c>
      <c r="AL139" s="3" t="s">
        <v>17</v>
      </c>
      <c r="AM139" s="3" t="s">
        <v>1162</v>
      </c>
      <c r="AN139" s="3" t="s">
        <v>1990</v>
      </c>
      <c r="AO139" s="3" t="s">
        <v>1853</v>
      </c>
      <c r="AP139" s="3">
        <v>0</v>
      </c>
      <c r="AQ139" s="3">
        <v>0</v>
      </c>
      <c r="AR139">
        <v>0</v>
      </c>
      <c r="AS139">
        <v>5</v>
      </c>
      <c r="AT139" s="6" t="s">
        <v>1143</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row>
    <row r="140" spans="1:67" ht="15.75" customHeight="1" x14ac:dyDescent="0.2">
      <c r="A140" s="3">
        <f t="shared" si="2"/>
        <v>138</v>
      </c>
      <c r="B140" s="3" t="s">
        <v>1048</v>
      </c>
      <c r="C140" s="3" t="s">
        <v>1048</v>
      </c>
      <c r="D140" s="5" t="s">
        <v>1047</v>
      </c>
      <c r="E140" s="5" t="s">
        <v>1321</v>
      </c>
      <c r="F140" s="3">
        <v>0</v>
      </c>
      <c r="G140" s="3">
        <v>0</v>
      </c>
      <c r="H140" s="3">
        <v>0</v>
      </c>
      <c r="I140" s="3">
        <v>50</v>
      </c>
      <c r="J140" s="3">
        <v>3</v>
      </c>
      <c r="K140" s="3">
        <v>0.95</v>
      </c>
      <c r="L140" s="3">
        <v>0</v>
      </c>
      <c r="M140" s="3">
        <v>3</v>
      </c>
      <c r="N140" s="3">
        <v>3</v>
      </c>
      <c r="O140" s="3">
        <v>0</v>
      </c>
      <c r="P140" s="3">
        <v>0</v>
      </c>
      <c r="Q140" s="3">
        <v>0</v>
      </c>
      <c r="R140" s="3">
        <v>0</v>
      </c>
      <c r="S140" s="3">
        <v>0</v>
      </c>
      <c r="T140" s="3">
        <v>0</v>
      </c>
      <c r="U140" s="3">
        <v>0</v>
      </c>
      <c r="V140" s="3">
        <v>0</v>
      </c>
      <c r="W140" s="3">
        <v>0</v>
      </c>
      <c r="X140" s="3">
        <v>0</v>
      </c>
      <c r="Y140" s="3">
        <v>5</v>
      </c>
      <c r="Z140" s="3">
        <v>18</v>
      </c>
      <c r="AA140" s="3">
        <v>0</v>
      </c>
      <c r="AB140" s="3">
        <v>0</v>
      </c>
      <c r="AC140" s="3">
        <v>0</v>
      </c>
      <c r="AD140" s="3">
        <v>0</v>
      </c>
      <c r="AE140" s="3">
        <v>0</v>
      </c>
      <c r="AF140" s="3">
        <v>0</v>
      </c>
      <c r="AG140" s="3">
        <v>0</v>
      </c>
      <c r="AH140" s="3">
        <v>0</v>
      </c>
      <c r="AI140" s="3">
        <v>0</v>
      </c>
      <c r="AJ140" s="3">
        <v>0</v>
      </c>
      <c r="AK140" s="3">
        <v>0</v>
      </c>
      <c r="AL140" s="3" t="s">
        <v>17</v>
      </c>
      <c r="AM140" s="3" t="s">
        <v>1162</v>
      </c>
      <c r="AN140" s="3" t="s">
        <v>1991</v>
      </c>
      <c r="AO140" s="3" t="s">
        <v>1853</v>
      </c>
      <c r="AP140" s="3">
        <v>0</v>
      </c>
      <c r="AQ140" s="3">
        <v>0</v>
      </c>
      <c r="AR140">
        <v>0</v>
      </c>
      <c r="AS140">
        <v>5</v>
      </c>
      <c r="AT140" s="6" t="s">
        <v>1144</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row>
    <row r="141" spans="1:67" ht="15.75" customHeight="1" x14ac:dyDescent="0.2">
      <c r="A141" s="3">
        <f t="shared" si="2"/>
        <v>139</v>
      </c>
      <c r="B141" s="3" t="s">
        <v>1262</v>
      </c>
      <c r="C141" s="3" t="s">
        <v>1262</v>
      </c>
      <c r="D141" s="5" t="s">
        <v>1261</v>
      </c>
      <c r="E141" s="5" t="s">
        <v>1263</v>
      </c>
      <c r="F141" s="3">
        <v>0</v>
      </c>
      <c r="G141" s="3">
        <v>0</v>
      </c>
      <c r="H141" s="3">
        <v>0</v>
      </c>
      <c r="I141" s="3">
        <v>50</v>
      </c>
      <c r="J141" s="3">
        <v>3</v>
      </c>
      <c r="K141" s="3">
        <v>0.95</v>
      </c>
      <c r="L141" s="3">
        <v>0</v>
      </c>
      <c r="M141" s="3">
        <v>5</v>
      </c>
      <c r="N141" s="3">
        <v>3</v>
      </c>
      <c r="O141" s="3">
        <v>0</v>
      </c>
      <c r="P141" s="3">
        <v>0</v>
      </c>
      <c r="Q141" s="3">
        <v>0</v>
      </c>
      <c r="R141" s="3">
        <v>0</v>
      </c>
      <c r="S141" s="3">
        <v>0</v>
      </c>
      <c r="T141" s="3">
        <v>0</v>
      </c>
      <c r="U141" s="3">
        <v>0</v>
      </c>
      <c r="V141" s="3">
        <v>0</v>
      </c>
      <c r="W141" s="3">
        <v>0</v>
      </c>
      <c r="X141" s="3">
        <v>0</v>
      </c>
      <c r="Y141" s="3">
        <v>5</v>
      </c>
      <c r="Z141" s="3">
        <v>20</v>
      </c>
      <c r="AA141" s="3">
        <v>0</v>
      </c>
      <c r="AB141" s="3">
        <v>0</v>
      </c>
      <c r="AC141" s="3">
        <v>0</v>
      </c>
      <c r="AD141" s="3">
        <v>0</v>
      </c>
      <c r="AE141" s="3">
        <v>0</v>
      </c>
      <c r="AF141" s="3">
        <v>0</v>
      </c>
      <c r="AG141" s="3">
        <v>0</v>
      </c>
      <c r="AH141" s="3">
        <v>0</v>
      </c>
      <c r="AI141" s="3">
        <v>0</v>
      </c>
      <c r="AJ141" s="3">
        <v>0</v>
      </c>
      <c r="AK141" s="3">
        <v>0</v>
      </c>
      <c r="AL141" s="3" t="s">
        <v>17</v>
      </c>
      <c r="AM141" s="3" t="s">
        <v>1162</v>
      </c>
      <c r="AN141" s="3" t="s">
        <v>1992</v>
      </c>
      <c r="AO141" s="3" t="s">
        <v>1853</v>
      </c>
      <c r="AP141" s="3">
        <v>0</v>
      </c>
      <c r="AQ141" s="3">
        <v>0</v>
      </c>
      <c r="AR141">
        <v>0</v>
      </c>
      <c r="AS141">
        <v>5</v>
      </c>
      <c r="AT141" s="6" t="s">
        <v>1264</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row>
    <row r="142" spans="1:67" ht="15.75" customHeight="1" x14ac:dyDescent="0.2">
      <c r="A142" s="3">
        <f t="shared" si="2"/>
        <v>140</v>
      </c>
      <c r="B142" s="3" t="s">
        <v>1049</v>
      </c>
      <c r="C142" s="3" t="s">
        <v>1049</v>
      </c>
      <c r="D142" s="5" t="s">
        <v>1178</v>
      </c>
      <c r="E142" s="5" t="s">
        <v>1319</v>
      </c>
      <c r="F142" s="3">
        <v>0</v>
      </c>
      <c r="G142" s="3">
        <v>0</v>
      </c>
      <c r="H142" s="3">
        <v>0</v>
      </c>
      <c r="I142" s="3">
        <v>50</v>
      </c>
      <c r="J142" s="3">
        <v>3</v>
      </c>
      <c r="K142" s="3">
        <v>0.95</v>
      </c>
      <c r="L142" s="3">
        <v>0</v>
      </c>
      <c r="M142" s="3">
        <v>5</v>
      </c>
      <c r="N142" s="3">
        <v>2</v>
      </c>
      <c r="O142" s="3">
        <v>0</v>
      </c>
      <c r="P142" s="3">
        <v>0</v>
      </c>
      <c r="Q142" s="3">
        <v>0</v>
      </c>
      <c r="R142" s="3">
        <v>0</v>
      </c>
      <c r="S142" s="3">
        <v>0</v>
      </c>
      <c r="T142" s="3">
        <v>0</v>
      </c>
      <c r="U142" s="3">
        <v>0</v>
      </c>
      <c r="V142" s="3">
        <v>0</v>
      </c>
      <c r="W142" s="3">
        <v>0</v>
      </c>
      <c r="X142" s="3">
        <v>0</v>
      </c>
      <c r="Y142" s="3">
        <v>5</v>
      </c>
      <c r="Z142" s="3">
        <v>10</v>
      </c>
      <c r="AA142" s="3">
        <v>0</v>
      </c>
      <c r="AB142" s="3">
        <v>0</v>
      </c>
      <c r="AC142" s="3">
        <v>0</v>
      </c>
      <c r="AD142" s="3">
        <v>0</v>
      </c>
      <c r="AE142" s="3">
        <v>0</v>
      </c>
      <c r="AF142" s="3">
        <v>0</v>
      </c>
      <c r="AG142" s="3">
        <v>0</v>
      </c>
      <c r="AH142" s="3">
        <v>0</v>
      </c>
      <c r="AI142" s="3">
        <v>0</v>
      </c>
      <c r="AJ142" s="3">
        <v>0</v>
      </c>
      <c r="AK142" s="3">
        <v>0</v>
      </c>
      <c r="AL142" s="3" t="s">
        <v>17</v>
      </c>
      <c r="AM142" s="3" t="s">
        <v>1162</v>
      </c>
      <c r="AN142" s="3" t="s">
        <v>1993</v>
      </c>
      <c r="AO142" s="3" t="s">
        <v>1853</v>
      </c>
      <c r="AP142" s="3">
        <v>0</v>
      </c>
      <c r="AQ142" s="3">
        <v>0</v>
      </c>
      <c r="AR142">
        <v>0</v>
      </c>
      <c r="AS142">
        <v>5</v>
      </c>
      <c r="AT142" s="6" t="s">
        <v>1145</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2</v>
      </c>
      <c r="BL142">
        <v>0</v>
      </c>
      <c r="BM142">
        <v>0</v>
      </c>
      <c r="BN142">
        <v>0</v>
      </c>
      <c r="BO142">
        <v>0</v>
      </c>
    </row>
    <row r="143" spans="1:67" ht="15.75" customHeight="1" x14ac:dyDescent="0.2">
      <c r="A143" s="3">
        <f t="shared" si="2"/>
        <v>141</v>
      </c>
      <c r="B143" s="3" t="s">
        <v>2252</v>
      </c>
      <c r="C143" s="3" t="s">
        <v>2252</v>
      </c>
      <c r="D143" s="5" t="s">
        <v>2250</v>
      </c>
      <c r="E143" s="5" t="s">
        <v>2251</v>
      </c>
      <c r="F143" s="3">
        <v>0</v>
      </c>
      <c r="G143" s="3">
        <v>0</v>
      </c>
      <c r="H143" s="3">
        <v>0</v>
      </c>
      <c r="I143" s="3">
        <v>50</v>
      </c>
      <c r="J143" s="3">
        <v>3</v>
      </c>
      <c r="K143" s="3">
        <v>0.95</v>
      </c>
      <c r="L143" s="3">
        <v>0</v>
      </c>
      <c r="M143" s="3">
        <v>5</v>
      </c>
      <c r="N143" s="3">
        <v>2</v>
      </c>
      <c r="O143" s="3">
        <v>0</v>
      </c>
      <c r="P143" s="3">
        <v>0</v>
      </c>
      <c r="Q143" s="3">
        <v>0</v>
      </c>
      <c r="R143" s="3">
        <v>0</v>
      </c>
      <c r="S143" s="3">
        <v>0</v>
      </c>
      <c r="T143" s="3">
        <v>0</v>
      </c>
      <c r="U143" s="3">
        <v>0</v>
      </c>
      <c r="V143" s="3">
        <v>0</v>
      </c>
      <c r="W143" s="3">
        <v>0</v>
      </c>
      <c r="X143" s="3">
        <v>0</v>
      </c>
      <c r="Y143" s="3">
        <v>5</v>
      </c>
      <c r="Z143" s="3">
        <v>10</v>
      </c>
      <c r="AA143" s="3">
        <v>0</v>
      </c>
      <c r="AB143" s="3">
        <v>0</v>
      </c>
      <c r="AC143" s="3">
        <v>0</v>
      </c>
      <c r="AD143" s="3">
        <v>0</v>
      </c>
      <c r="AE143" s="3">
        <v>0</v>
      </c>
      <c r="AF143" s="3">
        <v>0</v>
      </c>
      <c r="AG143" s="3">
        <v>0</v>
      </c>
      <c r="AH143" s="3">
        <v>0</v>
      </c>
      <c r="AI143" s="3">
        <v>0</v>
      </c>
      <c r="AJ143" s="3">
        <v>0</v>
      </c>
      <c r="AK143" s="3">
        <v>0</v>
      </c>
      <c r="AL143" s="3" t="s">
        <v>17</v>
      </c>
      <c r="AM143" s="3" t="s">
        <v>1162</v>
      </c>
      <c r="AN143" s="3" t="s">
        <v>2532</v>
      </c>
      <c r="AO143" s="3" t="s">
        <v>50</v>
      </c>
      <c r="AP143" s="3">
        <v>0</v>
      </c>
      <c r="AQ143" s="3">
        <v>0</v>
      </c>
      <c r="AR143">
        <v>0</v>
      </c>
      <c r="AS143">
        <v>5</v>
      </c>
      <c r="AT143" s="6" t="s">
        <v>2549</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2</v>
      </c>
      <c r="BL143">
        <v>0</v>
      </c>
      <c r="BM143">
        <v>0</v>
      </c>
      <c r="BN143">
        <v>0</v>
      </c>
      <c r="BO143">
        <v>0</v>
      </c>
    </row>
    <row r="144" spans="1:67" ht="15.75" customHeight="1" x14ac:dyDescent="0.2">
      <c r="A144" s="3">
        <f t="shared" si="2"/>
        <v>142</v>
      </c>
      <c r="B144" s="3" t="s">
        <v>1878</v>
      </c>
      <c r="C144" s="3" t="s">
        <v>1878</v>
      </c>
      <c r="D144" s="5" t="s">
        <v>1877</v>
      </c>
      <c r="E144" s="5" t="s">
        <v>2244</v>
      </c>
      <c r="F144" s="3">
        <v>0</v>
      </c>
      <c r="G144" s="3">
        <v>0</v>
      </c>
      <c r="H144" s="3">
        <v>0</v>
      </c>
      <c r="I144" s="3">
        <v>50</v>
      </c>
      <c r="J144" s="3">
        <v>3</v>
      </c>
      <c r="K144" s="3">
        <v>0.95</v>
      </c>
      <c r="L144" s="3">
        <v>0</v>
      </c>
      <c r="M144" s="3">
        <v>5</v>
      </c>
      <c r="N144" s="3">
        <v>2</v>
      </c>
      <c r="O144" s="3">
        <v>0</v>
      </c>
      <c r="P144" s="3">
        <v>0</v>
      </c>
      <c r="Q144" s="3">
        <v>0</v>
      </c>
      <c r="R144" s="3">
        <v>0</v>
      </c>
      <c r="S144" s="3">
        <v>0</v>
      </c>
      <c r="T144" s="3">
        <v>0</v>
      </c>
      <c r="U144" s="3">
        <v>0</v>
      </c>
      <c r="V144" s="3">
        <v>0</v>
      </c>
      <c r="W144" s="3">
        <v>0</v>
      </c>
      <c r="X144" s="3">
        <v>0</v>
      </c>
      <c r="Y144" s="3">
        <v>5</v>
      </c>
      <c r="Z144" s="3">
        <v>10</v>
      </c>
      <c r="AA144" s="3">
        <v>0</v>
      </c>
      <c r="AB144" s="3">
        <v>0</v>
      </c>
      <c r="AC144" s="3">
        <v>0</v>
      </c>
      <c r="AD144" s="3">
        <v>0</v>
      </c>
      <c r="AE144" s="3">
        <v>0</v>
      </c>
      <c r="AF144" s="3">
        <v>0</v>
      </c>
      <c r="AG144" s="3">
        <v>0</v>
      </c>
      <c r="AH144" s="3">
        <v>0</v>
      </c>
      <c r="AI144" s="3">
        <v>0</v>
      </c>
      <c r="AJ144" s="3">
        <v>0</v>
      </c>
      <c r="AK144" s="3">
        <v>0</v>
      </c>
      <c r="AL144" s="3" t="s">
        <v>17</v>
      </c>
      <c r="AM144" s="3" t="s">
        <v>1162</v>
      </c>
      <c r="AN144" s="3" t="s">
        <v>1994</v>
      </c>
      <c r="AO144" s="3" t="s">
        <v>50</v>
      </c>
      <c r="AP144" s="3">
        <v>0</v>
      </c>
      <c r="AQ144" s="3">
        <v>0</v>
      </c>
      <c r="AR144">
        <v>0</v>
      </c>
      <c r="AS144">
        <v>5</v>
      </c>
      <c r="AT144" s="6" t="s">
        <v>2533</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3</v>
      </c>
      <c r="BL144">
        <v>0</v>
      </c>
      <c r="BM144">
        <v>0</v>
      </c>
      <c r="BN144">
        <v>0</v>
      </c>
      <c r="BO144">
        <v>0</v>
      </c>
    </row>
    <row r="145" spans="1:67" ht="15.75" customHeight="1" x14ac:dyDescent="0.2">
      <c r="A145" s="3">
        <f t="shared" si="2"/>
        <v>143</v>
      </c>
      <c r="B145" s="3" t="s">
        <v>396</v>
      </c>
      <c r="C145" s="3" t="s">
        <v>347</v>
      </c>
      <c r="D145" s="5" t="s">
        <v>345</v>
      </c>
      <c r="E145" s="5" t="s">
        <v>346</v>
      </c>
      <c r="F145" s="3">
        <v>0</v>
      </c>
      <c r="G145" s="3">
        <v>0</v>
      </c>
      <c r="H145" s="3">
        <v>0</v>
      </c>
      <c r="I145" s="3">
        <v>50</v>
      </c>
      <c r="J145" s="3">
        <v>30</v>
      </c>
      <c r="K145" s="3">
        <v>0.95</v>
      </c>
      <c r="L145" s="3">
        <v>0</v>
      </c>
      <c r="M145" s="3">
        <v>25</v>
      </c>
      <c r="N145" s="3">
        <v>0</v>
      </c>
      <c r="O145" s="3">
        <v>0</v>
      </c>
      <c r="P145" s="3">
        <v>0</v>
      </c>
      <c r="Q145" s="3">
        <v>0</v>
      </c>
      <c r="R145" s="3">
        <v>15</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974</v>
      </c>
      <c r="AN145" s="3" t="s">
        <v>1995</v>
      </c>
      <c r="AO145" s="3" t="s">
        <v>1853</v>
      </c>
      <c r="AP145" s="3">
        <v>0</v>
      </c>
      <c r="AQ145" s="3">
        <v>0</v>
      </c>
      <c r="AR145">
        <v>0</v>
      </c>
      <c r="AS145">
        <v>5</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row>
    <row r="146" spans="1:67" ht="15.75" customHeight="1" x14ac:dyDescent="0.2">
      <c r="A146" s="3">
        <f t="shared" si="2"/>
        <v>144</v>
      </c>
      <c r="B146" s="3" t="s">
        <v>308</v>
      </c>
      <c r="C146" s="3" t="s">
        <v>308</v>
      </c>
      <c r="D146" s="25" t="s">
        <v>307</v>
      </c>
      <c r="E146" s="4" t="s">
        <v>599</v>
      </c>
      <c r="F146" s="3">
        <v>0</v>
      </c>
      <c r="G146" s="3">
        <v>0</v>
      </c>
      <c r="H146" s="3">
        <v>0</v>
      </c>
      <c r="I146" s="3">
        <v>50</v>
      </c>
      <c r="J146" s="3">
        <v>10</v>
      </c>
      <c r="K146" s="3">
        <v>1</v>
      </c>
      <c r="L146" s="3">
        <v>0</v>
      </c>
      <c r="M146" s="3">
        <v>20</v>
      </c>
      <c r="N146" s="3">
        <v>0</v>
      </c>
      <c r="O146" s="3">
        <v>0</v>
      </c>
      <c r="P146" s="3">
        <v>0</v>
      </c>
      <c r="Q146" s="3">
        <v>0</v>
      </c>
      <c r="R146" s="3">
        <v>0</v>
      </c>
      <c r="S146" s="3">
        <v>0</v>
      </c>
      <c r="T146" s="3">
        <v>0</v>
      </c>
      <c r="U146" s="3">
        <v>0</v>
      </c>
      <c r="V146" s="3">
        <v>0</v>
      </c>
      <c r="W146" s="3">
        <v>5</v>
      </c>
      <c r="X146" s="3">
        <v>0</v>
      </c>
      <c r="Y146" s="3">
        <v>0</v>
      </c>
      <c r="Z146" s="3">
        <v>0</v>
      </c>
      <c r="AA146" s="3">
        <v>0</v>
      </c>
      <c r="AB146" s="3">
        <v>0</v>
      </c>
      <c r="AC146" s="3">
        <v>0</v>
      </c>
      <c r="AD146" s="3">
        <v>0</v>
      </c>
      <c r="AE146" s="3">
        <v>0</v>
      </c>
      <c r="AF146" s="3">
        <v>0</v>
      </c>
      <c r="AG146" s="3">
        <v>0</v>
      </c>
      <c r="AH146" s="3">
        <v>0</v>
      </c>
      <c r="AI146" s="3">
        <v>0</v>
      </c>
      <c r="AJ146" s="3">
        <v>0</v>
      </c>
      <c r="AK146" s="3">
        <v>0</v>
      </c>
      <c r="AL146" s="3" t="s">
        <v>51</v>
      </c>
      <c r="AM146" s="3" t="s">
        <v>23</v>
      </c>
      <c r="AN146" s="3" t="s">
        <v>1996</v>
      </c>
      <c r="AO146" s="3" t="s">
        <v>1853</v>
      </c>
      <c r="AP146" s="3">
        <v>0</v>
      </c>
      <c r="AQ146" s="3">
        <v>0</v>
      </c>
      <c r="AR146">
        <v>0</v>
      </c>
      <c r="AS146">
        <v>1</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row>
    <row r="147" spans="1:67" ht="15.75" customHeight="1" x14ac:dyDescent="0.2">
      <c r="A147" s="3">
        <f t="shared" si="2"/>
        <v>145</v>
      </c>
      <c r="B147" s="3" t="s">
        <v>605</v>
      </c>
      <c r="C147" s="3" t="s">
        <v>602</v>
      </c>
      <c r="D147" s="25" t="s">
        <v>642</v>
      </c>
      <c r="E147" s="4" t="s">
        <v>600</v>
      </c>
      <c r="F147" s="3">
        <v>0</v>
      </c>
      <c r="G147" s="3">
        <v>300</v>
      </c>
      <c r="H147" s="3">
        <v>0</v>
      </c>
      <c r="I147" s="3">
        <v>50</v>
      </c>
      <c r="J147" s="3">
        <v>0</v>
      </c>
      <c r="K147" s="3">
        <v>1</v>
      </c>
      <c r="L147" s="3">
        <v>0</v>
      </c>
      <c r="M147" s="3">
        <v>20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51</v>
      </c>
      <c r="AM147" s="3" t="s">
        <v>654</v>
      </c>
      <c r="AN147" s="3" t="s">
        <v>1997</v>
      </c>
      <c r="AO147" s="3" t="s">
        <v>1853</v>
      </c>
      <c r="AP147" s="3">
        <v>0</v>
      </c>
      <c r="AQ147" s="3">
        <v>0</v>
      </c>
      <c r="AR147">
        <v>0</v>
      </c>
      <c r="AS147">
        <v>1</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row>
    <row r="148" spans="1:67" ht="15.75" customHeight="1" x14ac:dyDescent="0.2">
      <c r="A148" s="3">
        <f t="shared" si="2"/>
        <v>146</v>
      </c>
      <c r="B148" s="3" t="s">
        <v>605</v>
      </c>
      <c r="C148" s="3" t="s">
        <v>972</v>
      </c>
      <c r="D148" s="25" t="s">
        <v>970</v>
      </c>
      <c r="E148" s="4" t="s">
        <v>971</v>
      </c>
      <c r="F148" s="3">
        <v>0</v>
      </c>
      <c r="G148" s="3">
        <v>300</v>
      </c>
      <c r="H148" s="3">
        <v>0</v>
      </c>
      <c r="I148" s="3">
        <v>50</v>
      </c>
      <c r="J148" s="3">
        <v>0</v>
      </c>
      <c r="K148" s="3">
        <v>1</v>
      </c>
      <c r="L148" s="3">
        <v>0</v>
      </c>
      <c r="M148" s="3">
        <v>20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51</v>
      </c>
      <c r="AM148" s="3" t="s">
        <v>654</v>
      </c>
      <c r="AN148" s="3" t="s">
        <v>1997</v>
      </c>
      <c r="AO148" s="3" t="s">
        <v>1853</v>
      </c>
      <c r="AP148" s="3">
        <v>0</v>
      </c>
      <c r="AQ148" s="3">
        <v>0</v>
      </c>
      <c r="AR148">
        <v>0</v>
      </c>
      <c r="AS148">
        <v>1</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row>
    <row r="149" spans="1:67" s="9" customFormat="1" ht="15.75" customHeight="1" x14ac:dyDescent="0.2">
      <c r="A149" s="7">
        <f t="shared" si="2"/>
        <v>147</v>
      </c>
      <c r="B149" s="7" t="s">
        <v>605</v>
      </c>
      <c r="C149" s="7" t="s">
        <v>689</v>
      </c>
      <c r="D149" s="26" t="s">
        <v>687</v>
      </c>
      <c r="E149" s="11" t="s">
        <v>688</v>
      </c>
      <c r="F149" s="7">
        <v>0</v>
      </c>
      <c r="G149" s="7">
        <v>300</v>
      </c>
      <c r="H149" s="7">
        <v>0</v>
      </c>
      <c r="I149" s="7">
        <v>50</v>
      </c>
      <c r="J149" s="7">
        <v>0</v>
      </c>
      <c r="K149" s="7">
        <v>1</v>
      </c>
      <c r="L149" s="7">
        <v>0</v>
      </c>
      <c r="M149" s="7">
        <v>20</v>
      </c>
      <c r="N149" s="7">
        <v>0</v>
      </c>
      <c r="O149" s="7">
        <v>0</v>
      </c>
      <c r="P149" s="7">
        <v>0</v>
      </c>
      <c r="Q149" s="7">
        <v>0</v>
      </c>
      <c r="R149" s="7">
        <v>0</v>
      </c>
      <c r="S149" s="7">
        <v>0</v>
      </c>
      <c r="T149" s="7">
        <v>0</v>
      </c>
      <c r="U149" s="7">
        <v>0</v>
      </c>
      <c r="V149" s="7">
        <v>0</v>
      </c>
      <c r="W149" s="7">
        <v>0</v>
      </c>
      <c r="X149" s="7">
        <v>0</v>
      </c>
      <c r="Y149" s="7">
        <v>0</v>
      </c>
      <c r="Z149" s="7">
        <v>0</v>
      </c>
      <c r="AA149" s="7">
        <v>0</v>
      </c>
      <c r="AB149" s="7">
        <v>0</v>
      </c>
      <c r="AC149" s="7">
        <v>0</v>
      </c>
      <c r="AD149" s="7">
        <v>0</v>
      </c>
      <c r="AE149" s="7">
        <v>0</v>
      </c>
      <c r="AF149" s="7">
        <v>0</v>
      </c>
      <c r="AG149" s="7">
        <v>0</v>
      </c>
      <c r="AH149" s="7">
        <v>0</v>
      </c>
      <c r="AI149" s="7">
        <v>0</v>
      </c>
      <c r="AJ149" s="7">
        <v>0</v>
      </c>
      <c r="AK149" s="7">
        <v>0</v>
      </c>
      <c r="AL149" s="7" t="s">
        <v>51</v>
      </c>
      <c r="AM149" s="7" t="s">
        <v>654</v>
      </c>
      <c r="AN149" s="7" t="s">
        <v>1997</v>
      </c>
      <c r="AO149" s="7" t="s">
        <v>1853</v>
      </c>
      <c r="AP149" s="7">
        <v>0</v>
      </c>
      <c r="AQ149" s="7">
        <v>0</v>
      </c>
      <c r="AR149" s="9">
        <v>0</v>
      </c>
      <c r="AS149" s="9">
        <v>0</v>
      </c>
      <c r="AT149" s="10" t="s">
        <v>50</v>
      </c>
      <c r="AU149" s="10" t="s">
        <v>50</v>
      </c>
      <c r="AV149" s="10" t="s">
        <v>50</v>
      </c>
      <c r="AW149" s="10" t="s">
        <v>50</v>
      </c>
      <c r="AX149" s="10" t="s">
        <v>50</v>
      </c>
      <c r="AY149" s="10" t="s">
        <v>50</v>
      </c>
      <c r="AZ149" s="10" t="s">
        <v>50</v>
      </c>
      <c r="BA149" s="10" t="s">
        <v>50</v>
      </c>
      <c r="BB149" s="10" t="s">
        <v>50</v>
      </c>
      <c r="BC149" s="10" t="s">
        <v>50</v>
      </c>
      <c r="BD149" s="10" t="s">
        <v>50</v>
      </c>
      <c r="BE149" s="10" t="s">
        <v>50</v>
      </c>
      <c r="BF149" s="10" t="s">
        <v>50</v>
      </c>
      <c r="BG149" s="10" t="s">
        <v>50</v>
      </c>
      <c r="BH149" s="10" t="s">
        <v>50</v>
      </c>
      <c r="BI149" s="9">
        <v>0</v>
      </c>
      <c r="BJ149" s="9">
        <v>0</v>
      </c>
      <c r="BK149" s="9">
        <v>1</v>
      </c>
      <c r="BL149" s="9">
        <v>0</v>
      </c>
      <c r="BM149" s="9">
        <v>0</v>
      </c>
      <c r="BN149" s="9">
        <v>0</v>
      </c>
      <c r="BO149" s="9">
        <v>0</v>
      </c>
    </row>
    <row r="150" spans="1:67" s="9" customFormat="1" ht="15.75" customHeight="1" x14ac:dyDescent="0.2">
      <c r="A150" s="7">
        <f t="shared" si="2"/>
        <v>148</v>
      </c>
      <c r="B150" s="7" t="s">
        <v>605</v>
      </c>
      <c r="C150" s="7" t="s">
        <v>691</v>
      </c>
      <c r="D150" s="26" t="s">
        <v>690</v>
      </c>
      <c r="E150" s="11" t="s">
        <v>692</v>
      </c>
      <c r="F150" s="7">
        <v>0</v>
      </c>
      <c r="G150" s="7">
        <v>300</v>
      </c>
      <c r="H150" s="7">
        <v>0</v>
      </c>
      <c r="I150" s="7">
        <v>50</v>
      </c>
      <c r="J150" s="7">
        <v>0</v>
      </c>
      <c r="K150" s="7">
        <v>1</v>
      </c>
      <c r="L150" s="7">
        <v>0</v>
      </c>
      <c r="M150" s="7">
        <v>20</v>
      </c>
      <c r="N150" s="7">
        <v>0</v>
      </c>
      <c r="O150" s="7">
        <v>0</v>
      </c>
      <c r="P150" s="7">
        <v>0</v>
      </c>
      <c r="Q150" s="7">
        <v>0</v>
      </c>
      <c r="R150" s="7">
        <v>0</v>
      </c>
      <c r="S150" s="7">
        <v>0</v>
      </c>
      <c r="T150" s="7">
        <v>0</v>
      </c>
      <c r="U150" s="7">
        <v>0</v>
      </c>
      <c r="V150" s="7">
        <v>0</v>
      </c>
      <c r="W150" s="7">
        <v>0</v>
      </c>
      <c r="X150" s="7">
        <v>0</v>
      </c>
      <c r="Y150" s="7">
        <v>0</v>
      </c>
      <c r="Z150" s="7">
        <v>0</v>
      </c>
      <c r="AA150" s="7">
        <v>0</v>
      </c>
      <c r="AB150" s="7">
        <v>0</v>
      </c>
      <c r="AC150" s="7">
        <v>0</v>
      </c>
      <c r="AD150" s="7">
        <v>0</v>
      </c>
      <c r="AE150" s="7">
        <v>0</v>
      </c>
      <c r="AF150" s="7">
        <v>0</v>
      </c>
      <c r="AG150" s="7">
        <v>0</v>
      </c>
      <c r="AH150" s="7">
        <v>0</v>
      </c>
      <c r="AI150" s="7">
        <v>0</v>
      </c>
      <c r="AJ150" s="7">
        <v>0</v>
      </c>
      <c r="AK150" s="7">
        <v>0</v>
      </c>
      <c r="AL150" s="7" t="s">
        <v>51</v>
      </c>
      <c r="AM150" s="7" t="s">
        <v>654</v>
      </c>
      <c r="AN150" s="7" t="s">
        <v>1997</v>
      </c>
      <c r="AO150" s="7" t="s">
        <v>1853</v>
      </c>
      <c r="AP150" s="7">
        <v>0</v>
      </c>
      <c r="AQ150" s="7">
        <v>0</v>
      </c>
      <c r="AR150" s="9">
        <v>0</v>
      </c>
      <c r="AS150" s="9">
        <v>0</v>
      </c>
      <c r="AT150" s="10" t="s">
        <v>50</v>
      </c>
      <c r="AU150" s="10" t="s">
        <v>50</v>
      </c>
      <c r="AV150" s="10" t="s">
        <v>50</v>
      </c>
      <c r="AW150" s="10" t="s">
        <v>50</v>
      </c>
      <c r="AX150" s="10" t="s">
        <v>50</v>
      </c>
      <c r="AY150" s="10" t="s">
        <v>50</v>
      </c>
      <c r="AZ150" s="10" t="s">
        <v>50</v>
      </c>
      <c r="BA150" s="10" t="s">
        <v>50</v>
      </c>
      <c r="BB150" s="10" t="s">
        <v>50</v>
      </c>
      <c r="BC150" s="10" t="s">
        <v>50</v>
      </c>
      <c r="BD150" s="10" t="s">
        <v>50</v>
      </c>
      <c r="BE150" s="10" t="s">
        <v>50</v>
      </c>
      <c r="BF150" s="10" t="s">
        <v>50</v>
      </c>
      <c r="BG150" s="10" t="s">
        <v>50</v>
      </c>
      <c r="BH150" s="10" t="s">
        <v>50</v>
      </c>
      <c r="BI150" s="9">
        <v>0</v>
      </c>
      <c r="BJ150" s="9">
        <v>0</v>
      </c>
      <c r="BK150" s="9">
        <v>1</v>
      </c>
      <c r="BL150" s="9">
        <v>0</v>
      </c>
      <c r="BM150" s="9">
        <v>0</v>
      </c>
      <c r="BN150" s="9">
        <v>0</v>
      </c>
      <c r="BO150" s="9">
        <v>0</v>
      </c>
    </row>
    <row r="151" spans="1:67" ht="15.75" customHeight="1" x14ac:dyDescent="0.2">
      <c r="A151" s="3">
        <f t="shared" si="2"/>
        <v>149</v>
      </c>
      <c r="B151" s="3" t="s">
        <v>693</v>
      </c>
      <c r="C151" s="3" t="s">
        <v>693</v>
      </c>
      <c r="D151" s="25" t="s">
        <v>694</v>
      </c>
      <c r="E151" s="4" t="s">
        <v>695</v>
      </c>
      <c r="F151" s="3">
        <v>0</v>
      </c>
      <c r="G151" s="3">
        <v>300</v>
      </c>
      <c r="H151" s="3">
        <v>0</v>
      </c>
      <c r="I151" s="3">
        <v>50</v>
      </c>
      <c r="J151" s="3">
        <v>0</v>
      </c>
      <c r="K151" s="3">
        <v>1</v>
      </c>
      <c r="L151" s="3">
        <v>0</v>
      </c>
      <c r="M151" s="3">
        <v>20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51</v>
      </c>
      <c r="AM151" s="3" t="s">
        <v>654</v>
      </c>
      <c r="AN151" s="3" t="s">
        <v>1997</v>
      </c>
      <c r="AO151" s="3" t="s">
        <v>1853</v>
      </c>
      <c r="AP151" s="3">
        <v>0</v>
      </c>
      <c r="AQ151" s="3">
        <v>0</v>
      </c>
      <c r="AR151">
        <v>0</v>
      </c>
      <c r="AS151">
        <v>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row>
    <row r="152" spans="1:67" ht="15.75" customHeight="1" x14ac:dyDescent="0.2">
      <c r="A152" s="3">
        <f t="shared" si="2"/>
        <v>150</v>
      </c>
      <c r="B152" s="3" t="s">
        <v>651</v>
      </c>
      <c r="C152" s="3" t="s">
        <v>651</v>
      </c>
      <c r="D152" s="25" t="s">
        <v>652</v>
      </c>
      <c r="E152" s="4" t="s">
        <v>653</v>
      </c>
      <c r="F152" s="3">
        <v>0</v>
      </c>
      <c r="G152" s="3">
        <v>300</v>
      </c>
      <c r="H152" s="3">
        <v>0</v>
      </c>
      <c r="I152" s="3">
        <v>50</v>
      </c>
      <c r="J152" s="3">
        <v>0</v>
      </c>
      <c r="K152" s="3">
        <v>1</v>
      </c>
      <c r="L152" s="3">
        <v>0</v>
      </c>
      <c r="M152" s="3">
        <v>20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51</v>
      </c>
      <c r="AM152" s="3" t="s">
        <v>654</v>
      </c>
      <c r="AN152" s="3" t="s">
        <v>1997</v>
      </c>
      <c r="AO152" s="3" t="s">
        <v>1853</v>
      </c>
      <c r="AP152" s="3">
        <v>0</v>
      </c>
      <c r="AQ152" s="3">
        <v>0</v>
      </c>
      <c r="AR152">
        <v>0</v>
      </c>
      <c r="AS152">
        <v>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row>
    <row r="153" spans="1:67" ht="15.75" customHeight="1" x14ac:dyDescent="0.2">
      <c r="A153" s="3">
        <f t="shared" si="2"/>
        <v>151</v>
      </c>
      <c r="B153" s="3" t="s">
        <v>1206</v>
      </c>
      <c r="C153" s="3" t="s">
        <v>1206</v>
      </c>
      <c r="D153" s="25" t="s">
        <v>1205</v>
      </c>
      <c r="E153" s="4" t="s">
        <v>1222</v>
      </c>
      <c r="F153" s="3">
        <v>0</v>
      </c>
      <c r="G153" s="3">
        <v>300</v>
      </c>
      <c r="H153" s="3">
        <v>0</v>
      </c>
      <c r="I153" s="3">
        <v>50</v>
      </c>
      <c r="J153" s="3">
        <v>0</v>
      </c>
      <c r="K153" s="3">
        <v>1</v>
      </c>
      <c r="L153" s="3">
        <v>0</v>
      </c>
      <c r="M153" s="3">
        <v>20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51</v>
      </c>
      <c r="AM153" s="3" t="s">
        <v>654</v>
      </c>
      <c r="AN153" s="3" t="s">
        <v>1997</v>
      </c>
      <c r="AO153" s="3" t="s">
        <v>1853</v>
      </c>
      <c r="AP153" s="3">
        <v>0</v>
      </c>
      <c r="AQ153" s="3">
        <v>0</v>
      </c>
      <c r="AR153">
        <v>0</v>
      </c>
      <c r="AS153">
        <v>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row>
    <row r="154" spans="1:67" ht="15.75" customHeight="1" x14ac:dyDescent="0.2">
      <c r="A154" s="3">
        <f t="shared" si="2"/>
        <v>152</v>
      </c>
      <c r="B154" s="3" t="s">
        <v>1192</v>
      </c>
      <c r="C154" s="3" t="s">
        <v>1192</v>
      </c>
      <c r="D154" s="25" t="s">
        <v>1191</v>
      </c>
      <c r="E154" s="4" t="s">
        <v>1190</v>
      </c>
      <c r="F154" s="3">
        <v>0</v>
      </c>
      <c r="G154" s="3">
        <v>300</v>
      </c>
      <c r="H154" s="3">
        <v>0</v>
      </c>
      <c r="I154" s="3">
        <v>50</v>
      </c>
      <c r="J154" s="3">
        <v>0</v>
      </c>
      <c r="K154" s="3">
        <v>1</v>
      </c>
      <c r="L154" s="3">
        <v>0</v>
      </c>
      <c r="M154" s="3">
        <v>20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51</v>
      </c>
      <c r="AM154" s="3" t="s">
        <v>654</v>
      </c>
      <c r="AN154" s="3" t="s">
        <v>1997</v>
      </c>
      <c r="AO154" s="3" t="s">
        <v>1853</v>
      </c>
      <c r="AP154" s="3">
        <v>0</v>
      </c>
      <c r="AQ154" s="3">
        <v>0</v>
      </c>
      <c r="AR154">
        <v>0</v>
      </c>
      <c r="AS154">
        <v>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row>
    <row r="155" spans="1:67" ht="15.75" customHeight="1" x14ac:dyDescent="0.2">
      <c r="A155" s="3">
        <f t="shared" si="2"/>
        <v>153</v>
      </c>
      <c r="B155" s="3" t="s">
        <v>1192</v>
      </c>
      <c r="C155" s="3" t="s">
        <v>1195</v>
      </c>
      <c r="D155" s="25" t="s">
        <v>1193</v>
      </c>
      <c r="E155" s="4" t="s">
        <v>1194</v>
      </c>
      <c r="F155" s="3">
        <v>0</v>
      </c>
      <c r="G155" s="3">
        <v>300</v>
      </c>
      <c r="H155" s="3">
        <v>0</v>
      </c>
      <c r="I155" s="3">
        <v>50</v>
      </c>
      <c r="J155" s="3">
        <v>0</v>
      </c>
      <c r="K155" s="3">
        <v>1</v>
      </c>
      <c r="L155" s="3">
        <v>0</v>
      </c>
      <c r="M155" s="3">
        <v>20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51</v>
      </c>
      <c r="AM155" s="3" t="s">
        <v>654</v>
      </c>
      <c r="AN155" s="3" t="s">
        <v>1997</v>
      </c>
      <c r="AO155" s="3" t="s">
        <v>1853</v>
      </c>
      <c r="AP155" s="3">
        <v>0</v>
      </c>
      <c r="AQ155" s="3">
        <v>0</v>
      </c>
      <c r="AR155">
        <v>0</v>
      </c>
      <c r="AS155">
        <v>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row>
    <row r="156" spans="1:67" ht="15.75" customHeight="1" x14ac:dyDescent="0.2">
      <c r="A156" s="3">
        <f t="shared" si="2"/>
        <v>154</v>
      </c>
      <c r="B156" s="3" t="s">
        <v>1201</v>
      </c>
      <c r="C156" s="3" t="s">
        <v>1201</v>
      </c>
      <c r="D156" s="25" t="s">
        <v>1199</v>
      </c>
      <c r="E156" s="4" t="s">
        <v>1200</v>
      </c>
      <c r="F156" s="3">
        <v>0</v>
      </c>
      <c r="G156" s="3">
        <v>300</v>
      </c>
      <c r="H156" s="3">
        <v>0</v>
      </c>
      <c r="I156" s="3">
        <v>50</v>
      </c>
      <c r="J156" s="3">
        <v>0</v>
      </c>
      <c r="K156" s="3">
        <v>1</v>
      </c>
      <c r="L156" s="3">
        <v>0</v>
      </c>
      <c r="M156" s="3">
        <v>20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51</v>
      </c>
      <c r="AM156" s="3" t="s">
        <v>654</v>
      </c>
      <c r="AN156" s="3" t="s">
        <v>1997</v>
      </c>
      <c r="AO156" s="3" t="s">
        <v>1853</v>
      </c>
      <c r="AP156" s="3">
        <v>0</v>
      </c>
      <c r="AQ156" s="3">
        <v>0</v>
      </c>
      <c r="AR156">
        <v>0</v>
      </c>
      <c r="AS156">
        <v>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row>
    <row r="157" spans="1:67" ht="15.75" customHeight="1" x14ac:dyDescent="0.2">
      <c r="A157" s="3">
        <f t="shared" si="2"/>
        <v>155</v>
      </c>
      <c r="B157" s="3" t="s">
        <v>696</v>
      </c>
      <c r="C157" s="3" t="s">
        <v>696</v>
      </c>
      <c r="D157" s="25" t="s">
        <v>697</v>
      </c>
      <c r="E157" s="4" t="s">
        <v>698</v>
      </c>
      <c r="F157" s="3">
        <v>0</v>
      </c>
      <c r="G157" s="3">
        <v>300</v>
      </c>
      <c r="H157" s="3">
        <v>0</v>
      </c>
      <c r="I157" s="3">
        <v>50</v>
      </c>
      <c r="J157" s="3">
        <v>0</v>
      </c>
      <c r="K157" s="3">
        <v>1</v>
      </c>
      <c r="L157" s="3">
        <v>0</v>
      </c>
      <c r="M157" s="3">
        <v>20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51</v>
      </c>
      <c r="AM157" s="3" t="s">
        <v>654</v>
      </c>
      <c r="AN157" s="3" t="s">
        <v>1997</v>
      </c>
      <c r="AO157" s="3" t="s">
        <v>1853</v>
      </c>
      <c r="AP157" s="3">
        <v>0</v>
      </c>
      <c r="AQ157" s="3">
        <v>0</v>
      </c>
      <c r="AR157">
        <v>0</v>
      </c>
      <c r="AS157">
        <v>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row>
    <row r="158" spans="1:67" ht="15.75" customHeight="1" x14ac:dyDescent="0.2">
      <c r="A158" s="3">
        <f t="shared" si="2"/>
        <v>156</v>
      </c>
      <c r="B158" s="3" t="s">
        <v>1192</v>
      </c>
      <c r="C158" s="3" t="s">
        <v>1377</v>
      </c>
      <c r="D158" s="25" t="s">
        <v>1378</v>
      </c>
      <c r="E158" s="4" t="s">
        <v>1379</v>
      </c>
      <c r="F158" s="3">
        <v>0</v>
      </c>
      <c r="G158" s="3">
        <v>300</v>
      </c>
      <c r="H158" s="3">
        <v>0</v>
      </c>
      <c r="I158" s="3">
        <v>50</v>
      </c>
      <c r="J158" s="3">
        <v>0</v>
      </c>
      <c r="K158" s="3">
        <v>1</v>
      </c>
      <c r="L158" s="3">
        <v>0</v>
      </c>
      <c r="M158" s="3">
        <v>20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654</v>
      </c>
      <c r="AN158" s="3" t="s">
        <v>1997</v>
      </c>
      <c r="AO158" s="3" t="s">
        <v>1853</v>
      </c>
      <c r="AP158" s="3">
        <v>0</v>
      </c>
      <c r="AQ158" s="3">
        <v>0</v>
      </c>
      <c r="AR158">
        <v>0</v>
      </c>
      <c r="AS158">
        <v>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row>
    <row r="159" spans="1:67" ht="15.75" customHeight="1" x14ac:dyDescent="0.2">
      <c r="A159" s="3">
        <f t="shared" si="2"/>
        <v>157</v>
      </c>
      <c r="B159" s="3" t="s">
        <v>1396</v>
      </c>
      <c r="C159" s="3" t="s">
        <v>1396</v>
      </c>
      <c r="D159" s="25" t="s">
        <v>1395</v>
      </c>
      <c r="E159" s="4" t="s">
        <v>1397</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654</v>
      </c>
      <c r="AN159" s="3" t="s">
        <v>1997</v>
      </c>
      <c r="AO159" s="3" t="s">
        <v>1853</v>
      </c>
      <c r="AP159" s="3">
        <v>0</v>
      </c>
      <c r="AQ159" s="3">
        <v>0</v>
      </c>
      <c r="AR159">
        <v>0</v>
      </c>
      <c r="AS159">
        <v>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row>
    <row r="160" spans="1:67" ht="15.75" customHeight="1" x14ac:dyDescent="0.2">
      <c r="A160" s="3">
        <f t="shared" si="2"/>
        <v>158</v>
      </c>
      <c r="B160" s="3" t="s">
        <v>1873</v>
      </c>
      <c r="C160" s="3" t="s">
        <v>1873</v>
      </c>
      <c r="D160" s="25" t="s">
        <v>1872</v>
      </c>
      <c r="E160" s="4" t="s">
        <v>1912</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654</v>
      </c>
      <c r="AN160" s="3" t="s">
        <v>1997</v>
      </c>
      <c r="AO160" s="3" t="s">
        <v>50</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2</v>
      </c>
      <c r="BL160">
        <v>0</v>
      </c>
      <c r="BM160">
        <v>0</v>
      </c>
      <c r="BN160">
        <v>0</v>
      </c>
      <c r="BO160">
        <v>0</v>
      </c>
    </row>
    <row r="161" spans="1:67" ht="15.75" customHeight="1" x14ac:dyDescent="0.2">
      <c r="A161" s="3">
        <f t="shared" si="2"/>
        <v>159</v>
      </c>
      <c r="B161" s="3" t="s">
        <v>696</v>
      </c>
      <c r="C161" s="3" t="s">
        <v>1634</v>
      </c>
      <c r="D161" s="25" t="s">
        <v>1633</v>
      </c>
      <c r="E161" s="4" t="s">
        <v>1635</v>
      </c>
      <c r="F161" s="3">
        <v>0</v>
      </c>
      <c r="G161" s="3">
        <v>300</v>
      </c>
      <c r="H161" s="3">
        <v>0</v>
      </c>
      <c r="I161" s="3">
        <v>50</v>
      </c>
      <c r="J161" s="3">
        <v>0</v>
      </c>
      <c r="K161" s="3">
        <v>1</v>
      </c>
      <c r="L161" s="3">
        <v>0</v>
      </c>
      <c r="M161" s="3">
        <v>20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51</v>
      </c>
      <c r="AM161" s="3" t="s">
        <v>654</v>
      </c>
      <c r="AN161" s="3" t="s">
        <v>1997</v>
      </c>
      <c r="AO161" s="3" t="s">
        <v>1853</v>
      </c>
      <c r="AP161" s="3">
        <v>0</v>
      </c>
      <c r="AQ161" s="3">
        <v>0</v>
      </c>
      <c r="AR161">
        <v>0</v>
      </c>
      <c r="AS161">
        <v>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1</v>
      </c>
    </row>
    <row r="162" spans="1:67" ht="15.75" customHeight="1" x14ac:dyDescent="0.2">
      <c r="A162" s="3">
        <f t="shared" si="2"/>
        <v>160</v>
      </c>
      <c r="B162" s="3" t="s">
        <v>3255</v>
      </c>
      <c r="C162" s="3" t="s">
        <v>3255</v>
      </c>
      <c r="D162" s="25" t="s">
        <v>3253</v>
      </c>
      <c r="E162" s="4" t="s">
        <v>3254</v>
      </c>
      <c r="F162" s="3">
        <v>0</v>
      </c>
      <c r="G162" s="3">
        <v>300</v>
      </c>
      <c r="H162" s="3">
        <v>0</v>
      </c>
      <c r="I162" s="3">
        <v>50</v>
      </c>
      <c r="J162" s="3">
        <v>0</v>
      </c>
      <c r="K162" s="3">
        <v>1</v>
      </c>
      <c r="L162" s="3">
        <v>0</v>
      </c>
      <c r="M162" s="3">
        <v>20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51</v>
      </c>
      <c r="AM162" s="3" t="s">
        <v>654</v>
      </c>
      <c r="AN162" s="3" t="s">
        <v>1997</v>
      </c>
      <c r="AO162" s="3" t="s">
        <v>50</v>
      </c>
      <c r="AP162" s="3">
        <v>0</v>
      </c>
      <c r="AQ162" s="3">
        <v>0</v>
      </c>
      <c r="AR162">
        <v>0</v>
      </c>
      <c r="AS162">
        <v>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row>
    <row r="163" spans="1:67" ht="15.75" customHeight="1" x14ac:dyDescent="0.2">
      <c r="A163" s="3">
        <f t="shared" si="2"/>
        <v>161</v>
      </c>
      <c r="B163" s="3" t="s">
        <v>3287</v>
      </c>
      <c r="C163" s="3" t="s">
        <v>3287</v>
      </c>
      <c r="D163" s="25" t="s">
        <v>3286</v>
      </c>
      <c r="E163" s="4" t="s">
        <v>3288</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654</v>
      </c>
      <c r="AN163" s="3" t="s">
        <v>1997</v>
      </c>
      <c r="AO163" s="3" t="s">
        <v>50</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row>
    <row r="164" spans="1:67" ht="15.75" customHeight="1" x14ac:dyDescent="0.2">
      <c r="A164" s="3">
        <f t="shared" si="2"/>
        <v>162</v>
      </c>
      <c r="B164" s="3" t="s">
        <v>3291</v>
      </c>
      <c r="C164" s="3" t="s">
        <v>3291</v>
      </c>
      <c r="D164" s="25" t="s">
        <v>3290</v>
      </c>
      <c r="E164" s="4" t="s">
        <v>3289</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654</v>
      </c>
      <c r="AN164" s="3" t="s">
        <v>1997</v>
      </c>
      <c r="AO164" s="3" t="s">
        <v>50</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row>
    <row r="165" spans="1:67" ht="15.75" customHeight="1" x14ac:dyDescent="0.2">
      <c r="A165" s="3">
        <f t="shared" si="2"/>
        <v>163</v>
      </c>
      <c r="B165" s="3" t="s">
        <v>3293</v>
      </c>
      <c r="C165" s="3" t="s">
        <v>3293</v>
      </c>
      <c r="D165" s="25" t="s">
        <v>3393</v>
      </c>
      <c r="E165" s="4" t="s">
        <v>3292</v>
      </c>
      <c r="F165" s="3">
        <v>0</v>
      </c>
      <c r="G165" s="3">
        <v>0</v>
      </c>
      <c r="H165" s="3">
        <v>0</v>
      </c>
      <c r="I165" s="3">
        <v>0</v>
      </c>
      <c r="J165" s="3">
        <v>0</v>
      </c>
      <c r="K165" s="3">
        <v>1</v>
      </c>
      <c r="L165" s="3">
        <v>0</v>
      </c>
      <c r="M165" s="3">
        <v>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270</v>
      </c>
      <c r="AN165" s="3" t="s">
        <v>2968</v>
      </c>
      <c r="AO165" s="3" t="s">
        <v>50</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row>
    <row r="166" spans="1:67" s="9" customFormat="1" ht="15.75" customHeight="1" x14ac:dyDescent="0.2">
      <c r="A166" s="7">
        <f t="shared" si="2"/>
        <v>164</v>
      </c>
      <c r="B166" s="7" t="s">
        <v>605</v>
      </c>
      <c r="C166" s="7" t="s">
        <v>2242</v>
      </c>
      <c r="D166" s="26" t="s">
        <v>2243</v>
      </c>
      <c r="E166" s="11" t="s">
        <v>2389</v>
      </c>
      <c r="F166" s="7">
        <v>0</v>
      </c>
      <c r="G166" s="7">
        <v>300</v>
      </c>
      <c r="H166" s="7">
        <v>0</v>
      </c>
      <c r="I166" s="7">
        <v>50</v>
      </c>
      <c r="J166" s="7">
        <v>0</v>
      </c>
      <c r="K166" s="7">
        <v>1</v>
      </c>
      <c r="L166" s="7">
        <v>0</v>
      </c>
      <c r="M166" s="7">
        <v>20</v>
      </c>
      <c r="N166" s="7">
        <v>0</v>
      </c>
      <c r="O166" s="7">
        <v>0</v>
      </c>
      <c r="P166" s="7">
        <v>0</v>
      </c>
      <c r="Q166" s="7">
        <v>0</v>
      </c>
      <c r="R166" s="7">
        <v>0</v>
      </c>
      <c r="S166" s="7">
        <v>0</v>
      </c>
      <c r="T166" s="7">
        <v>0</v>
      </c>
      <c r="U166" s="7">
        <v>0</v>
      </c>
      <c r="V166" s="7">
        <v>0</v>
      </c>
      <c r="W166" s="7">
        <v>0</v>
      </c>
      <c r="X166" s="7">
        <v>0</v>
      </c>
      <c r="Y166" s="7">
        <v>0</v>
      </c>
      <c r="Z166" s="7">
        <v>0</v>
      </c>
      <c r="AA166" s="7">
        <v>0</v>
      </c>
      <c r="AB166" s="7">
        <v>0</v>
      </c>
      <c r="AC166" s="7">
        <v>0</v>
      </c>
      <c r="AD166" s="7">
        <v>0</v>
      </c>
      <c r="AE166" s="7">
        <v>0</v>
      </c>
      <c r="AF166" s="7">
        <v>0</v>
      </c>
      <c r="AG166" s="7">
        <v>0</v>
      </c>
      <c r="AH166" s="7">
        <v>0</v>
      </c>
      <c r="AI166" s="7">
        <v>0</v>
      </c>
      <c r="AJ166" s="7">
        <v>0</v>
      </c>
      <c r="AK166" s="7">
        <v>0</v>
      </c>
      <c r="AL166" s="7" t="s">
        <v>51</v>
      </c>
      <c r="AM166" s="7" t="s">
        <v>654</v>
      </c>
      <c r="AN166" s="7" t="s">
        <v>1997</v>
      </c>
      <c r="AO166" s="7" t="s">
        <v>50</v>
      </c>
      <c r="AP166" s="7">
        <v>0</v>
      </c>
      <c r="AQ166" s="7">
        <v>0</v>
      </c>
      <c r="AR166" s="9">
        <v>0</v>
      </c>
      <c r="AS166" s="9">
        <v>1</v>
      </c>
      <c r="AT166" s="10" t="s">
        <v>50</v>
      </c>
      <c r="AU166" s="10" t="s">
        <v>50</v>
      </c>
      <c r="AV166" s="10" t="s">
        <v>50</v>
      </c>
      <c r="AW166" s="10" t="s">
        <v>50</v>
      </c>
      <c r="AX166" s="10" t="s">
        <v>50</v>
      </c>
      <c r="AY166" s="10" t="s">
        <v>50</v>
      </c>
      <c r="AZ166" s="10" t="s">
        <v>50</v>
      </c>
      <c r="BA166" s="10" t="s">
        <v>50</v>
      </c>
      <c r="BB166" s="10" t="s">
        <v>50</v>
      </c>
      <c r="BC166" s="10" t="s">
        <v>50</v>
      </c>
      <c r="BD166" s="10" t="s">
        <v>50</v>
      </c>
      <c r="BE166" s="10" t="s">
        <v>50</v>
      </c>
      <c r="BF166" s="10" t="s">
        <v>50</v>
      </c>
      <c r="BG166" s="10" t="s">
        <v>50</v>
      </c>
      <c r="BH166" s="10" t="s">
        <v>50</v>
      </c>
      <c r="BI166" s="9">
        <v>0</v>
      </c>
      <c r="BJ166" s="9">
        <v>0</v>
      </c>
      <c r="BK166" s="9">
        <v>1</v>
      </c>
      <c r="BL166" s="9">
        <v>0</v>
      </c>
      <c r="BM166" s="9">
        <v>0</v>
      </c>
      <c r="BN166" s="9">
        <v>0</v>
      </c>
      <c r="BO166" s="9">
        <v>0</v>
      </c>
    </row>
    <row r="167" spans="1:67" ht="15.75" customHeight="1" x14ac:dyDescent="0.2">
      <c r="A167" s="3">
        <f t="shared" si="2"/>
        <v>165</v>
      </c>
      <c r="B167" s="3" t="s">
        <v>52</v>
      </c>
      <c r="C167" s="3" t="s">
        <v>179</v>
      </c>
      <c r="D167" s="25" t="s">
        <v>49</v>
      </c>
      <c r="E167" s="4" t="s">
        <v>488</v>
      </c>
      <c r="F167" s="3">
        <v>0</v>
      </c>
      <c r="G167" s="3">
        <v>0</v>
      </c>
      <c r="H167" s="3">
        <v>0</v>
      </c>
      <c r="I167" s="3">
        <v>0</v>
      </c>
      <c r="J167" s="3">
        <v>0</v>
      </c>
      <c r="K167" s="3">
        <v>1</v>
      </c>
      <c r="L167" s="3">
        <v>0</v>
      </c>
      <c r="M167" s="3">
        <v>10</v>
      </c>
      <c r="N167" s="3">
        <v>0</v>
      </c>
      <c r="O167" s="3">
        <v>0</v>
      </c>
      <c r="P167" s="3">
        <v>20</v>
      </c>
      <c r="Q167" s="3">
        <v>0</v>
      </c>
      <c r="R167" s="3">
        <v>20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270</v>
      </c>
      <c r="AN167" s="3" t="s">
        <v>1998</v>
      </c>
      <c r="AO167" s="3" t="s">
        <v>1853</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row>
    <row r="168" spans="1:67" ht="15.75" customHeight="1" x14ac:dyDescent="0.2">
      <c r="A168" s="3">
        <f t="shared" si="2"/>
        <v>166</v>
      </c>
      <c r="B168" s="3" t="s">
        <v>52</v>
      </c>
      <c r="C168" s="3" t="s">
        <v>489</v>
      </c>
      <c r="D168" s="25" t="s">
        <v>487</v>
      </c>
      <c r="E168" s="4" t="s">
        <v>703</v>
      </c>
      <c r="F168" s="3">
        <v>0</v>
      </c>
      <c r="G168" s="3">
        <v>0</v>
      </c>
      <c r="H168" s="3">
        <v>0</v>
      </c>
      <c r="I168" s="3">
        <v>0</v>
      </c>
      <c r="J168" s="3">
        <v>0</v>
      </c>
      <c r="K168" s="3">
        <v>1</v>
      </c>
      <c r="L168" s="3">
        <v>0</v>
      </c>
      <c r="M168" s="3">
        <v>10</v>
      </c>
      <c r="N168" s="3">
        <v>0</v>
      </c>
      <c r="O168" s="3">
        <v>0</v>
      </c>
      <c r="P168" s="3">
        <v>20</v>
      </c>
      <c r="Q168" s="3">
        <v>0</v>
      </c>
      <c r="R168" s="3">
        <v>20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270</v>
      </c>
      <c r="AN168" s="3" t="s">
        <v>1998</v>
      </c>
      <c r="AO168" s="3" t="s">
        <v>1853</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row>
    <row r="169" spans="1:67" ht="15.75" customHeight="1" x14ac:dyDescent="0.2">
      <c r="A169" s="3">
        <f t="shared" si="2"/>
        <v>167</v>
      </c>
      <c r="B169" s="3" t="s">
        <v>1488</v>
      </c>
      <c r="C169" s="3" t="s">
        <v>3318</v>
      </c>
      <c r="D169" s="25" t="s">
        <v>1890</v>
      </c>
      <c r="E169" s="4" t="s">
        <v>3321</v>
      </c>
      <c r="F169" s="3">
        <v>0</v>
      </c>
      <c r="G169" s="3">
        <v>0</v>
      </c>
      <c r="H169" s="3">
        <v>0</v>
      </c>
      <c r="I169" s="3">
        <v>0</v>
      </c>
      <c r="J169" s="3">
        <v>0</v>
      </c>
      <c r="K169" s="3">
        <v>1</v>
      </c>
      <c r="L169" s="3">
        <v>0</v>
      </c>
      <c r="M169" s="3">
        <v>10</v>
      </c>
      <c r="N169" s="3">
        <v>0</v>
      </c>
      <c r="O169" s="3">
        <v>0</v>
      </c>
      <c r="P169" s="3">
        <v>20</v>
      </c>
      <c r="Q169" s="3">
        <v>0</v>
      </c>
      <c r="R169" s="3">
        <v>20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270</v>
      </c>
      <c r="AN169" s="3" t="s">
        <v>1998</v>
      </c>
      <c r="AO169" s="3" t="s">
        <v>50</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row>
    <row r="170" spans="1:67" ht="15.75" customHeight="1" x14ac:dyDescent="0.2">
      <c r="A170" s="3">
        <f t="shared" si="2"/>
        <v>168</v>
      </c>
      <c r="B170" s="3" t="s">
        <v>52</v>
      </c>
      <c r="C170" s="3" t="s">
        <v>1889</v>
      </c>
      <c r="D170" s="25" t="s">
        <v>3320</v>
      </c>
      <c r="E170" s="4" t="s">
        <v>3319</v>
      </c>
      <c r="F170" s="3">
        <v>0</v>
      </c>
      <c r="G170" s="3">
        <v>0</v>
      </c>
      <c r="H170" s="3">
        <v>0</v>
      </c>
      <c r="I170" s="3">
        <v>0</v>
      </c>
      <c r="J170" s="3">
        <v>0</v>
      </c>
      <c r="K170" s="3">
        <v>1</v>
      </c>
      <c r="L170" s="3">
        <v>0</v>
      </c>
      <c r="M170" s="3">
        <v>10</v>
      </c>
      <c r="N170" s="3">
        <v>0</v>
      </c>
      <c r="O170" s="3">
        <v>0</v>
      </c>
      <c r="P170" s="3">
        <v>20</v>
      </c>
      <c r="Q170" s="3">
        <v>0</v>
      </c>
      <c r="R170" s="3">
        <v>20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270</v>
      </c>
      <c r="AN170" s="3" t="s">
        <v>1998</v>
      </c>
      <c r="AO170" s="3" t="s">
        <v>50</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row>
    <row r="171" spans="1:67" ht="15.75" customHeight="1" x14ac:dyDescent="0.2">
      <c r="A171" s="3">
        <f t="shared" si="2"/>
        <v>169</v>
      </c>
      <c r="B171" s="3" t="s">
        <v>52</v>
      </c>
      <c r="C171" s="3" t="s">
        <v>367</v>
      </c>
      <c r="D171" s="25" t="s">
        <v>381</v>
      </c>
      <c r="E171" s="4" t="s">
        <v>412</v>
      </c>
      <c r="F171" s="3">
        <v>0</v>
      </c>
      <c r="G171" s="3">
        <v>0</v>
      </c>
      <c r="H171" s="3">
        <v>0</v>
      </c>
      <c r="I171" s="3">
        <v>0</v>
      </c>
      <c r="J171" s="3">
        <v>0</v>
      </c>
      <c r="K171" s="3">
        <v>1</v>
      </c>
      <c r="L171" s="3">
        <v>0</v>
      </c>
      <c r="M171" s="3">
        <v>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270</v>
      </c>
      <c r="AN171" s="3" t="s">
        <v>1998</v>
      </c>
      <c r="AO171" s="3" t="s">
        <v>1853</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row>
    <row r="172" spans="1:67" ht="15.75" customHeight="1" x14ac:dyDescent="0.2">
      <c r="A172" s="3">
        <f t="shared" si="2"/>
        <v>170</v>
      </c>
      <c r="B172" s="3" t="s">
        <v>52</v>
      </c>
      <c r="C172" s="3" t="s">
        <v>411</v>
      </c>
      <c r="D172" s="25" t="s">
        <v>410</v>
      </c>
      <c r="E172" s="4" t="s">
        <v>413</v>
      </c>
      <c r="F172" s="3">
        <v>0</v>
      </c>
      <c r="G172" s="3">
        <v>0</v>
      </c>
      <c r="H172" s="3">
        <v>0</v>
      </c>
      <c r="I172" s="3">
        <v>0</v>
      </c>
      <c r="J172" s="3">
        <v>0</v>
      </c>
      <c r="K172" s="3">
        <v>1</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270</v>
      </c>
      <c r="AN172" s="3" t="s">
        <v>1998</v>
      </c>
      <c r="AO172" s="3" t="s">
        <v>1853</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row>
    <row r="173" spans="1:67" ht="15.75" customHeight="1" x14ac:dyDescent="0.2">
      <c r="A173" s="3">
        <f t="shared" si="2"/>
        <v>171</v>
      </c>
      <c r="B173" s="3" t="s">
        <v>3475</v>
      </c>
      <c r="C173" s="3" t="s">
        <v>1838</v>
      </c>
      <c r="D173" s="25" t="s">
        <v>1836</v>
      </c>
      <c r="E173" s="4" t="s">
        <v>1837</v>
      </c>
      <c r="F173" s="3">
        <v>0</v>
      </c>
      <c r="G173" s="3">
        <v>0</v>
      </c>
      <c r="H173" s="3">
        <v>0</v>
      </c>
      <c r="I173" s="3">
        <v>0</v>
      </c>
      <c r="J173" s="3">
        <v>0</v>
      </c>
      <c r="K173" s="3">
        <v>1</v>
      </c>
      <c r="L173" s="3">
        <v>0</v>
      </c>
      <c r="M173" s="3">
        <v>10</v>
      </c>
      <c r="N173" s="3">
        <v>0</v>
      </c>
      <c r="O173" s="3">
        <v>0</v>
      </c>
      <c r="P173" s="3">
        <v>20</v>
      </c>
      <c r="Q173" s="3">
        <v>0</v>
      </c>
      <c r="R173" s="3">
        <v>20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270</v>
      </c>
      <c r="AN173" s="3" t="s">
        <v>1998</v>
      </c>
      <c r="AO173" s="3" t="s">
        <v>1853</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row>
    <row r="174" spans="1:67" ht="15.75" customHeight="1" x14ac:dyDescent="0.2">
      <c r="A174" s="3">
        <f t="shared" si="2"/>
        <v>172</v>
      </c>
      <c r="B174" s="3" t="s">
        <v>605</v>
      </c>
      <c r="C174" s="3" t="s">
        <v>2759</v>
      </c>
      <c r="D174" s="25" t="s">
        <v>2758</v>
      </c>
      <c r="E174" s="4" t="s">
        <v>2760</v>
      </c>
      <c r="F174" s="3">
        <v>0</v>
      </c>
      <c r="G174" s="3">
        <v>0</v>
      </c>
      <c r="H174" s="3">
        <v>0</v>
      </c>
      <c r="I174" s="3">
        <v>0</v>
      </c>
      <c r="J174" s="3">
        <v>0</v>
      </c>
      <c r="K174" s="3">
        <v>1</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270</v>
      </c>
      <c r="AN174" s="3" t="s">
        <v>1998</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row>
    <row r="175" spans="1:67" ht="15.75" customHeight="1" x14ac:dyDescent="0.2">
      <c r="A175" s="3">
        <f t="shared" si="2"/>
        <v>173</v>
      </c>
      <c r="B175" s="3" t="s">
        <v>2996</v>
      </c>
      <c r="C175" s="3" t="s">
        <v>2800</v>
      </c>
      <c r="D175" s="25" t="s">
        <v>2949</v>
      </c>
      <c r="E175" s="4" t="s">
        <v>2801</v>
      </c>
      <c r="F175" s="3">
        <v>0</v>
      </c>
      <c r="G175" s="3">
        <v>0</v>
      </c>
      <c r="H175" s="3">
        <v>0</v>
      </c>
      <c r="I175" s="3">
        <v>0</v>
      </c>
      <c r="J175" s="3">
        <v>0</v>
      </c>
      <c r="K175" s="3">
        <v>1</v>
      </c>
      <c r="L175" s="3">
        <v>0</v>
      </c>
      <c r="M175" s="3">
        <v>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270</v>
      </c>
      <c r="AN175" s="3" t="s">
        <v>1998</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row>
    <row r="176" spans="1:67" ht="15.75" customHeight="1" x14ac:dyDescent="0.2">
      <c r="A176" s="3">
        <f t="shared" si="2"/>
        <v>174</v>
      </c>
      <c r="B176" s="3" t="s">
        <v>2979</v>
      </c>
      <c r="C176" s="3" t="s">
        <v>2787</v>
      </c>
      <c r="D176" s="25" t="s">
        <v>2785</v>
      </c>
      <c r="E176" s="4" t="s">
        <v>2786</v>
      </c>
      <c r="F176" s="3">
        <v>0</v>
      </c>
      <c r="G176" s="3">
        <v>0</v>
      </c>
      <c r="H176" s="3">
        <v>0</v>
      </c>
      <c r="I176" s="3">
        <v>0</v>
      </c>
      <c r="J176" s="3">
        <v>0</v>
      </c>
      <c r="K176" s="3">
        <v>1</v>
      </c>
      <c r="L176" s="3">
        <v>0</v>
      </c>
      <c r="M176" s="3">
        <v>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270</v>
      </c>
      <c r="AN176" s="3" t="s">
        <v>1998</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row>
    <row r="177" spans="1:67" ht="15.75" customHeight="1" x14ac:dyDescent="0.2">
      <c r="A177" s="3">
        <f t="shared" si="2"/>
        <v>175</v>
      </c>
      <c r="B177" s="3" t="s">
        <v>1488</v>
      </c>
      <c r="C177" s="3" t="s">
        <v>3273</v>
      </c>
      <c r="D177" s="25" t="s">
        <v>3272</v>
      </c>
      <c r="E177" s="5" t="s">
        <v>3271</v>
      </c>
      <c r="F177" s="3">
        <v>0</v>
      </c>
      <c r="G177" s="3">
        <v>0</v>
      </c>
      <c r="H177" s="3">
        <v>0</v>
      </c>
      <c r="I177" s="3">
        <v>0</v>
      </c>
      <c r="J177" s="3">
        <v>0</v>
      </c>
      <c r="K177" s="3">
        <v>1</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1998</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row>
    <row r="178" spans="1:67" ht="15.75" customHeight="1" x14ac:dyDescent="0.2">
      <c r="A178" s="3">
        <f>ROW()-2</f>
        <v>176</v>
      </c>
      <c r="B178" s="3" t="s">
        <v>3473</v>
      </c>
      <c r="C178" s="3" t="s">
        <v>3449</v>
      </c>
      <c r="D178" s="25" t="s">
        <v>3447</v>
      </c>
      <c r="E178" s="4" t="s">
        <v>3448</v>
      </c>
      <c r="F178" s="3">
        <v>0</v>
      </c>
      <c r="G178" s="3">
        <v>0</v>
      </c>
      <c r="H178" s="3">
        <v>0</v>
      </c>
      <c r="I178" s="3">
        <v>0</v>
      </c>
      <c r="J178" s="3">
        <v>0</v>
      </c>
      <c r="K178" s="3">
        <v>1</v>
      </c>
      <c r="L178" s="3">
        <v>0</v>
      </c>
      <c r="M178" s="3">
        <v>10</v>
      </c>
      <c r="N178" s="3">
        <v>0</v>
      </c>
      <c r="O178" s="3">
        <v>0</v>
      </c>
      <c r="P178" s="3">
        <v>20</v>
      </c>
      <c r="Q178" s="3">
        <v>0</v>
      </c>
      <c r="R178" s="3">
        <v>20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51</v>
      </c>
      <c r="AM178" s="3" t="s">
        <v>270</v>
      </c>
      <c r="AN178" s="3" t="s">
        <v>1998</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0</v>
      </c>
      <c r="BK178">
        <v>1</v>
      </c>
      <c r="BL178">
        <v>0</v>
      </c>
      <c r="BM178">
        <v>0</v>
      </c>
      <c r="BN178">
        <v>0</v>
      </c>
      <c r="BO178">
        <v>0</v>
      </c>
    </row>
    <row r="179" spans="1:67" ht="15.75" customHeight="1" x14ac:dyDescent="0.2">
      <c r="A179" s="3">
        <f t="shared" si="2"/>
        <v>177</v>
      </c>
      <c r="B179" s="3" t="s">
        <v>3474</v>
      </c>
      <c r="C179" s="3" t="s">
        <v>3452</v>
      </c>
      <c r="D179" s="25" t="s">
        <v>3451</v>
      </c>
      <c r="E179" s="4" t="s">
        <v>3464</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1998</v>
      </c>
      <c r="AO179" s="3" t="s">
        <v>50</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row>
    <row r="180" spans="1:67" ht="15.75" customHeight="1" x14ac:dyDescent="0.2">
      <c r="A180" s="3">
        <f t="shared" si="2"/>
        <v>178</v>
      </c>
      <c r="B180" s="3" t="s">
        <v>605</v>
      </c>
      <c r="C180" s="3" t="s">
        <v>1003</v>
      </c>
      <c r="D180" s="25" t="s">
        <v>1085</v>
      </c>
      <c r="E180" s="4" t="s">
        <v>1004</v>
      </c>
      <c r="F180" s="3">
        <v>0</v>
      </c>
      <c r="G180" s="3">
        <v>0</v>
      </c>
      <c r="H180" s="3">
        <v>0</v>
      </c>
      <c r="I180" s="3">
        <v>0</v>
      </c>
      <c r="J180" s="3">
        <v>0</v>
      </c>
      <c r="K180" s="3">
        <v>1</v>
      </c>
      <c r="L180" s="3">
        <v>0</v>
      </c>
      <c r="M180" s="3">
        <v>0</v>
      </c>
      <c r="N180" s="3">
        <v>0</v>
      </c>
      <c r="O180" s="3">
        <v>0</v>
      </c>
      <c r="P180" s="3">
        <v>0</v>
      </c>
      <c r="Q180" s="3">
        <v>0</v>
      </c>
      <c r="R180" s="3">
        <v>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2630</v>
      </c>
      <c r="AN180" s="3" t="s">
        <v>2060</v>
      </c>
      <c r="AO180" s="3" t="s">
        <v>1853</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row>
    <row r="181" spans="1:67" ht="15.75" customHeight="1" x14ac:dyDescent="0.2">
      <c r="A181" s="3">
        <f t="shared" si="2"/>
        <v>179</v>
      </c>
      <c r="B181" s="3" t="s">
        <v>2973</v>
      </c>
      <c r="C181" s="3" t="s">
        <v>2660</v>
      </c>
      <c r="D181" s="25" t="s">
        <v>2658</v>
      </c>
      <c r="E181" s="4" t="s">
        <v>2659</v>
      </c>
      <c r="F181" s="3">
        <v>0</v>
      </c>
      <c r="G181" s="3">
        <v>0</v>
      </c>
      <c r="H181" s="3">
        <v>0</v>
      </c>
      <c r="I181" s="3">
        <v>0</v>
      </c>
      <c r="J181" s="3">
        <v>0</v>
      </c>
      <c r="K181" s="3">
        <v>1</v>
      </c>
      <c r="L181" s="3">
        <v>0</v>
      </c>
      <c r="M181" s="3">
        <v>0</v>
      </c>
      <c r="N181" s="3">
        <v>0</v>
      </c>
      <c r="O181" s="3">
        <v>0</v>
      </c>
      <c r="P181" s="3">
        <v>0</v>
      </c>
      <c r="Q181" s="3">
        <v>0</v>
      </c>
      <c r="R181" s="3">
        <v>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2630</v>
      </c>
      <c r="AN181" s="3" t="s">
        <v>2060</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row>
    <row r="182" spans="1:67" ht="15.75" customHeight="1" x14ac:dyDescent="0.2">
      <c r="A182" s="3">
        <f t="shared" si="2"/>
        <v>180</v>
      </c>
      <c r="B182" s="3" t="s">
        <v>2972</v>
      </c>
      <c r="C182" s="3" t="s">
        <v>2663</v>
      </c>
      <c r="D182" s="25" t="s">
        <v>2661</v>
      </c>
      <c r="E182" s="4" t="s">
        <v>2662</v>
      </c>
      <c r="F182" s="3">
        <v>0</v>
      </c>
      <c r="G182" s="3">
        <v>0</v>
      </c>
      <c r="H182" s="3">
        <v>0</v>
      </c>
      <c r="I182" s="3">
        <v>0</v>
      </c>
      <c r="J182" s="3">
        <v>0</v>
      </c>
      <c r="K182" s="3">
        <v>1</v>
      </c>
      <c r="L182" s="3">
        <v>0</v>
      </c>
      <c r="M182" s="3">
        <v>0</v>
      </c>
      <c r="N182" s="3">
        <v>0</v>
      </c>
      <c r="O182" s="3">
        <v>0</v>
      </c>
      <c r="P182" s="3">
        <v>0</v>
      </c>
      <c r="Q182" s="3">
        <v>0</v>
      </c>
      <c r="R182" s="3">
        <v>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2630</v>
      </c>
      <c r="AN182" s="3" t="s">
        <v>2060</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row>
    <row r="183" spans="1:67" ht="15.75" customHeight="1" x14ac:dyDescent="0.2">
      <c r="A183" s="3">
        <f t="shared" si="2"/>
        <v>181</v>
      </c>
      <c r="B183" s="3" t="s">
        <v>2974</v>
      </c>
      <c r="C183" s="3" t="s">
        <v>2673</v>
      </c>
      <c r="D183" s="25" t="s">
        <v>2664</v>
      </c>
      <c r="E183" s="4" t="s">
        <v>2669</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2630</v>
      </c>
      <c r="AN183" s="3" t="s">
        <v>2060</v>
      </c>
      <c r="AO183" s="3" t="s">
        <v>50</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row>
    <row r="184" spans="1:67" ht="15.75" customHeight="1" x14ac:dyDescent="0.2">
      <c r="A184" s="3">
        <f t="shared" si="2"/>
        <v>182</v>
      </c>
      <c r="B184" s="3" t="s">
        <v>2975</v>
      </c>
      <c r="C184" s="3" t="s">
        <v>2674</v>
      </c>
      <c r="D184" s="25" t="s">
        <v>2665</v>
      </c>
      <c r="E184" s="4" t="s">
        <v>2670</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2630</v>
      </c>
      <c r="AN184" s="3" t="s">
        <v>2060</v>
      </c>
      <c r="AO184" s="3" t="s">
        <v>50</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row>
    <row r="185" spans="1:67" ht="15.75" customHeight="1" x14ac:dyDescent="0.2">
      <c r="A185" s="3">
        <f t="shared" si="2"/>
        <v>183</v>
      </c>
      <c r="B185" s="3" t="s">
        <v>2976</v>
      </c>
      <c r="C185" s="3" t="s">
        <v>2675</v>
      </c>
      <c r="D185" s="25" t="s">
        <v>2666</v>
      </c>
      <c r="E185" s="4" t="s">
        <v>2671</v>
      </c>
      <c r="F185" s="3">
        <v>0</v>
      </c>
      <c r="G185" s="3">
        <v>0</v>
      </c>
      <c r="H185" s="3">
        <v>0</v>
      </c>
      <c r="I185" s="3">
        <v>0</v>
      </c>
      <c r="J185" s="3">
        <v>0</v>
      </c>
      <c r="K185" s="3">
        <v>1</v>
      </c>
      <c r="L185" s="3">
        <v>0</v>
      </c>
      <c r="M185" s="3">
        <v>0</v>
      </c>
      <c r="N185" s="3">
        <v>0</v>
      </c>
      <c r="O185" s="3">
        <v>0</v>
      </c>
      <c r="P185" s="3">
        <v>0</v>
      </c>
      <c r="Q185" s="3">
        <v>0</v>
      </c>
      <c r="R185" s="3">
        <v>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2630</v>
      </c>
      <c r="AN185" s="3" t="s">
        <v>2060</v>
      </c>
      <c r="AO185" s="3" t="s">
        <v>50</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row>
    <row r="186" spans="1:67" ht="15.75" customHeight="1" x14ac:dyDescent="0.2">
      <c r="A186" s="3">
        <f t="shared" si="2"/>
        <v>184</v>
      </c>
      <c r="B186" s="3" t="s">
        <v>2977</v>
      </c>
      <c r="C186" s="3" t="s">
        <v>2676</v>
      </c>
      <c r="D186" s="25" t="s">
        <v>2667</v>
      </c>
      <c r="E186" s="4" t="s">
        <v>2672</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2630</v>
      </c>
      <c r="AN186" s="3" t="s">
        <v>2060</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row>
    <row r="187" spans="1:67" ht="15.75" customHeight="1" x14ac:dyDescent="0.2">
      <c r="A187" s="3">
        <f t="shared" si="2"/>
        <v>185</v>
      </c>
      <c r="B187" s="3" t="s">
        <v>2978</v>
      </c>
      <c r="C187" s="3" t="s">
        <v>2677</v>
      </c>
      <c r="D187" s="25" t="s">
        <v>2668</v>
      </c>
      <c r="E187" s="4" t="s">
        <v>2678</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2630</v>
      </c>
      <c r="AN187" s="3" t="s">
        <v>2060</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row>
    <row r="188" spans="1:67" ht="15.75" customHeight="1" x14ac:dyDescent="0.2">
      <c r="A188" s="3">
        <f t="shared" si="2"/>
        <v>186</v>
      </c>
      <c r="B188" s="3" t="s">
        <v>1488</v>
      </c>
      <c r="C188" s="3" t="s">
        <v>3348</v>
      </c>
      <c r="D188" s="25" t="s">
        <v>3349</v>
      </c>
      <c r="E188" s="4" t="s">
        <v>3350</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2630</v>
      </c>
      <c r="AN188" s="3" t="s">
        <v>2060</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row>
    <row r="189" spans="1:67" ht="15.75" customHeight="1" x14ac:dyDescent="0.2">
      <c r="A189" s="3">
        <f t="shared" si="2"/>
        <v>187</v>
      </c>
      <c r="B189" s="3" t="s">
        <v>605</v>
      </c>
      <c r="C189" s="3" t="s">
        <v>844</v>
      </c>
      <c r="D189" s="25" t="s">
        <v>590</v>
      </c>
      <c r="E189" s="5" t="s">
        <v>586</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270</v>
      </c>
      <c r="AN189" s="3" t="s">
        <v>1998</v>
      </c>
      <c r="AO189" s="3" t="s">
        <v>1853</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row>
    <row r="190" spans="1:67" ht="15.75" customHeight="1" x14ac:dyDescent="0.2">
      <c r="A190" s="3">
        <f t="shared" si="2"/>
        <v>188</v>
      </c>
      <c r="B190" s="3" t="s">
        <v>605</v>
      </c>
      <c r="C190" s="3" t="s">
        <v>587</v>
      </c>
      <c r="D190" s="25" t="s">
        <v>589</v>
      </c>
      <c r="E190" s="5" t="s">
        <v>588</v>
      </c>
      <c r="F190" s="3">
        <v>0</v>
      </c>
      <c r="G190" s="3">
        <v>0</v>
      </c>
      <c r="H190" s="3">
        <v>0</v>
      </c>
      <c r="I190" s="3">
        <v>0</v>
      </c>
      <c r="J190" s="3">
        <v>0</v>
      </c>
      <c r="K190" s="3">
        <v>1</v>
      </c>
      <c r="L190" s="3">
        <v>0</v>
      </c>
      <c r="M190" s="3">
        <v>0</v>
      </c>
      <c r="N190" s="3">
        <v>0</v>
      </c>
      <c r="O190" s="3">
        <v>0</v>
      </c>
      <c r="P190" s="3">
        <v>0</v>
      </c>
      <c r="Q190" s="3">
        <v>0</v>
      </c>
      <c r="R190" s="3">
        <v>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270</v>
      </c>
      <c r="AN190" s="3" t="s">
        <v>1998</v>
      </c>
      <c r="AO190" s="3" t="s">
        <v>1853</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row>
    <row r="191" spans="1:67" ht="15.75" customHeight="1" x14ac:dyDescent="0.2">
      <c r="A191" s="3">
        <f t="shared" si="2"/>
        <v>189</v>
      </c>
      <c r="B191" s="3" t="s">
        <v>52</v>
      </c>
      <c r="C191" s="3" t="s">
        <v>591</v>
      </c>
      <c r="D191" s="25" t="s">
        <v>847</v>
      </c>
      <c r="E191" s="5" t="s">
        <v>846</v>
      </c>
      <c r="F191" s="3">
        <v>0</v>
      </c>
      <c r="G191" s="3">
        <v>0</v>
      </c>
      <c r="H191" s="3">
        <v>0</v>
      </c>
      <c r="I191" s="3">
        <v>0</v>
      </c>
      <c r="J191" s="3">
        <v>0</v>
      </c>
      <c r="K191" s="3">
        <v>1</v>
      </c>
      <c r="L191" s="3">
        <v>0</v>
      </c>
      <c r="M191" s="3">
        <v>0</v>
      </c>
      <c r="N191" s="3">
        <v>0</v>
      </c>
      <c r="O191" s="3">
        <v>0</v>
      </c>
      <c r="P191" s="3">
        <v>0</v>
      </c>
      <c r="Q191" s="3">
        <v>0</v>
      </c>
      <c r="R191" s="3">
        <v>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270</v>
      </c>
      <c r="AN191" s="3" t="s">
        <v>1998</v>
      </c>
      <c r="AO191" s="3" t="s">
        <v>1853</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row>
    <row r="192" spans="1:67" ht="15.75" customHeight="1" x14ac:dyDescent="0.2">
      <c r="A192" s="3">
        <f t="shared" si="2"/>
        <v>190</v>
      </c>
      <c r="B192" s="3" t="s">
        <v>52</v>
      </c>
      <c r="C192" s="3" t="s">
        <v>966</v>
      </c>
      <c r="D192" s="25" t="s">
        <v>965</v>
      </c>
      <c r="E192" s="4" t="s">
        <v>964</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270</v>
      </c>
      <c r="AN192" s="3" t="s">
        <v>1998</v>
      </c>
      <c r="AO192" s="3" t="s">
        <v>1853</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row>
    <row r="193" spans="1:67" ht="15.75" customHeight="1" x14ac:dyDescent="0.2">
      <c r="A193" s="3">
        <f t="shared" si="2"/>
        <v>191</v>
      </c>
      <c r="B193" s="3" t="s">
        <v>52</v>
      </c>
      <c r="C193" s="3" t="s">
        <v>628</v>
      </c>
      <c r="D193" s="25" t="s">
        <v>629</v>
      </c>
      <c r="E193" s="5" t="s">
        <v>630</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270</v>
      </c>
      <c r="AN193" s="3" t="s">
        <v>1998</v>
      </c>
      <c r="AO193" s="3" t="s">
        <v>1853</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row>
    <row r="194" spans="1:67" ht="15.75" customHeight="1" x14ac:dyDescent="0.2">
      <c r="A194" s="3">
        <f t="shared" si="2"/>
        <v>192</v>
      </c>
      <c r="B194" s="3" t="s">
        <v>52</v>
      </c>
      <c r="C194" s="3" t="s">
        <v>981</v>
      </c>
      <c r="D194" s="25" t="s">
        <v>980</v>
      </c>
      <c r="E194" s="5" t="s">
        <v>979</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270</v>
      </c>
      <c r="AN194" s="3" t="s">
        <v>1998</v>
      </c>
      <c r="AO194" s="3" t="s">
        <v>1853</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row>
    <row r="195" spans="1:67" ht="15.75" customHeight="1" x14ac:dyDescent="0.2">
      <c r="A195" s="3">
        <f t="shared" si="2"/>
        <v>193</v>
      </c>
      <c r="B195" s="3" t="s">
        <v>2775</v>
      </c>
      <c r="C195" s="3" t="s">
        <v>2775</v>
      </c>
      <c r="D195" s="25" t="s">
        <v>2774</v>
      </c>
      <c r="E195" s="4" t="s">
        <v>2792</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270</v>
      </c>
      <c r="AN195" s="3" t="s">
        <v>1998</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row>
    <row r="196" spans="1:67" ht="15.75" customHeight="1" x14ac:dyDescent="0.2">
      <c r="A196" s="3">
        <f t="shared" si="2"/>
        <v>194</v>
      </c>
      <c r="B196" s="3" t="s">
        <v>2766</v>
      </c>
      <c r="C196" s="3" t="s">
        <v>2766</v>
      </c>
      <c r="D196" s="25" t="s">
        <v>2764</v>
      </c>
      <c r="E196" s="5" t="s">
        <v>2765</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270</v>
      </c>
      <c r="AN196" s="3" t="s">
        <v>1998</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row>
    <row r="197" spans="1:67" ht="15.75" customHeight="1" x14ac:dyDescent="0.2">
      <c r="A197" s="3">
        <f t="shared" ref="A197:A261" si="3">ROW()-2</f>
        <v>195</v>
      </c>
      <c r="B197" s="3" t="s">
        <v>2767</v>
      </c>
      <c r="C197" s="3" t="s">
        <v>2767</v>
      </c>
      <c r="D197" s="25" t="s">
        <v>2944</v>
      </c>
      <c r="E197" s="5" t="s">
        <v>2768</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270</v>
      </c>
      <c r="AN197" s="3" t="s">
        <v>1998</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row>
    <row r="198" spans="1:67" s="9" customFormat="1" ht="15.75" customHeight="1" x14ac:dyDescent="0.2">
      <c r="A198" s="7">
        <f t="shared" si="3"/>
        <v>196</v>
      </c>
      <c r="B198" s="7" t="s">
        <v>1488</v>
      </c>
      <c r="C198" s="7" t="s">
        <v>1418</v>
      </c>
      <c r="D198" s="26" t="s">
        <v>1419</v>
      </c>
      <c r="E198" s="8" t="s">
        <v>1420</v>
      </c>
      <c r="F198" s="7">
        <v>0</v>
      </c>
      <c r="G198" s="7">
        <v>0</v>
      </c>
      <c r="H198" s="7">
        <v>0</v>
      </c>
      <c r="I198" s="7">
        <v>0</v>
      </c>
      <c r="J198" s="7">
        <v>0</v>
      </c>
      <c r="K198" s="7">
        <v>1</v>
      </c>
      <c r="L198" s="7">
        <v>0</v>
      </c>
      <c r="M198" s="7">
        <v>0</v>
      </c>
      <c r="N198" s="7">
        <v>0</v>
      </c>
      <c r="O198" s="7">
        <v>0</v>
      </c>
      <c r="P198" s="7">
        <v>0</v>
      </c>
      <c r="Q198" s="7">
        <v>0</v>
      </c>
      <c r="R198" s="7">
        <v>0</v>
      </c>
      <c r="S198" s="7">
        <v>0</v>
      </c>
      <c r="T198" s="7">
        <v>0</v>
      </c>
      <c r="U198" s="7">
        <v>0</v>
      </c>
      <c r="V198" s="7">
        <v>0</v>
      </c>
      <c r="W198" s="7">
        <v>0</v>
      </c>
      <c r="X198" s="7">
        <v>0</v>
      </c>
      <c r="Y198" s="7">
        <v>0</v>
      </c>
      <c r="Z198" s="7">
        <v>0</v>
      </c>
      <c r="AA198" s="7">
        <v>0</v>
      </c>
      <c r="AB198" s="7">
        <v>0</v>
      </c>
      <c r="AC198" s="7">
        <v>0</v>
      </c>
      <c r="AD198" s="7">
        <v>0</v>
      </c>
      <c r="AE198" s="7">
        <v>0</v>
      </c>
      <c r="AF198" s="7">
        <v>0</v>
      </c>
      <c r="AG198" s="7">
        <v>0</v>
      </c>
      <c r="AH198" s="7">
        <v>0</v>
      </c>
      <c r="AI198" s="7">
        <v>0</v>
      </c>
      <c r="AJ198" s="7">
        <v>0</v>
      </c>
      <c r="AK198" s="7">
        <v>0</v>
      </c>
      <c r="AL198" s="7" t="s">
        <v>51</v>
      </c>
      <c r="AM198" s="7" t="s">
        <v>270</v>
      </c>
      <c r="AN198" s="7" t="s">
        <v>1998</v>
      </c>
      <c r="AO198" s="7" t="s">
        <v>1853</v>
      </c>
      <c r="AP198" s="7">
        <v>0</v>
      </c>
      <c r="AQ198" s="7">
        <v>0</v>
      </c>
      <c r="AR198" s="9">
        <v>0</v>
      </c>
      <c r="AS198" s="9">
        <v>0</v>
      </c>
      <c r="AT198" s="10" t="s">
        <v>50</v>
      </c>
      <c r="AU198" s="10" t="s">
        <v>50</v>
      </c>
      <c r="AV198" s="10" t="s">
        <v>50</v>
      </c>
      <c r="AW198" s="10" t="s">
        <v>50</v>
      </c>
      <c r="AX198" s="10" t="s">
        <v>50</v>
      </c>
      <c r="AY198" s="10" t="s">
        <v>50</v>
      </c>
      <c r="AZ198" s="10" t="s">
        <v>50</v>
      </c>
      <c r="BA198" s="10" t="s">
        <v>50</v>
      </c>
      <c r="BB198" s="10" t="s">
        <v>50</v>
      </c>
      <c r="BC198" s="10" t="s">
        <v>50</v>
      </c>
      <c r="BD198" s="10" t="s">
        <v>50</v>
      </c>
      <c r="BE198" s="10" t="s">
        <v>50</v>
      </c>
      <c r="BF198" s="10" t="s">
        <v>50</v>
      </c>
      <c r="BG198" s="10" t="s">
        <v>50</v>
      </c>
      <c r="BH198" s="10" t="s">
        <v>50</v>
      </c>
      <c r="BI198" s="9">
        <v>0</v>
      </c>
      <c r="BJ198" s="9">
        <v>0</v>
      </c>
      <c r="BK198" s="9">
        <v>1</v>
      </c>
      <c r="BL198" s="9">
        <v>0</v>
      </c>
      <c r="BM198" s="9">
        <v>0</v>
      </c>
      <c r="BN198" s="9">
        <v>0</v>
      </c>
      <c r="BO198" s="9">
        <v>0</v>
      </c>
    </row>
    <row r="199" spans="1:67" ht="15.75" customHeight="1" x14ac:dyDescent="0.2">
      <c r="A199" s="3">
        <f t="shared" si="3"/>
        <v>197</v>
      </c>
      <c r="B199" s="3" t="s">
        <v>52</v>
      </c>
      <c r="C199" s="3" t="s">
        <v>438</v>
      </c>
      <c r="D199" s="25" t="s">
        <v>437</v>
      </c>
      <c r="E199" s="4" t="s">
        <v>1084</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270</v>
      </c>
      <c r="AN199" s="3" t="s">
        <v>1998</v>
      </c>
      <c r="AO199" s="3" t="s">
        <v>1853</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row>
    <row r="200" spans="1:67" ht="15.75" customHeight="1" x14ac:dyDescent="0.2">
      <c r="A200" s="3">
        <f t="shared" si="3"/>
        <v>198</v>
      </c>
      <c r="B200" s="3" t="s">
        <v>2916</v>
      </c>
      <c r="C200" s="3" t="s">
        <v>2916</v>
      </c>
      <c r="D200" s="25" t="s">
        <v>2917</v>
      </c>
      <c r="E200" s="4" t="s">
        <v>2980</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270</v>
      </c>
      <c r="AN200" s="3" t="s">
        <v>3069</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row>
    <row r="201" spans="1:67" ht="15.75" customHeight="1" x14ac:dyDescent="0.2">
      <c r="A201" s="3">
        <f t="shared" si="3"/>
        <v>199</v>
      </c>
      <c r="B201" s="3" t="s">
        <v>52</v>
      </c>
      <c r="C201" s="3" t="s">
        <v>1415</v>
      </c>
      <c r="D201" s="25" t="s">
        <v>1416</v>
      </c>
      <c r="E201" s="4" t="s">
        <v>1417</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270</v>
      </c>
      <c r="AN201" s="3" t="s">
        <v>1998</v>
      </c>
      <c r="AO201" s="3" t="s">
        <v>1853</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row>
    <row r="202" spans="1:67" ht="15.75" customHeight="1" x14ac:dyDescent="0.2">
      <c r="A202" s="3">
        <f t="shared" si="3"/>
        <v>200</v>
      </c>
      <c r="B202" s="3" t="s">
        <v>52</v>
      </c>
      <c r="C202" s="3" t="s">
        <v>441</v>
      </c>
      <c r="D202" s="25" t="s">
        <v>1082</v>
      </c>
      <c r="E202" s="4" t="s">
        <v>1083</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270</v>
      </c>
      <c r="AN202" s="3" t="s">
        <v>1998</v>
      </c>
      <c r="AO202" s="3" t="s">
        <v>1853</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row>
    <row r="203" spans="1:67" ht="15.75" customHeight="1" x14ac:dyDescent="0.2">
      <c r="A203" s="3">
        <f t="shared" si="3"/>
        <v>201</v>
      </c>
      <c r="B203" s="3" t="s">
        <v>3355</v>
      </c>
      <c r="C203" s="3" t="s">
        <v>3355</v>
      </c>
      <c r="D203" s="25" t="s">
        <v>3322</v>
      </c>
      <c r="E203" s="4" t="s">
        <v>3323</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1998</v>
      </c>
      <c r="AO203" s="3" t="s">
        <v>50</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row>
    <row r="204" spans="1:67" ht="15.75" customHeight="1" x14ac:dyDescent="0.2">
      <c r="A204" s="3">
        <f t="shared" si="3"/>
        <v>202</v>
      </c>
      <c r="B204" s="3" t="s">
        <v>3356</v>
      </c>
      <c r="C204" s="3" t="s">
        <v>3356</v>
      </c>
      <c r="D204" s="25" t="s">
        <v>3324</v>
      </c>
      <c r="E204" s="4" t="s">
        <v>3325</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1998</v>
      </c>
      <c r="AO204" s="3" t="s">
        <v>50</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row>
    <row r="205" spans="1:67" ht="15.75" customHeight="1" x14ac:dyDescent="0.2">
      <c r="A205" s="3">
        <f t="shared" si="3"/>
        <v>203</v>
      </c>
      <c r="B205" s="3" t="s">
        <v>3329</v>
      </c>
      <c r="C205" s="3" t="s">
        <v>3329</v>
      </c>
      <c r="D205" s="5" t="s">
        <v>3330</v>
      </c>
      <c r="E205" s="5" t="s">
        <v>3331</v>
      </c>
      <c r="F205" s="3">
        <v>0</v>
      </c>
      <c r="G205" s="3">
        <v>300</v>
      </c>
      <c r="H205" s="3">
        <v>0</v>
      </c>
      <c r="I205" s="3">
        <v>50</v>
      </c>
      <c r="J205" s="3">
        <v>5</v>
      </c>
      <c r="K205" s="3">
        <v>1</v>
      </c>
      <c r="L205" s="3">
        <v>0</v>
      </c>
      <c r="M205" s="3">
        <v>20</v>
      </c>
      <c r="N205" s="3">
        <v>0</v>
      </c>
      <c r="O205" s="3">
        <v>0</v>
      </c>
      <c r="P205" s="3">
        <v>35</v>
      </c>
      <c r="Q205" s="3">
        <v>0</v>
      </c>
      <c r="R205" s="3">
        <v>10</v>
      </c>
      <c r="S205" s="3">
        <v>0</v>
      </c>
      <c r="T205" s="3">
        <v>0</v>
      </c>
      <c r="U205" s="3">
        <v>0</v>
      </c>
      <c r="V205" s="3">
        <v>-3</v>
      </c>
      <c r="W205" s="3">
        <v>10</v>
      </c>
      <c r="X205" s="3">
        <v>0</v>
      </c>
      <c r="Y205" s="3">
        <v>0</v>
      </c>
      <c r="Z205" s="3">
        <v>0</v>
      </c>
      <c r="AA205" s="3">
        <v>0</v>
      </c>
      <c r="AB205" s="3">
        <v>0</v>
      </c>
      <c r="AC205" s="3">
        <v>3</v>
      </c>
      <c r="AD205" s="3">
        <v>0</v>
      </c>
      <c r="AE205" s="3">
        <v>0</v>
      </c>
      <c r="AF205" s="3">
        <v>0</v>
      </c>
      <c r="AG205" s="3">
        <v>10</v>
      </c>
      <c r="AH205" s="3">
        <v>0</v>
      </c>
      <c r="AI205" s="3">
        <v>0</v>
      </c>
      <c r="AJ205" s="3">
        <v>0</v>
      </c>
      <c r="AK205" s="3">
        <v>0</v>
      </c>
      <c r="AL205" s="3" t="s">
        <v>17</v>
      </c>
      <c r="AM205" s="3" t="s">
        <v>270</v>
      </c>
      <c r="AN205" s="3" t="s">
        <v>1998</v>
      </c>
      <c r="AO205" s="3" t="s">
        <v>50</v>
      </c>
      <c r="AP205" s="3">
        <v>0</v>
      </c>
      <c r="AQ205" s="3">
        <v>0</v>
      </c>
      <c r="AR205">
        <v>0</v>
      </c>
      <c r="AS205">
        <v>1</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row>
    <row r="206" spans="1:67" ht="15.75" customHeight="1" x14ac:dyDescent="0.2">
      <c r="A206" s="3">
        <f t="shared" si="3"/>
        <v>204</v>
      </c>
      <c r="B206" s="3" t="s">
        <v>3281</v>
      </c>
      <c r="C206" s="3" t="s">
        <v>3281</v>
      </c>
      <c r="D206" s="5" t="s">
        <v>3280</v>
      </c>
      <c r="E206" s="5" t="s">
        <v>3282</v>
      </c>
      <c r="F206" s="3">
        <v>0</v>
      </c>
      <c r="G206" s="3">
        <v>300</v>
      </c>
      <c r="H206" s="3">
        <v>0</v>
      </c>
      <c r="I206" s="3">
        <v>50</v>
      </c>
      <c r="J206" s="3">
        <v>5</v>
      </c>
      <c r="K206" s="3">
        <v>1</v>
      </c>
      <c r="L206" s="3">
        <v>0</v>
      </c>
      <c r="M206" s="3">
        <v>20</v>
      </c>
      <c r="N206" s="3">
        <v>0</v>
      </c>
      <c r="O206" s="3">
        <v>0</v>
      </c>
      <c r="P206" s="3">
        <v>35</v>
      </c>
      <c r="Q206" s="3">
        <v>0</v>
      </c>
      <c r="R206" s="3">
        <v>10</v>
      </c>
      <c r="S206" s="3">
        <v>0</v>
      </c>
      <c r="T206" s="3">
        <v>0</v>
      </c>
      <c r="U206" s="3">
        <v>0</v>
      </c>
      <c r="V206" s="3">
        <v>-3</v>
      </c>
      <c r="W206" s="3">
        <v>10</v>
      </c>
      <c r="X206" s="3">
        <v>0</v>
      </c>
      <c r="Y206" s="3">
        <v>0</v>
      </c>
      <c r="Z206" s="3">
        <v>0</v>
      </c>
      <c r="AA206" s="3">
        <v>0</v>
      </c>
      <c r="AB206" s="3">
        <v>0</v>
      </c>
      <c r="AC206" s="3">
        <v>3</v>
      </c>
      <c r="AD206" s="3">
        <v>0</v>
      </c>
      <c r="AE206" s="3">
        <v>0</v>
      </c>
      <c r="AF206" s="3">
        <v>0</v>
      </c>
      <c r="AG206" s="3">
        <v>10</v>
      </c>
      <c r="AH206" s="3">
        <v>0</v>
      </c>
      <c r="AI206" s="3">
        <v>0</v>
      </c>
      <c r="AJ206" s="3">
        <v>0</v>
      </c>
      <c r="AK206" s="3">
        <v>0</v>
      </c>
      <c r="AL206" s="3" t="s">
        <v>17</v>
      </c>
      <c r="AM206" s="3" t="s">
        <v>270</v>
      </c>
      <c r="AN206" s="3" t="s">
        <v>1998</v>
      </c>
      <c r="AO206" s="3" t="s">
        <v>50</v>
      </c>
      <c r="AP206" s="3">
        <v>0</v>
      </c>
      <c r="AQ206" s="3">
        <v>0</v>
      </c>
      <c r="AR206">
        <v>0</v>
      </c>
      <c r="AS206">
        <v>1</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row>
    <row r="207" spans="1:67" ht="15.75" customHeight="1" x14ac:dyDescent="0.2">
      <c r="A207" s="3">
        <f t="shared" si="3"/>
        <v>205</v>
      </c>
      <c r="B207" s="3" t="s">
        <v>3328</v>
      </c>
      <c r="C207" s="3" t="s">
        <v>3328</v>
      </c>
      <c r="D207" s="5" t="s">
        <v>3326</v>
      </c>
      <c r="E207" s="5" t="s">
        <v>3327</v>
      </c>
      <c r="F207" s="3">
        <v>0</v>
      </c>
      <c r="G207" s="3">
        <v>300</v>
      </c>
      <c r="H207" s="3">
        <v>0</v>
      </c>
      <c r="I207" s="3">
        <v>50</v>
      </c>
      <c r="J207" s="3">
        <v>5</v>
      </c>
      <c r="K207" s="3">
        <v>1</v>
      </c>
      <c r="L207" s="3">
        <v>0</v>
      </c>
      <c r="M207" s="3">
        <v>20</v>
      </c>
      <c r="N207" s="3">
        <v>0</v>
      </c>
      <c r="O207" s="3">
        <v>0</v>
      </c>
      <c r="P207" s="3">
        <v>35</v>
      </c>
      <c r="Q207" s="3">
        <v>0</v>
      </c>
      <c r="R207" s="3">
        <v>10</v>
      </c>
      <c r="S207" s="3">
        <v>0</v>
      </c>
      <c r="T207" s="3">
        <v>0</v>
      </c>
      <c r="U207" s="3">
        <v>0</v>
      </c>
      <c r="V207" s="3">
        <v>-3</v>
      </c>
      <c r="W207" s="3">
        <v>10</v>
      </c>
      <c r="X207" s="3">
        <v>0</v>
      </c>
      <c r="Y207" s="3">
        <v>0</v>
      </c>
      <c r="Z207" s="3">
        <v>0</v>
      </c>
      <c r="AA207" s="3">
        <v>0</v>
      </c>
      <c r="AB207" s="3">
        <v>0</v>
      </c>
      <c r="AC207" s="3">
        <v>3</v>
      </c>
      <c r="AD207" s="3">
        <v>0</v>
      </c>
      <c r="AE207" s="3">
        <v>0</v>
      </c>
      <c r="AF207" s="3">
        <v>0</v>
      </c>
      <c r="AG207" s="3">
        <v>10</v>
      </c>
      <c r="AH207" s="3">
        <v>0</v>
      </c>
      <c r="AI207" s="3">
        <v>0</v>
      </c>
      <c r="AJ207" s="3">
        <v>0</v>
      </c>
      <c r="AK207" s="3">
        <v>0</v>
      </c>
      <c r="AL207" s="3" t="s">
        <v>17</v>
      </c>
      <c r="AM207" s="3" t="s">
        <v>270</v>
      </c>
      <c r="AN207" s="3" t="s">
        <v>1998</v>
      </c>
      <c r="AO207" s="3" t="s">
        <v>50</v>
      </c>
      <c r="AP207" s="3">
        <v>0</v>
      </c>
      <c r="AQ207" s="3">
        <v>0</v>
      </c>
      <c r="AR207">
        <v>0</v>
      </c>
      <c r="AS207">
        <v>1</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row>
    <row r="208" spans="1:67" s="37" customFormat="1" ht="15.75" customHeight="1" x14ac:dyDescent="0.2">
      <c r="A208" s="34">
        <f t="shared" si="3"/>
        <v>206</v>
      </c>
      <c r="B208" s="34" t="s">
        <v>52</v>
      </c>
      <c r="C208" s="34" t="s">
        <v>3162</v>
      </c>
      <c r="D208" s="39" t="s">
        <v>3231</v>
      </c>
      <c r="E208" s="39" t="s">
        <v>3161</v>
      </c>
      <c r="F208" s="34">
        <v>0</v>
      </c>
      <c r="G208" s="34">
        <v>300</v>
      </c>
      <c r="H208" s="34">
        <v>0</v>
      </c>
      <c r="I208" s="34">
        <v>50</v>
      </c>
      <c r="J208" s="34">
        <v>5</v>
      </c>
      <c r="K208" s="34">
        <v>1</v>
      </c>
      <c r="L208" s="34">
        <v>0</v>
      </c>
      <c r="M208" s="34">
        <v>20</v>
      </c>
      <c r="N208" s="34">
        <v>0</v>
      </c>
      <c r="O208" s="34">
        <v>0</v>
      </c>
      <c r="P208" s="34">
        <v>35</v>
      </c>
      <c r="Q208" s="34">
        <v>0</v>
      </c>
      <c r="R208" s="34">
        <v>10</v>
      </c>
      <c r="S208" s="34">
        <v>0</v>
      </c>
      <c r="T208" s="34">
        <v>0</v>
      </c>
      <c r="U208" s="34">
        <v>0</v>
      </c>
      <c r="V208" s="34">
        <v>-3</v>
      </c>
      <c r="W208" s="34">
        <v>10</v>
      </c>
      <c r="X208" s="34">
        <v>0</v>
      </c>
      <c r="Y208" s="34">
        <v>0</v>
      </c>
      <c r="Z208" s="34">
        <v>0</v>
      </c>
      <c r="AA208" s="34">
        <v>0</v>
      </c>
      <c r="AB208" s="34">
        <v>0</v>
      </c>
      <c r="AC208" s="34">
        <v>3</v>
      </c>
      <c r="AD208" s="34">
        <v>0</v>
      </c>
      <c r="AE208" s="34">
        <v>0</v>
      </c>
      <c r="AF208" s="34">
        <v>0</v>
      </c>
      <c r="AG208" s="34">
        <v>10</v>
      </c>
      <c r="AH208" s="34">
        <v>0</v>
      </c>
      <c r="AI208" s="34">
        <v>0</v>
      </c>
      <c r="AJ208" s="34">
        <v>0</v>
      </c>
      <c r="AK208" s="34">
        <v>0</v>
      </c>
      <c r="AL208" s="34" t="s">
        <v>17</v>
      </c>
      <c r="AM208" s="34" t="s">
        <v>270</v>
      </c>
      <c r="AN208" s="34" t="s">
        <v>1998</v>
      </c>
      <c r="AO208" s="34" t="s">
        <v>50</v>
      </c>
      <c r="AP208" s="34">
        <v>0</v>
      </c>
      <c r="AQ208" s="34">
        <v>0</v>
      </c>
      <c r="AR208" s="37">
        <v>0</v>
      </c>
      <c r="AS208" s="37">
        <v>1</v>
      </c>
      <c r="AT208" s="38" t="s">
        <v>50</v>
      </c>
      <c r="AU208" s="38" t="s">
        <v>50</v>
      </c>
      <c r="AV208" s="38" t="s">
        <v>50</v>
      </c>
      <c r="AW208" s="38" t="s">
        <v>50</v>
      </c>
      <c r="AX208" s="38" t="s">
        <v>50</v>
      </c>
      <c r="AY208" s="38" t="s">
        <v>50</v>
      </c>
      <c r="AZ208" s="38" t="s">
        <v>50</v>
      </c>
      <c r="BA208" s="38" t="s">
        <v>50</v>
      </c>
      <c r="BB208" s="38" t="s">
        <v>50</v>
      </c>
      <c r="BC208" s="38" t="s">
        <v>50</v>
      </c>
      <c r="BD208" s="38" t="s">
        <v>50</v>
      </c>
      <c r="BE208" s="38" t="s">
        <v>50</v>
      </c>
      <c r="BF208" s="38" t="s">
        <v>50</v>
      </c>
      <c r="BG208" s="38" t="s">
        <v>50</v>
      </c>
      <c r="BH208" s="38" t="s">
        <v>50</v>
      </c>
      <c r="BI208" s="37">
        <v>1</v>
      </c>
      <c r="BJ208" s="37">
        <v>0</v>
      </c>
      <c r="BK208" s="37">
        <v>1</v>
      </c>
      <c r="BL208" s="37">
        <v>0</v>
      </c>
      <c r="BM208" s="37">
        <v>0</v>
      </c>
      <c r="BN208" s="37">
        <v>0</v>
      </c>
      <c r="BO208" s="37">
        <v>0</v>
      </c>
    </row>
    <row r="209" spans="1:67" ht="15.75" customHeight="1" x14ac:dyDescent="0.2">
      <c r="A209" s="3">
        <f t="shared" si="3"/>
        <v>207</v>
      </c>
      <c r="B209" s="3" t="s">
        <v>605</v>
      </c>
      <c r="C209" s="3" t="s">
        <v>440</v>
      </c>
      <c r="D209" s="25" t="s">
        <v>439</v>
      </c>
      <c r="E209" s="4" t="s">
        <v>2763</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270</v>
      </c>
      <c r="AN209" s="3" t="s">
        <v>1998</v>
      </c>
      <c r="AO209" s="3" t="s">
        <v>1853</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row>
    <row r="210" spans="1:67" ht="15.75" customHeight="1" x14ac:dyDescent="0.2">
      <c r="A210" s="3">
        <f t="shared" si="3"/>
        <v>208</v>
      </c>
      <c r="B210" s="3" t="s">
        <v>3427</v>
      </c>
      <c r="C210" s="3" t="s">
        <v>3265</v>
      </c>
      <c r="D210" s="25" t="s">
        <v>3264</v>
      </c>
      <c r="E210" s="4" t="s">
        <v>3262</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270</v>
      </c>
      <c r="AN210" s="3" t="s">
        <v>1998</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row>
    <row r="211" spans="1:67" ht="15.75" customHeight="1" x14ac:dyDescent="0.2">
      <c r="A211" s="3">
        <f t="shared" si="3"/>
        <v>209</v>
      </c>
      <c r="B211" s="3" t="s">
        <v>1488</v>
      </c>
      <c r="C211" s="3" t="s">
        <v>3276</v>
      </c>
      <c r="D211" s="25" t="s">
        <v>3275</v>
      </c>
      <c r="E211" s="5" t="s">
        <v>3274</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1998</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row>
    <row r="212" spans="1:67" ht="15.75" customHeight="1" x14ac:dyDescent="0.2">
      <c r="A212" s="3">
        <f t="shared" si="3"/>
        <v>210</v>
      </c>
      <c r="B212" s="3" t="s">
        <v>3251</v>
      </c>
      <c r="C212" s="3" t="s">
        <v>3251</v>
      </c>
      <c r="D212" s="25" t="s">
        <v>3250</v>
      </c>
      <c r="E212" s="4" t="s">
        <v>3252</v>
      </c>
      <c r="F212" s="3">
        <v>0</v>
      </c>
      <c r="G212" s="3">
        <v>0</v>
      </c>
      <c r="H212" s="3">
        <v>0</v>
      </c>
      <c r="I212" s="3">
        <v>0</v>
      </c>
      <c r="J212" s="3">
        <v>0</v>
      </c>
      <c r="K212" s="3">
        <v>1</v>
      </c>
      <c r="L212" s="3">
        <v>0</v>
      </c>
      <c r="M212" s="3">
        <v>0</v>
      </c>
      <c r="N212" s="3">
        <v>0</v>
      </c>
      <c r="O212" s="3">
        <v>0</v>
      </c>
      <c r="P212" s="3">
        <v>0</v>
      </c>
      <c r="Q212" s="3">
        <v>0</v>
      </c>
      <c r="R212" s="3">
        <v>0</v>
      </c>
      <c r="S212" s="3">
        <v>0</v>
      </c>
      <c r="T212" s="3">
        <v>0</v>
      </c>
      <c r="U212" s="3">
        <v>0</v>
      </c>
      <c r="V212" s="3">
        <v>0</v>
      </c>
      <c r="W212" s="3">
        <v>0</v>
      </c>
      <c r="X212" s="3">
        <v>0</v>
      </c>
      <c r="Y212" s="3">
        <v>0</v>
      </c>
      <c r="Z212" s="3">
        <v>0</v>
      </c>
      <c r="AA212" s="3">
        <v>0</v>
      </c>
      <c r="AB212" s="3">
        <v>0</v>
      </c>
      <c r="AC212" s="3">
        <v>0</v>
      </c>
      <c r="AD212" s="3">
        <v>0</v>
      </c>
      <c r="AE212" s="3">
        <v>0</v>
      </c>
      <c r="AF212" s="3">
        <v>0</v>
      </c>
      <c r="AG212" s="3">
        <v>0</v>
      </c>
      <c r="AH212" s="3">
        <v>0</v>
      </c>
      <c r="AI212" s="3">
        <v>0</v>
      </c>
      <c r="AJ212" s="3">
        <v>0</v>
      </c>
      <c r="AK212" s="3">
        <v>0</v>
      </c>
      <c r="AL212" s="3" t="s">
        <v>51</v>
      </c>
      <c r="AM212" s="3" t="s">
        <v>270</v>
      </c>
      <c r="AN212" s="3" t="s">
        <v>1998</v>
      </c>
      <c r="AO212" s="3" t="s">
        <v>50</v>
      </c>
      <c r="AP212" s="3">
        <v>0</v>
      </c>
      <c r="AQ212" s="3">
        <v>0</v>
      </c>
      <c r="AR212">
        <v>0</v>
      </c>
      <c r="AS212">
        <v>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0</v>
      </c>
      <c r="BK212">
        <v>1</v>
      </c>
      <c r="BL212">
        <v>0</v>
      </c>
      <c r="BM212">
        <v>0</v>
      </c>
      <c r="BN212">
        <v>0</v>
      </c>
      <c r="BO212">
        <v>0</v>
      </c>
    </row>
    <row r="213" spans="1:67" ht="15.75" customHeight="1" x14ac:dyDescent="0.2">
      <c r="A213" s="3">
        <f t="shared" si="3"/>
        <v>211</v>
      </c>
      <c r="B213" s="3" t="s">
        <v>2981</v>
      </c>
      <c r="C213" s="3" t="s">
        <v>2883</v>
      </c>
      <c r="D213" s="25" t="s">
        <v>2881</v>
      </c>
      <c r="E213" s="4" t="s">
        <v>2882</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270</v>
      </c>
      <c r="AN213" s="3" t="s">
        <v>2968</v>
      </c>
      <c r="AO213" s="3" t="s">
        <v>50</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row>
    <row r="214" spans="1:67" ht="15.75" customHeight="1" x14ac:dyDescent="0.2">
      <c r="A214" s="3">
        <f t="shared" si="3"/>
        <v>212</v>
      </c>
      <c r="B214" s="3" t="s">
        <v>3285</v>
      </c>
      <c r="C214" s="3" t="s">
        <v>3285</v>
      </c>
      <c r="D214" s="25" t="s">
        <v>3283</v>
      </c>
      <c r="E214" s="4" t="s">
        <v>3284</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270</v>
      </c>
      <c r="AN214" s="3" t="s">
        <v>2968</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row>
    <row r="215" spans="1:67" ht="15.75" customHeight="1" x14ac:dyDescent="0.2">
      <c r="A215" s="3">
        <f t="shared" si="3"/>
        <v>213</v>
      </c>
      <c r="B215" s="3" t="s">
        <v>3291</v>
      </c>
      <c r="C215" s="3" t="s">
        <v>3376</v>
      </c>
      <c r="D215" s="25" t="s">
        <v>3375</v>
      </c>
      <c r="E215" s="4" t="s">
        <v>3377</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270</v>
      </c>
      <c r="AN215" s="3" t="s">
        <v>2968</v>
      </c>
      <c r="AO215" s="3" t="s">
        <v>1033</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row>
    <row r="216" spans="1:67" ht="15.75" customHeight="1" x14ac:dyDescent="0.2">
      <c r="A216" s="3">
        <f t="shared" si="3"/>
        <v>214</v>
      </c>
      <c r="B216" s="3" t="s">
        <v>2607</v>
      </c>
      <c r="C216" s="3" t="s">
        <v>2054</v>
      </c>
      <c r="D216" s="25" t="s">
        <v>2055</v>
      </c>
      <c r="E216" s="4" t="s">
        <v>2067</v>
      </c>
      <c r="F216" s="3">
        <v>0</v>
      </c>
      <c r="G216" s="3">
        <v>0</v>
      </c>
      <c r="H216" s="3">
        <v>0</v>
      </c>
      <c r="I216" s="3">
        <v>0</v>
      </c>
      <c r="J216" s="3">
        <v>0</v>
      </c>
      <c r="K216" s="3">
        <v>1</v>
      </c>
      <c r="L216" s="3">
        <v>0</v>
      </c>
      <c r="M216" s="3">
        <v>10</v>
      </c>
      <c r="N216" s="3">
        <v>0</v>
      </c>
      <c r="O216" s="3">
        <v>0</v>
      </c>
      <c r="P216" s="3">
        <v>20</v>
      </c>
      <c r="Q216" s="3">
        <v>0</v>
      </c>
      <c r="R216" s="3">
        <v>20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2059</v>
      </c>
      <c r="AO216" s="3" t="s">
        <v>50</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row>
    <row r="217" spans="1:67" s="9" customFormat="1" ht="15.75" customHeight="1" x14ac:dyDescent="0.2">
      <c r="A217" s="7">
        <f t="shared" si="3"/>
        <v>215</v>
      </c>
      <c r="B217" s="7" t="s">
        <v>2092</v>
      </c>
      <c r="C217" s="7" t="s">
        <v>2061</v>
      </c>
      <c r="D217" s="26" t="s">
        <v>2099</v>
      </c>
      <c r="E217" s="11" t="s">
        <v>2104</v>
      </c>
      <c r="F217" s="7">
        <v>0</v>
      </c>
      <c r="G217" s="7">
        <v>0</v>
      </c>
      <c r="H217" s="7">
        <v>0</v>
      </c>
      <c r="I217" s="7">
        <v>0</v>
      </c>
      <c r="J217" s="7">
        <v>0</v>
      </c>
      <c r="K217" s="7">
        <v>1</v>
      </c>
      <c r="L217" s="7">
        <v>0</v>
      </c>
      <c r="M217" s="7">
        <v>10</v>
      </c>
      <c r="N217" s="7">
        <v>0</v>
      </c>
      <c r="O217" s="7">
        <v>0</v>
      </c>
      <c r="P217" s="7">
        <v>20</v>
      </c>
      <c r="Q217" s="7">
        <v>0</v>
      </c>
      <c r="R217" s="7">
        <v>20</v>
      </c>
      <c r="S217" s="7">
        <v>0</v>
      </c>
      <c r="T217" s="7">
        <v>0</v>
      </c>
      <c r="U217" s="7">
        <v>0</v>
      </c>
      <c r="V217" s="7">
        <v>0</v>
      </c>
      <c r="W217" s="7">
        <v>0</v>
      </c>
      <c r="X217" s="7">
        <v>0</v>
      </c>
      <c r="Y217" s="7">
        <v>0</v>
      </c>
      <c r="Z217" s="7">
        <v>0</v>
      </c>
      <c r="AA217" s="7">
        <v>0</v>
      </c>
      <c r="AB217" s="7">
        <v>0</v>
      </c>
      <c r="AC217" s="7">
        <v>0</v>
      </c>
      <c r="AD217" s="7">
        <v>0</v>
      </c>
      <c r="AE217" s="7">
        <v>0</v>
      </c>
      <c r="AF217" s="7">
        <v>0</v>
      </c>
      <c r="AG217" s="7">
        <v>0</v>
      </c>
      <c r="AH217" s="7">
        <v>0</v>
      </c>
      <c r="AI217" s="7">
        <v>0</v>
      </c>
      <c r="AJ217" s="7">
        <v>0</v>
      </c>
      <c r="AK217" s="7">
        <v>0</v>
      </c>
      <c r="AL217" s="7" t="s">
        <v>51</v>
      </c>
      <c r="AM217" s="7" t="s">
        <v>270</v>
      </c>
      <c r="AN217" s="7" t="s">
        <v>2059</v>
      </c>
      <c r="AO217" s="7" t="s">
        <v>2159</v>
      </c>
      <c r="AP217" s="7">
        <v>0</v>
      </c>
      <c r="AQ217" s="7">
        <v>0</v>
      </c>
      <c r="AR217" s="9">
        <v>0</v>
      </c>
      <c r="AS217" s="9">
        <v>0</v>
      </c>
      <c r="AT217" s="10" t="s">
        <v>50</v>
      </c>
      <c r="AU217" s="10" t="s">
        <v>50</v>
      </c>
      <c r="AV217" s="10" t="s">
        <v>50</v>
      </c>
      <c r="AW217" s="10" t="s">
        <v>50</v>
      </c>
      <c r="AX217" s="10" t="s">
        <v>50</v>
      </c>
      <c r="AY217" s="10" t="s">
        <v>50</v>
      </c>
      <c r="AZ217" s="10" t="s">
        <v>50</v>
      </c>
      <c r="BA217" s="10" t="s">
        <v>50</v>
      </c>
      <c r="BB217" s="10" t="s">
        <v>50</v>
      </c>
      <c r="BC217" s="10" t="s">
        <v>50</v>
      </c>
      <c r="BD217" s="10" t="s">
        <v>50</v>
      </c>
      <c r="BE217" s="10" t="s">
        <v>50</v>
      </c>
      <c r="BF217" s="10" t="s">
        <v>50</v>
      </c>
      <c r="BG217" s="10" t="s">
        <v>50</v>
      </c>
      <c r="BH217" s="10" t="s">
        <v>50</v>
      </c>
      <c r="BI217" s="9">
        <v>0</v>
      </c>
      <c r="BJ217" s="9">
        <v>0</v>
      </c>
      <c r="BK217" s="9">
        <v>1</v>
      </c>
      <c r="BL217" s="9">
        <v>0</v>
      </c>
      <c r="BM217" s="9">
        <v>0</v>
      </c>
      <c r="BN217" s="9">
        <v>0</v>
      </c>
      <c r="BO217" s="9">
        <v>0</v>
      </c>
    </row>
    <row r="218" spans="1:67" s="9" customFormat="1" ht="15.75" customHeight="1" x14ac:dyDescent="0.2">
      <c r="A218" s="7">
        <f t="shared" si="3"/>
        <v>216</v>
      </c>
      <c r="B218" s="7" t="s">
        <v>2092</v>
      </c>
      <c r="C218" s="7" t="s">
        <v>2097</v>
      </c>
      <c r="D218" s="26" t="s">
        <v>2098</v>
      </c>
      <c r="E218" s="11" t="s">
        <v>2103</v>
      </c>
      <c r="F218" s="7">
        <v>0</v>
      </c>
      <c r="G218" s="7">
        <v>0</v>
      </c>
      <c r="H218" s="7">
        <v>0</v>
      </c>
      <c r="I218" s="7">
        <v>0</v>
      </c>
      <c r="J218" s="7">
        <v>0</v>
      </c>
      <c r="K218" s="7">
        <v>1</v>
      </c>
      <c r="L218" s="7">
        <v>0</v>
      </c>
      <c r="M218" s="7">
        <v>10</v>
      </c>
      <c r="N218" s="7">
        <v>0</v>
      </c>
      <c r="O218" s="7">
        <v>0</v>
      </c>
      <c r="P218" s="7">
        <v>20</v>
      </c>
      <c r="Q218" s="7">
        <v>0</v>
      </c>
      <c r="R218" s="7">
        <v>20</v>
      </c>
      <c r="S218" s="7">
        <v>0</v>
      </c>
      <c r="T218" s="7">
        <v>0</v>
      </c>
      <c r="U218" s="7">
        <v>0</v>
      </c>
      <c r="V218" s="7">
        <v>0</v>
      </c>
      <c r="W218" s="7">
        <v>0</v>
      </c>
      <c r="X218" s="7">
        <v>0</v>
      </c>
      <c r="Y218" s="7">
        <v>0</v>
      </c>
      <c r="Z218" s="7">
        <v>0</v>
      </c>
      <c r="AA218" s="7">
        <v>0</v>
      </c>
      <c r="AB218" s="7">
        <v>0</v>
      </c>
      <c r="AC218" s="7">
        <v>0</v>
      </c>
      <c r="AD218" s="7">
        <v>0</v>
      </c>
      <c r="AE218" s="7">
        <v>0</v>
      </c>
      <c r="AF218" s="7">
        <v>0</v>
      </c>
      <c r="AG218" s="7">
        <v>0</v>
      </c>
      <c r="AH218" s="7">
        <v>0</v>
      </c>
      <c r="AI218" s="7">
        <v>0</v>
      </c>
      <c r="AJ218" s="7">
        <v>0</v>
      </c>
      <c r="AK218" s="7">
        <v>0</v>
      </c>
      <c r="AL218" s="7" t="s">
        <v>51</v>
      </c>
      <c r="AM218" s="7" t="s">
        <v>270</v>
      </c>
      <c r="AN218" s="7" t="s">
        <v>2059</v>
      </c>
      <c r="AO218" s="7" t="s">
        <v>2159</v>
      </c>
      <c r="AP218" s="7">
        <v>0</v>
      </c>
      <c r="AQ218" s="7">
        <v>0</v>
      </c>
      <c r="AR218" s="9">
        <v>0</v>
      </c>
      <c r="AS218" s="9">
        <v>0</v>
      </c>
      <c r="AT218" s="10" t="s">
        <v>50</v>
      </c>
      <c r="AU218" s="10" t="s">
        <v>50</v>
      </c>
      <c r="AV218" s="10" t="s">
        <v>50</v>
      </c>
      <c r="AW218" s="10" t="s">
        <v>50</v>
      </c>
      <c r="AX218" s="10" t="s">
        <v>50</v>
      </c>
      <c r="AY218" s="10" t="s">
        <v>50</v>
      </c>
      <c r="AZ218" s="10" t="s">
        <v>50</v>
      </c>
      <c r="BA218" s="10" t="s">
        <v>50</v>
      </c>
      <c r="BB218" s="10" t="s">
        <v>50</v>
      </c>
      <c r="BC218" s="10" t="s">
        <v>50</v>
      </c>
      <c r="BD218" s="10" t="s">
        <v>50</v>
      </c>
      <c r="BE218" s="10" t="s">
        <v>50</v>
      </c>
      <c r="BF218" s="10" t="s">
        <v>50</v>
      </c>
      <c r="BG218" s="10" t="s">
        <v>50</v>
      </c>
      <c r="BH218" s="10" t="s">
        <v>50</v>
      </c>
      <c r="BI218" s="9">
        <v>0</v>
      </c>
      <c r="BJ218" s="9">
        <v>0</v>
      </c>
      <c r="BK218" s="9">
        <v>1</v>
      </c>
      <c r="BL218" s="9">
        <v>0</v>
      </c>
      <c r="BM218" s="9">
        <v>0</v>
      </c>
      <c r="BN218" s="9">
        <v>0</v>
      </c>
      <c r="BO218" s="9">
        <v>0</v>
      </c>
    </row>
    <row r="219" spans="1:67" s="37" customFormat="1" ht="15.75" customHeight="1" x14ac:dyDescent="0.2">
      <c r="A219" s="34">
        <f t="shared" si="3"/>
        <v>217</v>
      </c>
      <c r="B219" s="34" t="s">
        <v>2096</v>
      </c>
      <c r="C219" s="34" t="s">
        <v>2733</v>
      </c>
      <c r="D219" s="35" t="s">
        <v>3002</v>
      </c>
      <c r="E219" s="36" t="s">
        <v>2066</v>
      </c>
      <c r="F219" s="34">
        <v>0</v>
      </c>
      <c r="G219" s="34">
        <v>0</v>
      </c>
      <c r="H219" s="34">
        <v>0</v>
      </c>
      <c r="I219" s="34">
        <v>0</v>
      </c>
      <c r="J219" s="34">
        <v>0</v>
      </c>
      <c r="K219" s="34">
        <v>1</v>
      </c>
      <c r="L219" s="34">
        <v>0</v>
      </c>
      <c r="M219" s="34">
        <v>10</v>
      </c>
      <c r="N219" s="34">
        <v>0</v>
      </c>
      <c r="O219" s="34">
        <v>0</v>
      </c>
      <c r="P219" s="34">
        <v>20</v>
      </c>
      <c r="Q219" s="34">
        <v>0</v>
      </c>
      <c r="R219" s="34">
        <v>20</v>
      </c>
      <c r="S219" s="34">
        <v>0</v>
      </c>
      <c r="T219" s="34">
        <v>0</v>
      </c>
      <c r="U219" s="34">
        <v>0</v>
      </c>
      <c r="V219" s="34">
        <v>0</v>
      </c>
      <c r="W219" s="34">
        <v>0</v>
      </c>
      <c r="X219" s="34">
        <v>0</v>
      </c>
      <c r="Y219" s="34">
        <v>0</v>
      </c>
      <c r="Z219" s="34">
        <v>0</v>
      </c>
      <c r="AA219" s="34">
        <v>0</v>
      </c>
      <c r="AB219" s="34">
        <v>0</v>
      </c>
      <c r="AC219" s="34">
        <v>0</v>
      </c>
      <c r="AD219" s="34">
        <v>0</v>
      </c>
      <c r="AE219" s="34">
        <v>0</v>
      </c>
      <c r="AF219" s="34">
        <v>0</v>
      </c>
      <c r="AG219" s="34">
        <v>0</v>
      </c>
      <c r="AH219" s="34">
        <v>0</v>
      </c>
      <c r="AI219" s="34">
        <v>0</v>
      </c>
      <c r="AJ219" s="34">
        <v>0</v>
      </c>
      <c r="AK219" s="34">
        <v>0</v>
      </c>
      <c r="AL219" s="34" t="s">
        <v>51</v>
      </c>
      <c r="AM219" s="34" t="s">
        <v>270</v>
      </c>
      <c r="AN219" s="34" t="s">
        <v>2913</v>
      </c>
      <c r="AO219" s="34" t="s">
        <v>2159</v>
      </c>
      <c r="AP219" s="34">
        <v>0</v>
      </c>
      <c r="AQ219" s="34">
        <v>0</v>
      </c>
      <c r="AR219" s="37">
        <v>0</v>
      </c>
      <c r="AS219" s="37">
        <v>0</v>
      </c>
      <c r="AT219" s="38" t="s">
        <v>50</v>
      </c>
      <c r="AU219" s="38" t="s">
        <v>50</v>
      </c>
      <c r="AV219" s="38" t="s">
        <v>50</v>
      </c>
      <c r="AW219" s="38" t="s">
        <v>50</v>
      </c>
      <c r="AX219" s="38" t="s">
        <v>50</v>
      </c>
      <c r="AY219" s="38" t="s">
        <v>50</v>
      </c>
      <c r="AZ219" s="38" t="s">
        <v>50</v>
      </c>
      <c r="BA219" s="38" t="s">
        <v>50</v>
      </c>
      <c r="BB219" s="38" t="s">
        <v>50</v>
      </c>
      <c r="BC219" s="38" t="s">
        <v>50</v>
      </c>
      <c r="BD219" s="38" t="s">
        <v>50</v>
      </c>
      <c r="BE219" s="38" t="s">
        <v>50</v>
      </c>
      <c r="BF219" s="38" t="s">
        <v>50</v>
      </c>
      <c r="BG219" s="38" t="s">
        <v>50</v>
      </c>
      <c r="BH219" s="38" t="s">
        <v>50</v>
      </c>
      <c r="BI219" s="37">
        <v>1</v>
      </c>
      <c r="BJ219" s="37">
        <v>0</v>
      </c>
      <c r="BK219" s="37">
        <v>1</v>
      </c>
      <c r="BL219" s="37">
        <v>0</v>
      </c>
      <c r="BM219" s="37">
        <v>0</v>
      </c>
      <c r="BN219" s="37">
        <v>0</v>
      </c>
      <c r="BO219" s="37">
        <v>0</v>
      </c>
    </row>
    <row r="220" spans="1:67" ht="15.75" customHeight="1" x14ac:dyDescent="0.2">
      <c r="A220" s="3">
        <f t="shared" si="3"/>
        <v>218</v>
      </c>
      <c r="B220" s="3" t="s">
        <v>2993</v>
      </c>
      <c r="C220" s="3" t="s">
        <v>2065</v>
      </c>
      <c r="D220" s="25" t="s">
        <v>2106</v>
      </c>
      <c r="E220" s="4" t="s">
        <v>2581</v>
      </c>
      <c r="F220" s="3">
        <v>0</v>
      </c>
      <c r="G220" s="3">
        <v>0</v>
      </c>
      <c r="H220" s="3">
        <v>0</v>
      </c>
      <c r="I220" s="3">
        <v>0</v>
      </c>
      <c r="J220" s="3">
        <v>0</v>
      </c>
      <c r="K220" s="3">
        <v>1</v>
      </c>
      <c r="L220" s="3">
        <v>0</v>
      </c>
      <c r="M220" s="3">
        <v>10</v>
      </c>
      <c r="N220" s="3">
        <v>0</v>
      </c>
      <c r="O220" s="3">
        <v>0</v>
      </c>
      <c r="P220" s="3">
        <v>20</v>
      </c>
      <c r="Q220" s="3">
        <v>0</v>
      </c>
      <c r="R220" s="3">
        <v>20</v>
      </c>
      <c r="S220" s="3">
        <v>0</v>
      </c>
      <c r="T220" s="3">
        <v>0</v>
      </c>
      <c r="U220" s="3">
        <v>0</v>
      </c>
      <c r="V220" s="3">
        <v>0</v>
      </c>
      <c r="W220" s="3">
        <v>0</v>
      </c>
      <c r="X220" s="3">
        <v>0</v>
      </c>
      <c r="Y220" s="3">
        <v>0</v>
      </c>
      <c r="Z220" s="3">
        <v>0</v>
      </c>
      <c r="AA220" s="3">
        <v>0</v>
      </c>
      <c r="AB220" s="3">
        <v>0</v>
      </c>
      <c r="AC220" s="3">
        <v>0</v>
      </c>
      <c r="AD220" s="3">
        <v>0</v>
      </c>
      <c r="AE220" s="3">
        <v>0</v>
      </c>
      <c r="AF220" s="3">
        <v>0</v>
      </c>
      <c r="AG220" s="3">
        <v>0</v>
      </c>
      <c r="AH220" s="3">
        <v>0</v>
      </c>
      <c r="AI220" s="3">
        <v>0</v>
      </c>
      <c r="AJ220" s="3">
        <v>0</v>
      </c>
      <c r="AK220" s="3">
        <v>0</v>
      </c>
      <c r="AL220" s="3" t="s">
        <v>51</v>
      </c>
      <c r="AM220" s="3" t="s">
        <v>270</v>
      </c>
      <c r="AN220" s="3" t="s">
        <v>2089</v>
      </c>
      <c r="AO220" s="3" t="s">
        <v>50</v>
      </c>
      <c r="AP220" s="3">
        <v>0</v>
      </c>
      <c r="AQ220" s="3">
        <v>0</v>
      </c>
      <c r="AR220">
        <v>0</v>
      </c>
      <c r="AS220">
        <v>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row>
    <row r="221" spans="1:67" ht="15.75" customHeight="1" x14ac:dyDescent="0.2">
      <c r="A221" s="3">
        <f t="shared" si="3"/>
        <v>219</v>
      </c>
      <c r="B221" s="3" t="s">
        <v>2995</v>
      </c>
      <c r="C221" s="3" t="s">
        <v>2113</v>
      </c>
      <c r="D221" s="25" t="s">
        <v>2112</v>
      </c>
      <c r="E221" s="4" t="s">
        <v>2580</v>
      </c>
      <c r="F221" s="3">
        <v>0</v>
      </c>
      <c r="G221" s="3">
        <v>0</v>
      </c>
      <c r="H221" s="3">
        <v>0</v>
      </c>
      <c r="I221" s="3">
        <v>0</v>
      </c>
      <c r="J221" s="3">
        <v>0</v>
      </c>
      <c r="K221" s="3">
        <v>1</v>
      </c>
      <c r="L221" s="3">
        <v>0</v>
      </c>
      <c r="M221" s="3">
        <v>10</v>
      </c>
      <c r="N221" s="3">
        <v>0</v>
      </c>
      <c r="O221" s="3">
        <v>0</v>
      </c>
      <c r="P221" s="3">
        <v>20</v>
      </c>
      <c r="Q221" s="3">
        <v>0</v>
      </c>
      <c r="R221" s="3">
        <v>20</v>
      </c>
      <c r="S221" s="3">
        <v>0</v>
      </c>
      <c r="T221" s="3">
        <v>0</v>
      </c>
      <c r="U221" s="3">
        <v>0</v>
      </c>
      <c r="V221" s="3">
        <v>0</v>
      </c>
      <c r="W221" s="3">
        <v>0</v>
      </c>
      <c r="X221" s="3">
        <v>0</v>
      </c>
      <c r="Y221" s="3">
        <v>0</v>
      </c>
      <c r="Z221" s="3">
        <v>0</v>
      </c>
      <c r="AA221" s="3">
        <v>0</v>
      </c>
      <c r="AB221" s="3">
        <v>0</v>
      </c>
      <c r="AC221" s="3">
        <v>0</v>
      </c>
      <c r="AD221" s="3">
        <v>0</v>
      </c>
      <c r="AE221" s="3">
        <v>0</v>
      </c>
      <c r="AF221" s="3">
        <v>0</v>
      </c>
      <c r="AG221" s="3">
        <v>0</v>
      </c>
      <c r="AH221" s="3">
        <v>0</v>
      </c>
      <c r="AI221" s="3">
        <v>0</v>
      </c>
      <c r="AJ221" s="3">
        <v>0</v>
      </c>
      <c r="AK221" s="3">
        <v>0</v>
      </c>
      <c r="AL221" s="3" t="s">
        <v>51</v>
      </c>
      <c r="AM221" s="3" t="s">
        <v>270</v>
      </c>
      <c r="AN221" s="3" t="s">
        <v>3070</v>
      </c>
      <c r="AO221" s="3" t="s">
        <v>50</v>
      </c>
      <c r="AP221" s="3">
        <v>0</v>
      </c>
      <c r="AQ221" s="3">
        <v>0</v>
      </c>
      <c r="AR221">
        <v>0</v>
      </c>
      <c r="AS221">
        <v>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row>
    <row r="222" spans="1:67" s="9" customFormat="1" ht="15.75" customHeight="1" x14ac:dyDescent="0.2">
      <c r="A222" s="7">
        <f t="shared" si="3"/>
        <v>220</v>
      </c>
      <c r="B222" s="7" t="s">
        <v>1488</v>
      </c>
      <c r="C222" s="7" t="s">
        <v>2115</v>
      </c>
      <c r="D222" s="26" t="s">
        <v>2114</v>
      </c>
      <c r="E222" s="11" t="s">
        <v>2582</v>
      </c>
      <c r="F222" s="7">
        <v>0</v>
      </c>
      <c r="G222" s="7">
        <v>0</v>
      </c>
      <c r="H222" s="7">
        <v>0</v>
      </c>
      <c r="I222" s="7">
        <v>0</v>
      </c>
      <c r="J222" s="7">
        <v>0</v>
      </c>
      <c r="K222" s="7">
        <v>1</v>
      </c>
      <c r="L222" s="7">
        <v>0</v>
      </c>
      <c r="M222" s="7">
        <v>10</v>
      </c>
      <c r="N222" s="7">
        <v>0</v>
      </c>
      <c r="O222" s="7">
        <v>0</v>
      </c>
      <c r="P222" s="7">
        <v>20</v>
      </c>
      <c r="Q222" s="7">
        <v>0</v>
      </c>
      <c r="R222" s="7">
        <v>20</v>
      </c>
      <c r="S222" s="7">
        <v>0</v>
      </c>
      <c r="T222" s="7">
        <v>0</v>
      </c>
      <c r="U222" s="7">
        <v>0</v>
      </c>
      <c r="V222" s="7">
        <v>0</v>
      </c>
      <c r="W222" s="7">
        <v>0</v>
      </c>
      <c r="X222" s="7">
        <v>0</v>
      </c>
      <c r="Y222" s="7">
        <v>0</v>
      </c>
      <c r="Z222" s="7">
        <v>0</v>
      </c>
      <c r="AA222" s="7">
        <v>0</v>
      </c>
      <c r="AB222" s="7">
        <v>0</v>
      </c>
      <c r="AC222" s="7">
        <v>0</v>
      </c>
      <c r="AD222" s="7">
        <v>0</v>
      </c>
      <c r="AE222" s="7">
        <v>0</v>
      </c>
      <c r="AF222" s="7">
        <v>0</v>
      </c>
      <c r="AG222" s="7">
        <v>0</v>
      </c>
      <c r="AH222" s="7">
        <v>0</v>
      </c>
      <c r="AI222" s="7">
        <v>0</v>
      </c>
      <c r="AJ222" s="7">
        <v>0</v>
      </c>
      <c r="AK222" s="7">
        <v>0</v>
      </c>
      <c r="AL222" s="7" t="s">
        <v>51</v>
      </c>
      <c r="AM222" s="7" t="s">
        <v>270</v>
      </c>
      <c r="AN222" s="7" t="s">
        <v>2059</v>
      </c>
      <c r="AO222" s="7" t="s">
        <v>50</v>
      </c>
      <c r="AP222" s="7">
        <v>0</v>
      </c>
      <c r="AQ222" s="7">
        <v>0</v>
      </c>
      <c r="AR222" s="9">
        <v>0</v>
      </c>
      <c r="AS222" s="9">
        <v>0</v>
      </c>
      <c r="AT222" s="10" t="s">
        <v>50</v>
      </c>
      <c r="AU222" s="10" t="s">
        <v>50</v>
      </c>
      <c r="AV222" s="10" t="s">
        <v>50</v>
      </c>
      <c r="AW222" s="10" t="s">
        <v>50</v>
      </c>
      <c r="AX222" s="10" t="s">
        <v>50</v>
      </c>
      <c r="AY222" s="10" t="s">
        <v>50</v>
      </c>
      <c r="AZ222" s="10" t="s">
        <v>50</v>
      </c>
      <c r="BA222" s="10" t="s">
        <v>50</v>
      </c>
      <c r="BB222" s="10" t="s">
        <v>50</v>
      </c>
      <c r="BC222" s="10" t="s">
        <v>50</v>
      </c>
      <c r="BD222" s="10" t="s">
        <v>50</v>
      </c>
      <c r="BE222" s="10" t="s">
        <v>50</v>
      </c>
      <c r="BF222" s="10" t="s">
        <v>50</v>
      </c>
      <c r="BG222" s="10" t="s">
        <v>50</v>
      </c>
      <c r="BH222" s="10" t="s">
        <v>50</v>
      </c>
      <c r="BI222" s="9">
        <v>0</v>
      </c>
      <c r="BJ222" s="9">
        <v>0</v>
      </c>
      <c r="BK222" s="9">
        <v>1</v>
      </c>
      <c r="BL222" s="9">
        <v>0</v>
      </c>
      <c r="BM222" s="9">
        <v>0</v>
      </c>
      <c r="BN222" s="9">
        <v>0</v>
      </c>
      <c r="BO222" s="9">
        <v>0</v>
      </c>
    </row>
    <row r="223" spans="1:67" ht="15.75" customHeight="1" x14ac:dyDescent="0.2">
      <c r="A223" s="3">
        <f t="shared" si="3"/>
        <v>221</v>
      </c>
      <c r="B223" s="3" t="s">
        <v>2994</v>
      </c>
      <c r="C223" s="3" t="s">
        <v>2835</v>
      </c>
      <c r="D223" s="25" t="s">
        <v>2832</v>
      </c>
      <c r="E223" s="4" t="s">
        <v>2833</v>
      </c>
      <c r="F223" s="3">
        <v>0</v>
      </c>
      <c r="G223" s="3">
        <v>0</v>
      </c>
      <c r="H223" s="3">
        <v>0</v>
      </c>
      <c r="I223" s="3">
        <v>0</v>
      </c>
      <c r="J223" s="3">
        <v>0</v>
      </c>
      <c r="K223" s="3">
        <v>1</v>
      </c>
      <c r="L223" s="3">
        <v>0</v>
      </c>
      <c r="M223" s="3">
        <v>10</v>
      </c>
      <c r="N223" s="3">
        <v>0</v>
      </c>
      <c r="O223" s="3">
        <v>0</v>
      </c>
      <c r="P223" s="3">
        <v>20</v>
      </c>
      <c r="Q223" s="3">
        <v>0</v>
      </c>
      <c r="R223" s="3">
        <v>20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3071</v>
      </c>
      <c r="AO223" s="3" t="s">
        <v>50</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row>
    <row r="224" spans="1:67" ht="15.75" customHeight="1" x14ac:dyDescent="0.2">
      <c r="A224" s="3">
        <f t="shared" si="3"/>
        <v>222</v>
      </c>
      <c r="B224" s="3" t="s">
        <v>2997</v>
      </c>
      <c r="C224" s="3" t="s">
        <v>2118</v>
      </c>
      <c r="D224" s="25" t="s">
        <v>2116</v>
      </c>
      <c r="E224" s="4" t="s">
        <v>2117</v>
      </c>
      <c r="F224" s="3">
        <v>0</v>
      </c>
      <c r="G224" s="3">
        <v>0</v>
      </c>
      <c r="H224" s="3">
        <v>0</v>
      </c>
      <c r="I224" s="3">
        <v>0</v>
      </c>
      <c r="J224" s="3">
        <v>0</v>
      </c>
      <c r="K224" s="3">
        <v>1</v>
      </c>
      <c r="L224" s="3">
        <v>0</v>
      </c>
      <c r="M224" s="3">
        <v>10</v>
      </c>
      <c r="N224" s="3">
        <v>0</v>
      </c>
      <c r="O224" s="3">
        <v>0</v>
      </c>
      <c r="P224" s="3">
        <v>20</v>
      </c>
      <c r="Q224" s="3">
        <v>0</v>
      </c>
      <c r="R224" s="3">
        <v>20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270</v>
      </c>
      <c r="AN224" s="3" t="s">
        <v>2059</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row>
    <row r="225" spans="1:67" s="37" customFormat="1" ht="15.75" customHeight="1" x14ac:dyDescent="0.2">
      <c r="A225" s="34">
        <f t="shared" si="3"/>
        <v>223</v>
      </c>
      <c r="B225" s="34" t="s">
        <v>3000</v>
      </c>
      <c r="C225" s="34" t="s">
        <v>2734</v>
      </c>
      <c r="D225" s="35" t="s">
        <v>3003</v>
      </c>
      <c r="E225" s="36" t="s">
        <v>2066</v>
      </c>
      <c r="F225" s="34">
        <v>0</v>
      </c>
      <c r="G225" s="34">
        <v>0</v>
      </c>
      <c r="H225" s="34">
        <v>0</v>
      </c>
      <c r="I225" s="34">
        <v>0</v>
      </c>
      <c r="J225" s="34">
        <v>0</v>
      </c>
      <c r="K225" s="34">
        <v>1</v>
      </c>
      <c r="L225" s="34">
        <v>0</v>
      </c>
      <c r="M225" s="34">
        <v>10</v>
      </c>
      <c r="N225" s="34">
        <v>0</v>
      </c>
      <c r="O225" s="34">
        <v>0</v>
      </c>
      <c r="P225" s="34">
        <v>20</v>
      </c>
      <c r="Q225" s="34">
        <v>0</v>
      </c>
      <c r="R225" s="34">
        <v>20</v>
      </c>
      <c r="S225" s="34">
        <v>0</v>
      </c>
      <c r="T225" s="34">
        <v>0</v>
      </c>
      <c r="U225" s="34">
        <v>0</v>
      </c>
      <c r="V225" s="34">
        <v>0</v>
      </c>
      <c r="W225" s="34">
        <v>0</v>
      </c>
      <c r="X225" s="34">
        <v>0</v>
      </c>
      <c r="Y225" s="34">
        <v>0</v>
      </c>
      <c r="Z225" s="34">
        <v>0</v>
      </c>
      <c r="AA225" s="34">
        <v>0</v>
      </c>
      <c r="AB225" s="34">
        <v>0</v>
      </c>
      <c r="AC225" s="34">
        <v>0</v>
      </c>
      <c r="AD225" s="34">
        <v>0</v>
      </c>
      <c r="AE225" s="34">
        <v>0</v>
      </c>
      <c r="AF225" s="34">
        <v>0</v>
      </c>
      <c r="AG225" s="34">
        <v>0</v>
      </c>
      <c r="AH225" s="34">
        <v>0</v>
      </c>
      <c r="AI225" s="34">
        <v>0</v>
      </c>
      <c r="AJ225" s="34">
        <v>0</v>
      </c>
      <c r="AK225" s="34">
        <v>0</v>
      </c>
      <c r="AL225" s="34" t="s">
        <v>51</v>
      </c>
      <c r="AM225" s="34" t="s">
        <v>270</v>
      </c>
      <c r="AN225" s="34" t="s">
        <v>2913</v>
      </c>
      <c r="AO225" s="34" t="s">
        <v>2159</v>
      </c>
      <c r="AP225" s="34">
        <v>0</v>
      </c>
      <c r="AQ225" s="34">
        <v>0</v>
      </c>
      <c r="AR225" s="37">
        <v>0</v>
      </c>
      <c r="AS225" s="37">
        <v>0</v>
      </c>
      <c r="AT225" s="38" t="s">
        <v>50</v>
      </c>
      <c r="AU225" s="38" t="s">
        <v>50</v>
      </c>
      <c r="AV225" s="38" t="s">
        <v>50</v>
      </c>
      <c r="AW225" s="38" t="s">
        <v>50</v>
      </c>
      <c r="AX225" s="38" t="s">
        <v>50</v>
      </c>
      <c r="AY225" s="38" t="s">
        <v>50</v>
      </c>
      <c r="AZ225" s="38" t="s">
        <v>50</v>
      </c>
      <c r="BA225" s="38" t="s">
        <v>50</v>
      </c>
      <c r="BB225" s="38" t="s">
        <v>50</v>
      </c>
      <c r="BC225" s="38" t="s">
        <v>50</v>
      </c>
      <c r="BD225" s="38" t="s">
        <v>50</v>
      </c>
      <c r="BE225" s="38" t="s">
        <v>50</v>
      </c>
      <c r="BF225" s="38" t="s">
        <v>50</v>
      </c>
      <c r="BG225" s="38" t="s">
        <v>50</v>
      </c>
      <c r="BH225" s="38" t="s">
        <v>50</v>
      </c>
      <c r="BI225" s="37">
        <v>1</v>
      </c>
      <c r="BJ225" s="37">
        <v>0</v>
      </c>
      <c r="BK225" s="37">
        <v>1</v>
      </c>
      <c r="BL225" s="37">
        <v>0</v>
      </c>
      <c r="BM225" s="37">
        <v>0</v>
      </c>
      <c r="BN225" s="37">
        <v>0</v>
      </c>
      <c r="BO225" s="37">
        <v>0</v>
      </c>
    </row>
    <row r="226" spans="1:67" ht="15.75" customHeight="1" x14ac:dyDescent="0.2">
      <c r="A226" s="3">
        <f t="shared" si="3"/>
        <v>224</v>
      </c>
      <c r="B226" s="3" t="s">
        <v>2998</v>
      </c>
      <c r="C226" s="3" t="s">
        <v>2119</v>
      </c>
      <c r="D226" s="25" t="s">
        <v>2122</v>
      </c>
      <c r="E226" s="4" t="s">
        <v>2581</v>
      </c>
      <c r="F226" s="3">
        <v>0</v>
      </c>
      <c r="G226" s="3">
        <v>0</v>
      </c>
      <c r="H226" s="3">
        <v>0</v>
      </c>
      <c r="I226" s="3">
        <v>0</v>
      </c>
      <c r="J226" s="3">
        <v>0</v>
      </c>
      <c r="K226" s="3">
        <v>1</v>
      </c>
      <c r="L226" s="3">
        <v>0</v>
      </c>
      <c r="M226" s="3">
        <v>10</v>
      </c>
      <c r="N226" s="3">
        <v>0</v>
      </c>
      <c r="O226" s="3">
        <v>0</v>
      </c>
      <c r="P226" s="3">
        <v>20</v>
      </c>
      <c r="Q226" s="3">
        <v>0</v>
      </c>
      <c r="R226" s="3">
        <v>20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270</v>
      </c>
      <c r="AN226" s="3" t="s">
        <v>2089</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row>
    <row r="227" spans="1:67" ht="15.75" customHeight="1" x14ac:dyDescent="0.2">
      <c r="A227" s="3">
        <f t="shared" si="3"/>
        <v>225</v>
      </c>
      <c r="B227" s="3" t="s">
        <v>2999</v>
      </c>
      <c r="C227" s="3" t="s">
        <v>2120</v>
      </c>
      <c r="D227" s="25" t="s">
        <v>2123</v>
      </c>
      <c r="E227" s="4" t="s">
        <v>2580</v>
      </c>
      <c r="F227" s="3">
        <v>0</v>
      </c>
      <c r="G227" s="3">
        <v>0</v>
      </c>
      <c r="H227" s="3">
        <v>0</v>
      </c>
      <c r="I227" s="3">
        <v>0</v>
      </c>
      <c r="J227" s="3">
        <v>0</v>
      </c>
      <c r="K227" s="3">
        <v>1</v>
      </c>
      <c r="L227" s="3">
        <v>0</v>
      </c>
      <c r="M227" s="3">
        <v>10</v>
      </c>
      <c r="N227" s="3">
        <v>0</v>
      </c>
      <c r="O227" s="3">
        <v>0</v>
      </c>
      <c r="P227" s="3">
        <v>20</v>
      </c>
      <c r="Q227" s="3">
        <v>0</v>
      </c>
      <c r="R227" s="3">
        <v>20</v>
      </c>
      <c r="S227" s="3">
        <v>0</v>
      </c>
      <c r="T227" s="3">
        <v>0</v>
      </c>
      <c r="U227" s="3">
        <v>0</v>
      </c>
      <c r="V227" s="3">
        <v>0</v>
      </c>
      <c r="W227" s="3">
        <v>0</v>
      </c>
      <c r="X227" s="3">
        <v>0</v>
      </c>
      <c r="Y227" s="3">
        <v>0</v>
      </c>
      <c r="Z227" s="3">
        <v>0</v>
      </c>
      <c r="AA227" s="3">
        <v>0</v>
      </c>
      <c r="AB227" s="3">
        <v>0</v>
      </c>
      <c r="AC227" s="3">
        <v>0</v>
      </c>
      <c r="AD227" s="3">
        <v>0</v>
      </c>
      <c r="AE227" s="3">
        <v>0</v>
      </c>
      <c r="AF227" s="3">
        <v>0</v>
      </c>
      <c r="AG227" s="3">
        <v>0</v>
      </c>
      <c r="AH227" s="3">
        <v>0</v>
      </c>
      <c r="AI227" s="3">
        <v>0</v>
      </c>
      <c r="AJ227" s="3">
        <v>0</v>
      </c>
      <c r="AK227" s="3">
        <v>0</v>
      </c>
      <c r="AL227" s="3" t="s">
        <v>51</v>
      </c>
      <c r="AM227" s="3" t="s">
        <v>270</v>
      </c>
      <c r="AN227" s="3" t="s">
        <v>3070</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row>
    <row r="228" spans="1:67" s="9" customFormat="1" ht="15.75" customHeight="1" x14ac:dyDescent="0.2">
      <c r="A228" s="7">
        <f t="shared" si="3"/>
        <v>226</v>
      </c>
      <c r="B228" s="7" t="s">
        <v>1488</v>
      </c>
      <c r="C228" s="7" t="s">
        <v>2121</v>
      </c>
      <c r="D228" s="26" t="s">
        <v>2124</v>
      </c>
      <c r="E228" s="11" t="s">
        <v>2582</v>
      </c>
      <c r="F228" s="7">
        <v>0</v>
      </c>
      <c r="G228" s="7">
        <v>0</v>
      </c>
      <c r="H228" s="7">
        <v>0</v>
      </c>
      <c r="I228" s="7">
        <v>0</v>
      </c>
      <c r="J228" s="7">
        <v>0</v>
      </c>
      <c r="K228" s="7">
        <v>1</v>
      </c>
      <c r="L228" s="7">
        <v>0</v>
      </c>
      <c r="M228" s="7">
        <v>10</v>
      </c>
      <c r="N228" s="7">
        <v>0</v>
      </c>
      <c r="O228" s="7">
        <v>0</v>
      </c>
      <c r="P228" s="7">
        <v>20</v>
      </c>
      <c r="Q228" s="7">
        <v>0</v>
      </c>
      <c r="R228" s="7">
        <v>20</v>
      </c>
      <c r="S228" s="7">
        <v>0</v>
      </c>
      <c r="T228" s="7">
        <v>0</v>
      </c>
      <c r="U228" s="7">
        <v>0</v>
      </c>
      <c r="V228" s="7">
        <v>0</v>
      </c>
      <c r="W228" s="7">
        <v>0</v>
      </c>
      <c r="X228" s="7">
        <v>0</v>
      </c>
      <c r="Y228" s="7">
        <v>0</v>
      </c>
      <c r="Z228" s="7">
        <v>0</v>
      </c>
      <c r="AA228" s="7">
        <v>0</v>
      </c>
      <c r="AB228" s="7">
        <v>0</v>
      </c>
      <c r="AC228" s="7">
        <v>0</v>
      </c>
      <c r="AD228" s="7">
        <v>0</v>
      </c>
      <c r="AE228" s="7">
        <v>0</v>
      </c>
      <c r="AF228" s="7">
        <v>0</v>
      </c>
      <c r="AG228" s="7">
        <v>0</v>
      </c>
      <c r="AH228" s="7">
        <v>0</v>
      </c>
      <c r="AI228" s="7">
        <v>0</v>
      </c>
      <c r="AJ228" s="7">
        <v>0</v>
      </c>
      <c r="AK228" s="7">
        <v>0</v>
      </c>
      <c r="AL228" s="7" t="s">
        <v>51</v>
      </c>
      <c r="AM228" s="7" t="s">
        <v>270</v>
      </c>
      <c r="AN228" s="7" t="s">
        <v>2059</v>
      </c>
      <c r="AO228" s="7" t="s">
        <v>50</v>
      </c>
      <c r="AP228" s="7">
        <v>0</v>
      </c>
      <c r="AQ228" s="7">
        <v>0</v>
      </c>
      <c r="AR228" s="9">
        <v>0</v>
      </c>
      <c r="AS228" s="9">
        <v>0</v>
      </c>
      <c r="AT228" s="10" t="s">
        <v>50</v>
      </c>
      <c r="AU228" s="10" t="s">
        <v>50</v>
      </c>
      <c r="AV228" s="10" t="s">
        <v>50</v>
      </c>
      <c r="AW228" s="10" t="s">
        <v>50</v>
      </c>
      <c r="AX228" s="10" t="s">
        <v>50</v>
      </c>
      <c r="AY228" s="10" t="s">
        <v>50</v>
      </c>
      <c r="AZ228" s="10" t="s">
        <v>50</v>
      </c>
      <c r="BA228" s="10" t="s">
        <v>50</v>
      </c>
      <c r="BB228" s="10" t="s">
        <v>50</v>
      </c>
      <c r="BC228" s="10" t="s">
        <v>50</v>
      </c>
      <c r="BD228" s="10" t="s">
        <v>50</v>
      </c>
      <c r="BE228" s="10" t="s">
        <v>50</v>
      </c>
      <c r="BF228" s="10" t="s">
        <v>50</v>
      </c>
      <c r="BG228" s="10" t="s">
        <v>50</v>
      </c>
      <c r="BH228" s="10" t="s">
        <v>50</v>
      </c>
      <c r="BI228" s="9">
        <v>0</v>
      </c>
      <c r="BJ228" s="9">
        <v>0</v>
      </c>
      <c r="BK228" s="9">
        <v>1</v>
      </c>
      <c r="BL228" s="9">
        <v>0</v>
      </c>
      <c r="BM228" s="9">
        <v>0</v>
      </c>
      <c r="BN228" s="9">
        <v>0</v>
      </c>
      <c r="BO228" s="9">
        <v>0</v>
      </c>
    </row>
    <row r="229" spans="1:67" ht="15.75" customHeight="1" x14ac:dyDescent="0.2">
      <c r="A229" s="3">
        <f t="shared" si="3"/>
        <v>227</v>
      </c>
      <c r="B229" s="3" t="s">
        <v>3001</v>
      </c>
      <c r="C229" s="3" t="s">
        <v>2836</v>
      </c>
      <c r="D229" s="25" t="s">
        <v>2834</v>
      </c>
      <c r="E229" s="4" t="s">
        <v>2833</v>
      </c>
      <c r="F229" s="3">
        <v>0</v>
      </c>
      <c r="G229" s="3">
        <v>0</v>
      </c>
      <c r="H229" s="3">
        <v>0</v>
      </c>
      <c r="I229" s="3">
        <v>0</v>
      </c>
      <c r="J229" s="3">
        <v>0</v>
      </c>
      <c r="K229" s="3">
        <v>1</v>
      </c>
      <c r="L229" s="3">
        <v>0</v>
      </c>
      <c r="M229" s="3">
        <v>10</v>
      </c>
      <c r="N229" s="3">
        <v>0</v>
      </c>
      <c r="O229" s="3">
        <v>0</v>
      </c>
      <c r="P229" s="3">
        <v>20</v>
      </c>
      <c r="Q229" s="3">
        <v>0</v>
      </c>
      <c r="R229" s="3">
        <v>20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270</v>
      </c>
      <c r="AN229" s="3" t="s">
        <v>3071</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row>
    <row r="230" spans="1:67" ht="15.75" customHeight="1" x14ac:dyDescent="0.2">
      <c r="A230" s="3">
        <f t="shared" si="3"/>
        <v>228</v>
      </c>
      <c r="B230" s="3" t="s">
        <v>3006</v>
      </c>
      <c r="C230" s="3" t="s">
        <v>2143</v>
      </c>
      <c r="D230" s="25" t="s">
        <v>2142</v>
      </c>
      <c r="E230" s="4" t="s">
        <v>2748</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270</v>
      </c>
      <c r="AN230" s="3" t="s">
        <v>2059</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0</v>
      </c>
      <c r="BK230">
        <v>1</v>
      </c>
      <c r="BL230">
        <v>0</v>
      </c>
      <c r="BM230">
        <v>0</v>
      </c>
      <c r="BN230">
        <v>0</v>
      </c>
      <c r="BO230">
        <v>0</v>
      </c>
    </row>
    <row r="231" spans="1:67" s="37" customFormat="1" ht="15.75" customHeight="1" x14ac:dyDescent="0.2">
      <c r="A231" s="34">
        <f t="shared" si="3"/>
        <v>229</v>
      </c>
      <c r="B231" s="34" t="s">
        <v>3007</v>
      </c>
      <c r="C231" s="34" t="s">
        <v>2735</v>
      </c>
      <c r="D231" s="35" t="s">
        <v>3004</v>
      </c>
      <c r="E231" s="36" t="s">
        <v>2066</v>
      </c>
      <c r="F231" s="34">
        <v>0</v>
      </c>
      <c r="G231" s="34">
        <v>0</v>
      </c>
      <c r="H231" s="34">
        <v>0</v>
      </c>
      <c r="I231" s="34">
        <v>0</v>
      </c>
      <c r="J231" s="34">
        <v>0</v>
      </c>
      <c r="K231" s="34">
        <v>1</v>
      </c>
      <c r="L231" s="34">
        <v>0</v>
      </c>
      <c r="M231" s="34">
        <v>10</v>
      </c>
      <c r="N231" s="34">
        <v>0</v>
      </c>
      <c r="O231" s="34">
        <v>0</v>
      </c>
      <c r="P231" s="34">
        <v>20</v>
      </c>
      <c r="Q231" s="34">
        <v>0</v>
      </c>
      <c r="R231" s="34">
        <v>20</v>
      </c>
      <c r="S231" s="34">
        <v>0</v>
      </c>
      <c r="T231" s="34">
        <v>0</v>
      </c>
      <c r="U231" s="34">
        <v>0</v>
      </c>
      <c r="V231" s="34">
        <v>0</v>
      </c>
      <c r="W231" s="34">
        <v>0</v>
      </c>
      <c r="X231" s="34">
        <v>0</v>
      </c>
      <c r="Y231" s="34">
        <v>0</v>
      </c>
      <c r="Z231" s="34">
        <v>0</v>
      </c>
      <c r="AA231" s="34">
        <v>0</v>
      </c>
      <c r="AB231" s="34">
        <v>0</v>
      </c>
      <c r="AC231" s="34">
        <v>0</v>
      </c>
      <c r="AD231" s="34">
        <v>0</v>
      </c>
      <c r="AE231" s="34">
        <v>0</v>
      </c>
      <c r="AF231" s="34">
        <v>0</v>
      </c>
      <c r="AG231" s="34">
        <v>0</v>
      </c>
      <c r="AH231" s="34">
        <v>0</v>
      </c>
      <c r="AI231" s="34">
        <v>0</v>
      </c>
      <c r="AJ231" s="34">
        <v>0</v>
      </c>
      <c r="AK231" s="34">
        <v>0</v>
      </c>
      <c r="AL231" s="34" t="s">
        <v>51</v>
      </c>
      <c r="AM231" s="34" t="s">
        <v>270</v>
      </c>
      <c r="AN231" s="34" t="s">
        <v>2913</v>
      </c>
      <c r="AO231" s="34" t="s">
        <v>2159</v>
      </c>
      <c r="AP231" s="34">
        <v>0</v>
      </c>
      <c r="AQ231" s="34">
        <v>0</v>
      </c>
      <c r="AR231" s="37">
        <v>0</v>
      </c>
      <c r="AS231" s="37">
        <v>0</v>
      </c>
      <c r="AT231" s="38" t="s">
        <v>50</v>
      </c>
      <c r="AU231" s="38" t="s">
        <v>50</v>
      </c>
      <c r="AV231" s="38" t="s">
        <v>50</v>
      </c>
      <c r="AW231" s="38" t="s">
        <v>50</v>
      </c>
      <c r="AX231" s="38" t="s">
        <v>50</v>
      </c>
      <c r="AY231" s="38" t="s">
        <v>50</v>
      </c>
      <c r="AZ231" s="38" t="s">
        <v>50</v>
      </c>
      <c r="BA231" s="38" t="s">
        <v>50</v>
      </c>
      <c r="BB231" s="38" t="s">
        <v>50</v>
      </c>
      <c r="BC231" s="38" t="s">
        <v>50</v>
      </c>
      <c r="BD231" s="38" t="s">
        <v>50</v>
      </c>
      <c r="BE231" s="38" t="s">
        <v>50</v>
      </c>
      <c r="BF231" s="38" t="s">
        <v>50</v>
      </c>
      <c r="BG231" s="38" t="s">
        <v>50</v>
      </c>
      <c r="BH231" s="38" t="s">
        <v>50</v>
      </c>
      <c r="BI231" s="37">
        <v>1</v>
      </c>
      <c r="BJ231" s="37">
        <v>0</v>
      </c>
      <c r="BK231" s="37">
        <v>1</v>
      </c>
      <c r="BL231" s="37">
        <v>0</v>
      </c>
      <c r="BM231" s="37">
        <v>0</v>
      </c>
      <c r="BN231" s="37">
        <v>0</v>
      </c>
      <c r="BO231" s="37">
        <v>0</v>
      </c>
    </row>
    <row r="232" spans="1:67" ht="15.75" customHeight="1" x14ac:dyDescent="0.2">
      <c r="A232" s="3">
        <f t="shared" si="3"/>
        <v>230</v>
      </c>
      <c r="B232" s="3" t="s">
        <v>3008</v>
      </c>
      <c r="C232" s="3" t="s">
        <v>2144</v>
      </c>
      <c r="D232" s="25" t="s">
        <v>2147</v>
      </c>
      <c r="E232" s="4" t="s">
        <v>2581</v>
      </c>
      <c r="F232" s="3">
        <v>0</v>
      </c>
      <c r="G232" s="3">
        <v>0</v>
      </c>
      <c r="H232" s="3">
        <v>0</v>
      </c>
      <c r="I232" s="3">
        <v>0</v>
      </c>
      <c r="J232" s="3">
        <v>0</v>
      </c>
      <c r="K232" s="3">
        <v>1</v>
      </c>
      <c r="L232" s="3">
        <v>0</v>
      </c>
      <c r="M232" s="3">
        <v>10</v>
      </c>
      <c r="N232" s="3">
        <v>0</v>
      </c>
      <c r="O232" s="3">
        <v>0</v>
      </c>
      <c r="P232" s="3">
        <v>20</v>
      </c>
      <c r="Q232" s="3">
        <v>0</v>
      </c>
      <c r="R232" s="3">
        <v>20</v>
      </c>
      <c r="S232" s="3">
        <v>0</v>
      </c>
      <c r="T232" s="3">
        <v>0</v>
      </c>
      <c r="U232" s="3">
        <v>0</v>
      </c>
      <c r="V232" s="3">
        <v>0</v>
      </c>
      <c r="W232" s="3">
        <v>0</v>
      </c>
      <c r="X232" s="3">
        <v>0</v>
      </c>
      <c r="Y232" s="3">
        <v>0</v>
      </c>
      <c r="Z232" s="3">
        <v>0</v>
      </c>
      <c r="AA232" s="3">
        <v>0</v>
      </c>
      <c r="AB232" s="3">
        <v>0</v>
      </c>
      <c r="AC232" s="3">
        <v>0</v>
      </c>
      <c r="AD232" s="3">
        <v>0</v>
      </c>
      <c r="AE232" s="3">
        <v>0</v>
      </c>
      <c r="AF232" s="3">
        <v>0</v>
      </c>
      <c r="AG232" s="3">
        <v>0</v>
      </c>
      <c r="AH232" s="3">
        <v>0</v>
      </c>
      <c r="AI232" s="3">
        <v>0</v>
      </c>
      <c r="AJ232" s="3">
        <v>0</v>
      </c>
      <c r="AK232" s="3">
        <v>0</v>
      </c>
      <c r="AL232" s="3" t="s">
        <v>51</v>
      </c>
      <c r="AM232" s="3" t="s">
        <v>270</v>
      </c>
      <c r="AN232" s="3" t="s">
        <v>2089</v>
      </c>
      <c r="AO232" s="3" t="s">
        <v>50</v>
      </c>
      <c r="AP232" s="3">
        <v>0</v>
      </c>
      <c r="AQ232" s="3">
        <v>0</v>
      </c>
      <c r="AR232">
        <v>0</v>
      </c>
      <c r="AS232">
        <v>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0</v>
      </c>
      <c r="BK232">
        <v>1</v>
      </c>
      <c r="BL232">
        <v>0</v>
      </c>
      <c r="BM232">
        <v>0</v>
      </c>
      <c r="BN232">
        <v>0</v>
      </c>
      <c r="BO232">
        <v>0</v>
      </c>
    </row>
    <row r="233" spans="1:67" ht="15.75" customHeight="1" x14ac:dyDescent="0.2">
      <c r="A233" s="3">
        <f t="shared" si="3"/>
        <v>231</v>
      </c>
      <c r="B233" s="3" t="s">
        <v>3009</v>
      </c>
      <c r="C233" s="3" t="s">
        <v>2145</v>
      </c>
      <c r="D233" s="25" t="s">
        <v>2148</v>
      </c>
      <c r="E233" s="4" t="s">
        <v>2580</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270</v>
      </c>
      <c r="AN233" s="3" t="s">
        <v>3070</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0</v>
      </c>
      <c r="BK233">
        <v>1</v>
      </c>
      <c r="BL233">
        <v>0</v>
      </c>
      <c r="BM233">
        <v>0</v>
      </c>
      <c r="BN233">
        <v>0</v>
      </c>
      <c r="BO233">
        <v>0</v>
      </c>
    </row>
    <row r="234" spans="1:67" s="9" customFormat="1" ht="15.75" customHeight="1" x14ac:dyDescent="0.2">
      <c r="A234" s="7">
        <f t="shared" si="3"/>
        <v>232</v>
      </c>
      <c r="B234" s="7" t="s">
        <v>1488</v>
      </c>
      <c r="C234" s="7" t="s">
        <v>2146</v>
      </c>
      <c r="D234" s="26" t="s">
        <v>2149</v>
      </c>
      <c r="E234" s="11" t="s">
        <v>2582</v>
      </c>
      <c r="F234" s="7">
        <v>0</v>
      </c>
      <c r="G234" s="7">
        <v>0</v>
      </c>
      <c r="H234" s="7">
        <v>0</v>
      </c>
      <c r="I234" s="7">
        <v>0</v>
      </c>
      <c r="J234" s="7">
        <v>0</v>
      </c>
      <c r="K234" s="7">
        <v>1</v>
      </c>
      <c r="L234" s="7">
        <v>0</v>
      </c>
      <c r="M234" s="7">
        <v>10</v>
      </c>
      <c r="N234" s="7">
        <v>0</v>
      </c>
      <c r="O234" s="7">
        <v>0</v>
      </c>
      <c r="P234" s="7">
        <v>20</v>
      </c>
      <c r="Q234" s="7">
        <v>0</v>
      </c>
      <c r="R234" s="7">
        <v>20</v>
      </c>
      <c r="S234" s="7">
        <v>0</v>
      </c>
      <c r="T234" s="7">
        <v>0</v>
      </c>
      <c r="U234" s="7">
        <v>0</v>
      </c>
      <c r="V234" s="7">
        <v>0</v>
      </c>
      <c r="W234" s="7">
        <v>0</v>
      </c>
      <c r="X234" s="7">
        <v>0</v>
      </c>
      <c r="Y234" s="7">
        <v>0</v>
      </c>
      <c r="Z234" s="7">
        <v>0</v>
      </c>
      <c r="AA234" s="7">
        <v>0</v>
      </c>
      <c r="AB234" s="7">
        <v>0</v>
      </c>
      <c r="AC234" s="7">
        <v>0</v>
      </c>
      <c r="AD234" s="7">
        <v>0</v>
      </c>
      <c r="AE234" s="7">
        <v>0</v>
      </c>
      <c r="AF234" s="7">
        <v>0</v>
      </c>
      <c r="AG234" s="7">
        <v>0</v>
      </c>
      <c r="AH234" s="7">
        <v>0</v>
      </c>
      <c r="AI234" s="7">
        <v>0</v>
      </c>
      <c r="AJ234" s="7">
        <v>0</v>
      </c>
      <c r="AK234" s="7">
        <v>0</v>
      </c>
      <c r="AL234" s="7" t="s">
        <v>51</v>
      </c>
      <c r="AM234" s="7" t="s">
        <v>270</v>
      </c>
      <c r="AN234" s="7" t="s">
        <v>2059</v>
      </c>
      <c r="AO234" s="7" t="s">
        <v>50</v>
      </c>
      <c r="AP234" s="7">
        <v>0</v>
      </c>
      <c r="AQ234" s="7">
        <v>0</v>
      </c>
      <c r="AR234" s="9">
        <v>0</v>
      </c>
      <c r="AS234" s="9">
        <v>0</v>
      </c>
      <c r="AT234" s="10" t="s">
        <v>50</v>
      </c>
      <c r="AU234" s="10" t="s">
        <v>50</v>
      </c>
      <c r="AV234" s="10" t="s">
        <v>50</v>
      </c>
      <c r="AW234" s="10" t="s">
        <v>50</v>
      </c>
      <c r="AX234" s="10" t="s">
        <v>50</v>
      </c>
      <c r="AY234" s="10" t="s">
        <v>50</v>
      </c>
      <c r="AZ234" s="10" t="s">
        <v>50</v>
      </c>
      <c r="BA234" s="10" t="s">
        <v>50</v>
      </c>
      <c r="BB234" s="10" t="s">
        <v>50</v>
      </c>
      <c r="BC234" s="10" t="s">
        <v>50</v>
      </c>
      <c r="BD234" s="10" t="s">
        <v>50</v>
      </c>
      <c r="BE234" s="10" t="s">
        <v>50</v>
      </c>
      <c r="BF234" s="10" t="s">
        <v>50</v>
      </c>
      <c r="BG234" s="10" t="s">
        <v>50</v>
      </c>
      <c r="BH234" s="10" t="s">
        <v>50</v>
      </c>
      <c r="BI234" s="9">
        <v>0</v>
      </c>
      <c r="BJ234" s="9">
        <v>0</v>
      </c>
      <c r="BK234" s="9">
        <v>1</v>
      </c>
      <c r="BL234" s="9">
        <v>0</v>
      </c>
      <c r="BM234" s="9">
        <v>0</v>
      </c>
      <c r="BN234" s="9">
        <v>0</v>
      </c>
      <c r="BO234" s="9">
        <v>0</v>
      </c>
    </row>
    <row r="235" spans="1:67" ht="15.75" customHeight="1" x14ac:dyDescent="0.2">
      <c r="A235" s="3">
        <f t="shared" si="3"/>
        <v>233</v>
      </c>
      <c r="B235" s="3" t="s">
        <v>3010</v>
      </c>
      <c r="C235" s="3" t="s">
        <v>2837</v>
      </c>
      <c r="D235" s="25" t="s">
        <v>2838</v>
      </c>
      <c r="E235" s="4" t="s">
        <v>2833</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270</v>
      </c>
      <c r="AN235" s="3" t="s">
        <v>3071</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50</v>
      </c>
      <c r="BE235" s="6" t="s">
        <v>50</v>
      </c>
      <c r="BF235" s="6" t="s">
        <v>50</v>
      </c>
      <c r="BG235" s="6" t="s">
        <v>50</v>
      </c>
      <c r="BH235" s="6" t="s">
        <v>50</v>
      </c>
      <c r="BI235">
        <v>1</v>
      </c>
      <c r="BJ235">
        <v>0</v>
      </c>
      <c r="BK235">
        <v>1</v>
      </c>
      <c r="BL235">
        <v>0</v>
      </c>
      <c r="BM235">
        <v>0</v>
      </c>
      <c r="BN235">
        <v>0</v>
      </c>
      <c r="BO235">
        <v>0</v>
      </c>
    </row>
    <row r="236" spans="1:67" ht="15.75" customHeight="1" x14ac:dyDescent="0.2">
      <c r="A236" s="3">
        <f t="shared" si="3"/>
        <v>234</v>
      </c>
      <c r="B236" s="3" t="s">
        <v>3011</v>
      </c>
      <c r="C236" s="3" t="s">
        <v>2747</v>
      </c>
      <c r="D236" s="25" t="s">
        <v>2741</v>
      </c>
      <c r="E236" s="4" t="s">
        <v>2803</v>
      </c>
      <c r="F236" s="3">
        <v>0</v>
      </c>
      <c r="G236" s="3">
        <v>0</v>
      </c>
      <c r="H236" s="3">
        <v>0</v>
      </c>
      <c r="I236" s="3">
        <v>0</v>
      </c>
      <c r="J236" s="3">
        <v>0</v>
      </c>
      <c r="K236" s="3">
        <v>1</v>
      </c>
      <c r="L236" s="3">
        <v>0</v>
      </c>
      <c r="M236" s="3">
        <v>10</v>
      </c>
      <c r="N236" s="3">
        <v>0</v>
      </c>
      <c r="O236" s="3">
        <v>0</v>
      </c>
      <c r="P236" s="3">
        <v>20</v>
      </c>
      <c r="Q236" s="3">
        <v>0</v>
      </c>
      <c r="R236" s="3">
        <v>20</v>
      </c>
      <c r="S236" s="3">
        <v>0</v>
      </c>
      <c r="T236" s="3">
        <v>0</v>
      </c>
      <c r="U236" s="3">
        <v>0</v>
      </c>
      <c r="V236" s="3">
        <v>0</v>
      </c>
      <c r="W236" s="3">
        <v>0</v>
      </c>
      <c r="X236" s="3">
        <v>0</v>
      </c>
      <c r="Y236" s="3">
        <v>0</v>
      </c>
      <c r="Z236" s="3">
        <v>0</v>
      </c>
      <c r="AA236" s="3">
        <v>0</v>
      </c>
      <c r="AB236" s="3">
        <v>0</v>
      </c>
      <c r="AC236" s="3">
        <v>0</v>
      </c>
      <c r="AD236" s="3">
        <v>0</v>
      </c>
      <c r="AE236" s="3">
        <v>0</v>
      </c>
      <c r="AF236" s="3">
        <v>0</v>
      </c>
      <c r="AG236" s="3">
        <v>0</v>
      </c>
      <c r="AH236" s="3">
        <v>0</v>
      </c>
      <c r="AI236" s="3">
        <v>0</v>
      </c>
      <c r="AJ236" s="3">
        <v>0</v>
      </c>
      <c r="AK236" s="3">
        <v>0</v>
      </c>
      <c r="AL236" s="3" t="s">
        <v>51</v>
      </c>
      <c r="AM236" s="3" t="s">
        <v>270</v>
      </c>
      <c r="AN236" s="3" t="s">
        <v>2059</v>
      </c>
      <c r="AO236" s="3" t="s">
        <v>50</v>
      </c>
      <c r="AP236" s="3">
        <v>0</v>
      </c>
      <c r="AQ236" s="3">
        <v>0</v>
      </c>
      <c r="AR236">
        <v>0</v>
      </c>
      <c r="AS236">
        <v>0</v>
      </c>
      <c r="AT236" s="6" t="s">
        <v>50</v>
      </c>
      <c r="AU236" s="6" t="s">
        <v>50</v>
      </c>
      <c r="AV236" s="6" t="s">
        <v>50</v>
      </c>
      <c r="AW236" s="6" t="s">
        <v>50</v>
      </c>
      <c r="AX236" s="6" t="s">
        <v>50</v>
      </c>
      <c r="AY236" s="6" t="s">
        <v>50</v>
      </c>
      <c r="AZ236" s="6" t="s">
        <v>50</v>
      </c>
      <c r="BA236" s="6" t="s">
        <v>50</v>
      </c>
      <c r="BB236" s="6" t="s">
        <v>50</v>
      </c>
      <c r="BC236" s="6" t="s">
        <v>50</v>
      </c>
      <c r="BD236" s="6" t="s">
        <v>50</v>
      </c>
      <c r="BE236" s="6" t="s">
        <v>50</v>
      </c>
      <c r="BF236" s="6" t="s">
        <v>50</v>
      </c>
      <c r="BG236" s="6" t="s">
        <v>50</v>
      </c>
      <c r="BH236" s="6" t="s">
        <v>50</v>
      </c>
      <c r="BI236">
        <v>1</v>
      </c>
      <c r="BJ236">
        <v>0</v>
      </c>
      <c r="BK236">
        <v>1</v>
      </c>
      <c r="BL236">
        <v>0</v>
      </c>
      <c r="BM236">
        <v>0</v>
      </c>
      <c r="BN236">
        <v>0</v>
      </c>
      <c r="BO236">
        <v>0</v>
      </c>
    </row>
    <row r="237" spans="1:67" ht="15.75" customHeight="1" x14ac:dyDescent="0.2">
      <c r="A237" s="3">
        <f t="shared" si="3"/>
        <v>235</v>
      </c>
      <c r="B237" s="3" t="s">
        <v>3525</v>
      </c>
      <c r="C237" s="3" t="s">
        <v>3457</v>
      </c>
      <c r="D237" s="25" t="s">
        <v>3481</v>
      </c>
      <c r="E237" s="4" t="s">
        <v>3510</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2059</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0</v>
      </c>
      <c r="BK237">
        <v>1</v>
      </c>
      <c r="BL237">
        <v>0</v>
      </c>
      <c r="BM237">
        <v>0</v>
      </c>
      <c r="BN237">
        <v>0</v>
      </c>
      <c r="BO237">
        <v>0</v>
      </c>
    </row>
    <row r="238" spans="1:67" s="37" customFormat="1" ht="15.75" customHeight="1" x14ac:dyDescent="0.2">
      <c r="A238" s="34">
        <f t="shared" si="3"/>
        <v>236</v>
      </c>
      <c r="B238" s="34" t="s">
        <v>3011</v>
      </c>
      <c r="C238" s="34" t="s">
        <v>3509</v>
      </c>
      <c r="D238" s="35" t="s">
        <v>3508</v>
      </c>
      <c r="E238" s="36" t="s">
        <v>3511</v>
      </c>
      <c r="F238" s="34">
        <v>0</v>
      </c>
      <c r="G238" s="34">
        <v>0</v>
      </c>
      <c r="H238" s="34">
        <v>0</v>
      </c>
      <c r="I238" s="34">
        <v>0</v>
      </c>
      <c r="J238" s="34">
        <v>0</v>
      </c>
      <c r="K238" s="34">
        <v>1</v>
      </c>
      <c r="L238" s="34">
        <v>0</v>
      </c>
      <c r="M238" s="34">
        <v>10</v>
      </c>
      <c r="N238" s="34">
        <v>0</v>
      </c>
      <c r="O238" s="34">
        <v>0</v>
      </c>
      <c r="P238" s="34">
        <v>20</v>
      </c>
      <c r="Q238" s="34">
        <v>0</v>
      </c>
      <c r="R238" s="34">
        <v>20</v>
      </c>
      <c r="S238" s="34">
        <v>0</v>
      </c>
      <c r="T238" s="34">
        <v>0</v>
      </c>
      <c r="U238" s="34">
        <v>0</v>
      </c>
      <c r="V238" s="34">
        <v>0</v>
      </c>
      <c r="W238" s="34">
        <v>0</v>
      </c>
      <c r="X238" s="34">
        <v>0</v>
      </c>
      <c r="Y238" s="34">
        <v>0</v>
      </c>
      <c r="Z238" s="34">
        <v>0</v>
      </c>
      <c r="AA238" s="34">
        <v>0</v>
      </c>
      <c r="AB238" s="34">
        <v>0</v>
      </c>
      <c r="AC238" s="34">
        <v>0</v>
      </c>
      <c r="AD238" s="34">
        <v>0</v>
      </c>
      <c r="AE238" s="34">
        <v>0</v>
      </c>
      <c r="AF238" s="34">
        <v>0</v>
      </c>
      <c r="AG238" s="34">
        <v>0</v>
      </c>
      <c r="AH238" s="34">
        <v>0</v>
      </c>
      <c r="AI238" s="34">
        <v>0</v>
      </c>
      <c r="AJ238" s="34">
        <v>0</v>
      </c>
      <c r="AK238" s="34">
        <v>0</v>
      </c>
      <c r="AL238" s="34" t="s">
        <v>51</v>
      </c>
      <c r="AM238" s="34" t="s">
        <v>270</v>
      </c>
      <c r="AN238" s="34" t="s">
        <v>2059</v>
      </c>
      <c r="AO238" s="34" t="s">
        <v>50</v>
      </c>
      <c r="AP238" s="34">
        <v>0</v>
      </c>
      <c r="AQ238" s="34">
        <v>0</v>
      </c>
      <c r="AR238" s="37">
        <v>0</v>
      </c>
      <c r="AS238" s="37">
        <v>0</v>
      </c>
      <c r="AT238" s="38" t="s">
        <v>50</v>
      </c>
      <c r="AU238" s="38" t="s">
        <v>50</v>
      </c>
      <c r="AV238" s="38" t="s">
        <v>50</v>
      </c>
      <c r="AW238" s="38" t="s">
        <v>50</v>
      </c>
      <c r="AX238" s="38" t="s">
        <v>50</v>
      </c>
      <c r="AY238" s="38" t="s">
        <v>50</v>
      </c>
      <c r="AZ238" s="38" t="s">
        <v>50</v>
      </c>
      <c r="BA238" s="38" t="s">
        <v>50</v>
      </c>
      <c r="BB238" s="38" t="s">
        <v>50</v>
      </c>
      <c r="BC238" s="38" t="s">
        <v>50</v>
      </c>
      <c r="BD238" s="38" t="s">
        <v>50</v>
      </c>
      <c r="BE238" s="38" t="s">
        <v>50</v>
      </c>
      <c r="BF238" s="38" t="s">
        <v>50</v>
      </c>
      <c r="BG238" s="38" t="s">
        <v>50</v>
      </c>
      <c r="BH238" s="38" t="s">
        <v>50</v>
      </c>
      <c r="BI238" s="37">
        <v>1</v>
      </c>
      <c r="BJ238" s="37">
        <v>0</v>
      </c>
      <c r="BK238" s="37">
        <v>1</v>
      </c>
      <c r="BL238" s="37">
        <v>0</v>
      </c>
      <c r="BM238" s="37">
        <v>0</v>
      </c>
      <c r="BN238" s="37">
        <v>0</v>
      </c>
      <c r="BO238" s="37">
        <v>0</v>
      </c>
    </row>
    <row r="239" spans="1:67" ht="15.75" customHeight="1" x14ac:dyDescent="0.2">
      <c r="A239" s="3">
        <f t="shared" si="3"/>
        <v>237</v>
      </c>
      <c r="B239" s="3" t="s">
        <v>3526</v>
      </c>
      <c r="C239" s="3" t="s">
        <v>3413</v>
      </c>
      <c r="D239" s="25" t="s">
        <v>3412</v>
      </c>
      <c r="E239" s="4" t="s">
        <v>3414</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270</v>
      </c>
      <c r="AN239" s="3" t="s">
        <v>2059</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0</v>
      </c>
      <c r="BK239">
        <v>1</v>
      </c>
      <c r="BL239">
        <v>0</v>
      </c>
      <c r="BM239">
        <v>0</v>
      </c>
      <c r="BN239">
        <v>0</v>
      </c>
      <c r="BO239">
        <v>0</v>
      </c>
    </row>
    <row r="240" spans="1:67" s="37" customFormat="1" ht="15.75" customHeight="1" x14ac:dyDescent="0.2">
      <c r="A240" s="34">
        <f t="shared" si="3"/>
        <v>238</v>
      </c>
      <c r="B240" s="34" t="s">
        <v>2092</v>
      </c>
      <c r="C240" s="34" t="s">
        <v>2749</v>
      </c>
      <c r="D240" s="39" t="s">
        <v>2805</v>
      </c>
      <c r="E240" s="39" t="s">
        <v>2077</v>
      </c>
      <c r="F240" s="34">
        <v>0</v>
      </c>
      <c r="G240" s="34">
        <v>0</v>
      </c>
      <c r="H240" s="34">
        <v>0</v>
      </c>
      <c r="I240" s="34">
        <v>50</v>
      </c>
      <c r="J240" s="34">
        <v>3</v>
      </c>
      <c r="K240" s="34">
        <v>1</v>
      </c>
      <c r="L240" s="34">
        <v>0</v>
      </c>
      <c r="M240" s="34">
        <v>0</v>
      </c>
      <c r="N240" s="34">
        <v>0</v>
      </c>
      <c r="O240" s="34">
        <v>0</v>
      </c>
      <c r="P240" s="34">
        <v>0</v>
      </c>
      <c r="Q240" s="34">
        <v>0</v>
      </c>
      <c r="R240" s="34">
        <v>0</v>
      </c>
      <c r="S240" s="34">
        <v>0</v>
      </c>
      <c r="T240" s="34">
        <v>0</v>
      </c>
      <c r="U240" s="34">
        <v>0</v>
      </c>
      <c r="V240" s="34">
        <v>0</v>
      </c>
      <c r="W240" s="34">
        <v>0</v>
      </c>
      <c r="X240" s="34">
        <v>0</v>
      </c>
      <c r="Y240" s="34">
        <v>0</v>
      </c>
      <c r="Z240" s="34">
        <v>0</v>
      </c>
      <c r="AA240" s="34">
        <v>0</v>
      </c>
      <c r="AB240" s="34">
        <v>0</v>
      </c>
      <c r="AC240" s="34">
        <v>0</v>
      </c>
      <c r="AD240" s="34">
        <v>0</v>
      </c>
      <c r="AE240" s="34">
        <v>0</v>
      </c>
      <c r="AF240" s="34">
        <v>0</v>
      </c>
      <c r="AG240" s="34">
        <v>0</v>
      </c>
      <c r="AH240" s="34">
        <v>0</v>
      </c>
      <c r="AI240" s="34">
        <v>0</v>
      </c>
      <c r="AJ240" s="34">
        <v>0</v>
      </c>
      <c r="AK240" s="34">
        <v>0</v>
      </c>
      <c r="AL240" s="34" t="s">
        <v>17</v>
      </c>
      <c r="AM240" s="34" t="s">
        <v>974</v>
      </c>
      <c r="AN240" s="34" t="s">
        <v>3545</v>
      </c>
      <c r="AO240" s="34" t="s">
        <v>2159</v>
      </c>
      <c r="AP240" s="34">
        <v>0</v>
      </c>
      <c r="AQ240" s="34">
        <v>0</v>
      </c>
      <c r="AR240" s="37">
        <v>0</v>
      </c>
      <c r="AS240" s="37">
        <v>0</v>
      </c>
      <c r="AT240" s="38" t="s">
        <v>50</v>
      </c>
      <c r="AU240" s="38" t="s">
        <v>50</v>
      </c>
      <c r="AV240" s="38" t="s">
        <v>50</v>
      </c>
      <c r="AW240" s="38" t="s">
        <v>50</v>
      </c>
      <c r="AX240" s="38" t="s">
        <v>50</v>
      </c>
      <c r="AY240" s="38" t="s">
        <v>50</v>
      </c>
      <c r="AZ240" s="38" t="s">
        <v>50</v>
      </c>
      <c r="BA240" s="38" t="s">
        <v>50</v>
      </c>
      <c r="BB240" s="38" t="s">
        <v>50</v>
      </c>
      <c r="BC240" s="38" t="s">
        <v>50</v>
      </c>
      <c r="BD240" s="38" t="s">
        <v>50</v>
      </c>
      <c r="BE240" s="38" t="s">
        <v>50</v>
      </c>
      <c r="BF240" s="38" t="s">
        <v>50</v>
      </c>
      <c r="BG240" s="38" t="s">
        <v>50</v>
      </c>
      <c r="BH240" s="38" t="s">
        <v>50</v>
      </c>
      <c r="BI240" s="37">
        <v>1</v>
      </c>
      <c r="BJ240" s="37">
        <v>0</v>
      </c>
      <c r="BK240" s="37">
        <v>1</v>
      </c>
      <c r="BL240" s="37">
        <v>0</v>
      </c>
      <c r="BM240" s="37">
        <v>0</v>
      </c>
      <c r="BN240" s="37">
        <v>0</v>
      </c>
      <c r="BO240" s="37">
        <v>0</v>
      </c>
    </row>
    <row r="241" spans="1:67" s="37" customFormat="1" ht="15.75" customHeight="1" x14ac:dyDescent="0.2">
      <c r="A241" s="34">
        <f t="shared" si="3"/>
        <v>239</v>
      </c>
      <c r="B241" s="34" t="s">
        <v>2092</v>
      </c>
      <c r="C241" s="34" t="s">
        <v>2750</v>
      </c>
      <c r="D241" s="39" t="s">
        <v>2804</v>
      </c>
      <c r="E241" s="39" t="s">
        <v>2078</v>
      </c>
      <c r="F241" s="34">
        <v>0</v>
      </c>
      <c r="G241" s="34">
        <v>0</v>
      </c>
      <c r="H241" s="34">
        <v>0</v>
      </c>
      <c r="I241" s="34">
        <v>50</v>
      </c>
      <c r="J241" s="34">
        <v>3</v>
      </c>
      <c r="K241" s="34">
        <v>1</v>
      </c>
      <c r="L241" s="34">
        <v>0</v>
      </c>
      <c r="M241" s="34">
        <v>0</v>
      </c>
      <c r="N241" s="34">
        <v>0</v>
      </c>
      <c r="O241" s="34">
        <v>0</v>
      </c>
      <c r="P241" s="34">
        <v>0</v>
      </c>
      <c r="Q241" s="34">
        <v>0</v>
      </c>
      <c r="R241" s="34">
        <v>0</v>
      </c>
      <c r="S241" s="34">
        <v>0</v>
      </c>
      <c r="T241" s="34">
        <v>0</v>
      </c>
      <c r="U241" s="34">
        <v>0</v>
      </c>
      <c r="V241" s="34">
        <v>0</v>
      </c>
      <c r="W241" s="34">
        <v>0</v>
      </c>
      <c r="X241" s="34">
        <v>0</v>
      </c>
      <c r="Y241" s="34">
        <v>0</v>
      </c>
      <c r="Z241" s="34">
        <v>0</v>
      </c>
      <c r="AA241" s="34">
        <v>0</v>
      </c>
      <c r="AB241" s="34">
        <v>0</v>
      </c>
      <c r="AC241" s="34">
        <v>0</v>
      </c>
      <c r="AD241" s="34">
        <v>0</v>
      </c>
      <c r="AE241" s="34">
        <v>0</v>
      </c>
      <c r="AF241" s="34">
        <v>0</v>
      </c>
      <c r="AG241" s="34">
        <v>0</v>
      </c>
      <c r="AH241" s="34">
        <v>0</v>
      </c>
      <c r="AI241" s="34">
        <v>0</v>
      </c>
      <c r="AJ241" s="34">
        <v>0</v>
      </c>
      <c r="AK241" s="34">
        <v>0</v>
      </c>
      <c r="AL241" s="34" t="s">
        <v>17</v>
      </c>
      <c r="AM241" s="34" t="s">
        <v>974</v>
      </c>
      <c r="AN241" s="34" t="s">
        <v>3545</v>
      </c>
      <c r="AO241" s="34" t="s">
        <v>2159</v>
      </c>
      <c r="AP241" s="34">
        <v>0</v>
      </c>
      <c r="AQ241" s="34">
        <v>0</v>
      </c>
      <c r="AR241" s="37">
        <v>0</v>
      </c>
      <c r="AS241" s="37">
        <v>0</v>
      </c>
      <c r="AT241" s="38" t="s">
        <v>50</v>
      </c>
      <c r="AU241" s="38" t="s">
        <v>50</v>
      </c>
      <c r="AV241" s="38" t="s">
        <v>50</v>
      </c>
      <c r="AW241" s="38" t="s">
        <v>50</v>
      </c>
      <c r="AX241" s="38" t="s">
        <v>50</v>
      </c>
      <c r="AY241" s="38" t="s">
        <v>50</v>
      </c>
      <c r="AZ241" s="38" t="s">
        <v>50</v>
      </c>
      <c r="BA241" s="38" t="s">
        <v>50</v>
      </c>
      <c r="BB241" s="38" t="s">
        <v>50</v>
      </c>
      <c r="BC241" s="38" t="s">
        <v>50</v>
      </c>
      <c r="BD241" s="38" t="s">
        <v>50</v>
      </c>
      <c r="BE241" s="38" t="s">
        <v>50</v>
      </c>
      <c r="BF241" s="38" t="s">
        <v>50</v>
      </c>
      <c r="BG241" s="38" t="s">
        <v>50</v>
      </c>
      <c r="BH241" s="38" t="s">
        <v>50</v>
      </c>
      <c r="BI241" s="37">
        <v>1</v>
      </c>
      <c r="BJ241" s="37">
        <v>0</v>
      </c>
      <c r="BK241" s="37">
        <v>1</v>
      </c>
      <c r="BL241" s="37">
        <v>0</v>
      </c>
      <c r="BM241" s="37">
        <v>0</v>
      </c>
      <c r="BN241" s="37">
        <v>0</v>
      </c>
      <c r="BO241" s="37">
        <v>0</v>
      </c>
    </row>
    <row r="242" spans="1:67" s="37" customFormat="1" ht="15.75" customHeight="1" x14ac:dyDescent="0.2">
      <c r="A242" s="34">
        <f t="shared" si="3"/>
        <v>240</v>
      </c>
      <c r="B242" s="34" t="s">
        <v>2092</v>
      </c>
      <c r="C242" s="34" t="s">
        <v>2751</v>
      </c>
      <c r="D242" s="39" t="s">
        <v>3005</v>
      </c>
      <c r="E242" s="39" t="s">
        <v>2806</v>
      </c>
      <c r="F242" s="34">
        <v>0</v>
      </c>
      <c r="G242" s="34">
        <v>0</v>
      </c>
      <c r="H242" s="34">
        <v>0</v>
      </c>
      <c r="I242" s="34">
        <v>50</v>
      </c>
      <c r="J242" s="34">
        <v>3</v>
      </c>
      <c r="K242" s="34">
        <v>1</v>
      </c>
      <c r="L242" s="34">
        <v>0</v>
      </c>
      <c r="M242" s="34">
        <v>0</v>
      </c>
      <c r="N242" s="34">
        <v>0</v>
      </c>
      <c r="O242" s="34">
        <v>0</v>
      </c>
      <c r="P242" s="34">
        <v>0</v>
      </c>
      <c r="Q242" s="34">
        <v>0</v>
      </c>
      <c r="R242" s="34">
        <v>0</v>
      </c>
      <c r="S242" s="34">
        <v>0</v>
      </c>
      <c r="T242" s="34">
        <v>0</v>
      </c>
      <c r="U242" s="34">
        <v>0</v>
      </c>
      <c r="V242" s="34">
        <v>0</v>
      </c>
      <c r="W242" s="34">
        <v>0</v>
      </c>
      <c r="X242" s="34">
        <v>0</v>
      </c>
      <c r="Y242" s="34">
        <v>0</v>
      </c>
      <c r="Z242" s="34">
        <v>0</v>
      </c>
      <c r="AA242" s="34">
        <v>0</v>
      </c>
      <c r="AB242" s="34">
        <v>0</v>
      </c>
      <c r="AC242" s="34">
        <v>0</v>
      </c>
      <c r="AD242" s="34">
        <v>0</v>
      </c>
      <c r="AE242" s="34">
        <v>0</v>
      </c>
      <c r="AF242" s="34">
        <v>0</v>
      </c>
      <c r="AG242" s="34">
        <v>0</v>
      </c>
      <c r="AH242" s="34">
        <v>0</v>
      </c>
      <c r="AI242" s="34">
        <v>0</v>
      </c>
      <c r="AJ242" s="34">
        <v>0</v>
      </c>
      <c r="AK242" s="34">
        <v>0</v>
      </c>
      <c r="AL242" s="34" t="s">
        <v>17</v>
      </c>
      <c r="AM242" s="34" t="s">
        <v>974</v>
      </c>
      <c r="AN242" s="34" t="s">
        <v>3545</v>
      </c>
      <c r="AO242" s="34" t="s">
        <v>2159</v>
      </c>
      <c r="AP242" s="34">
        <v>0</v>
      </c>
      <c r="AQ242" s="34">
        <v>0</v>
      </c>
      <c r="AR242" s="37">
        <v>0</v>
      </c>
      <c r="AS242" s="37">
        <v>0</v>
      </c>
      <c r="AT242" s="38" t="s">
        <v>50</v>
      </c>
      <c r="AU242" s="38" t="s">
        <v>50</v>
      </c>
      <c r="AV242" s="38" t="s">
        <v>50</v>
      </c>
      <c r="AW242" s="38" t="s">
        <v>50</v>
      </c>
      <c r="AX242" s="38" t="s">
        <v>50</v>
      </c>
      <c r="AY242" s="38" t="s">
        <v>50</v>
      </c>
      <c r="AZ242" s="38" t="s">
        <v>50</v>
      </c>
      <c r="BA242" s="38" t="s">
        <v>50</v>
      </c>
      <c r="BB242" s="38" t="s">
        <v>50</v>
      </c>
      <c r="BC242" s="38" t="s">
        <v>50</v>
      </c>
      <c r="BD242" s="38" t="s">
        <v>50</v>
      </c>
      <c r="BE242" s="38" t="s">
        <v>50</v>
      </c>
      <c r="BF242" s="38" t="s">
        <v>50</v>
      </c>
      <c r="BG242" s="38" t="s">
        <v>50</v>
      </c>
      <c r="BH242" s="38" t="s">
        <v>50</v>
      </c>
      <c r="BI242" s="37">
        <v>1</v>
      </c>
      <c r="BJ242" s="37">
        <v>0</v>
      </c>
      <c r="BK242" s="37">
        <v>1</v>
      </c>
      <c r="BL242" s="37">
        <v>0</v>
      </c>
      <c r="BM242" s="37">
        <v>0</v>
      </c>
      <c r="BN242" s="37">
        <v>0</v>
      </c>
      <c r="BO242" s="37">
        <v>0</v>
      </c>
    </row>
    <row r="243" spans="1:67" ht="15.75" customHeight="1" x14ac:dyDescent="0.2">
      <c r="A243" s="3">
        <f t="shared" si="3"/>
        <v>241</v>
      </c>
      <c r="B243" s="3" t="s">
        <v>383</v>
      </c>
      <c r="C243" s="3" t="s">
        <v>246</v>
      </c>
      <c r="D243" s="25" t="s">
        <v>254</v>
      </c>
      <c r="E243" s="4" t="s">
        <v>240</v>
      </c>
      <c r="F243" s="3">
        <v>0</v>
      </c>
      <c r="G243" s="3">
        <v>0</v>
      </c>
      <c r="H243" s="3">
        <v>0</v>
      </c>
      <c r="I243" s="3">
        <v>0</v>
      </c>
      <c r="J243" s="3">
        <v>0</v>
      </c>
      <c r="K243" s="3">
        <v>1</v>
      </c>
      <c r="L243" s="3">
        <v>0</v>
      </c>
      <c r="M243" s="3">
        <v>0</v>
      </c>
      <c r="N243" s="3">
        <v>0</v>
      </c>
      <c r="O243" s="3">
        <v>0</v>
      </c>
      <c r="P243" s="3">
        <v>0</v>
      </c>
      <c r="Q243" s="3">
        <v>0</v>
      </c>
      <c r="R243" s="3">
        <v>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974</v>
      </c>
      <c r="AN243" s="3" t="s">
        <v>1998</v>
      </c>
      <c r="AO243" s="3" t="s">
        <v>1853</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50</v>
      </c>
      <c r="BE243" s="6" t="s">
        <v>50</v>
      </c>
      <c r="BF243" s="6" t="s">
        <v>50</v>
      </c>
      <c r="BG243" s="6" t="s">
        <v>50</v>
      </c>
      <c r="BH243" s="6" t="s">
        <v>50</v>
      </c>
      <c r="BI243">
        <v>1</v>
      </c>
      <c r="BJ243">
        <v>0</v>
      </c>
      <c r="BK243">
        <v>1</v>
      </c>
      <c r="BL243">
        <v>0</v>
      </c>
      <c r="BM243">
        <v>0</v>
      </c>
      <c r="BN243">
        <v>0</v>
      </c>
      <c r="BO243">
        <v>0</v>
      </c>
    </row>
    <row r="244" spans="1:67" ht="15.75" customHeight="1" x14ac:dyDescent="0.2">
      <c r="A244" s="3">
        <f t="shared" si="3"/>
        <v>242</v>
      </c>
      <c r="B244" s="3" t="s">
        <v>383</v>
      </c>
      <c r="C244" s="3" t="s">
        <v>508</v>
      </c>
      <c r="D244" s="25" t="s">
        <v>509</v>
      </c>
      <c r="E244" s="4" t="s">
        <v>510</v>
      </c>
      <c r="F244" s="3">
        <v>0</v>
      </c>
      <c r="G244" s="3">
        <v>0</v>
      </c>
      <c r="H244" s="3">
        <v>0</v>
      </c>
      <c r="I244" s="3">
        <v>0</v>
      </c>
      <c r="J244" s="3">
        <v>0</v>
      </c>
      <c r="K244" s="3">
        <v>1</v>
      </c>
      <c r="L244" s="3">
        <v>0</v>
      </c>
      <c r="M244" s="3">
        <v>0</v>
      </c>
      <c r="N244" s="3">
        <v>0</v>
      </c>
      <c r="O244" s="3">
        <v>0</v>
      </c>
      <c r="P244" s="3">
        <v>0</v>
      </c>
      <c r="Q244" s="3">
        <v>0</v>
      </c>
      <c r="R244" s="3">
        <v>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974</v>
      </c>
      <c r="AN244" s="3" t="s">
        <v>1998</v>
      </c>
      <c r="AO244" s="3" t="s">
        <v>1853</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50</v>
      </c>
      <c r="BE244" s="6" t="s">
        <v>50</v>
      </c>
      <c r="BF244" s="6" t="s">
        <v>50</v>
      </c>
      <c r="BG244" s="6" t="s">
        <v>50</v>
      </c>
      <c r="BH244" s="6" t="s">
        <v>50</v>
      </c>
      <c r="BI244">
        <v>1</v>
      </c>
      <c r="BJ244">
        <v>0</v>
      </c>
      <c r="BK244">
        <v>1</v>
      </c>
      <c r="BL244">
        <v>0</v>
      </c>
      <c r="BM244">
        <v>0</v>
      </c>
      <c r="BN244">
        <v>0</v>
      </c>
      <c r="BO244">
        <v>0</v>
      </c>
    </row>
    <row r="245" spans="1:67" ht="15.75" customHeight="1" x14ac:dyDescent="0.2">
      <c r="A245" s="3">
        <f t="shared" si="3"/>
        <v>243</v>
      </c>
      <c r="B245" s="3" t="s">
        <v>3155</v>
      </c>
      <c r="C245" s="3" t="s">
        <v>1887</v>
      </c>
      <c r="D245" s="25" t="s">
        <v>1885</v>
      </c>
      <c r="E245" s="4" t="s">
        <v>1886</v>
      </c>
      <c r="F245" s="3">
        <v>0</v>
      </c>
      <c r="G245" s="3">
        <v>0</v>
      </c>
      <c r="H245" s="3">
        <v>0</v>
      </c>
      <c r="I245" s="3">
        <v>0</v>
      </c>
      <c r="J245" s="3">
        <v>0</v>
      </c>
      <c r="K245" s="3">
        <v>1</v>
      </c>
      <c r="L245" s="3">
        <v>0</v>
      </c>
      <c r="M245" s="3">
        <v>0</v>
      </c>
      <c r="N245" s="3">
        <v>0</v>
      </c>
      <c r="O245" s="3">
        <v>0</v>
      </c>
      <c r="P245" s="3">
        <v>0</v>
      </c>
      <c r="Q245" s="3">
        <v>0</v>
      </c>
      <c r="R245" s="3">
        <v>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974</v>
      </c>
      <c r="AN245" s="3" t="s">
        <v>1998</v>
      </c>
      <c r="AO245" s="3" t="s">
        <v>50</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50</v>
      </c>
      <c r="BE245" s="6" t="s">
        <v>50</v>
      </c>
      <c r="BF245" s="6" t="s">
        <v>50</v>
      </c>
      <c r="BG245" s="6" t="s">
        <v>50</v>
      </c>
      <c r="BH245" s="6" t="s">
        <v>50</v>
      </c>
      <c r="BI245">
        <v>1</v>
      </c>
      <c r="BJ245">
        <v>0</v>
      </c>
      <c r="BK245">
        <v>1</v>
      </c>
      <c r="BL245">
        <v>0</v>
      </c>
      <c r="BM245">
        <v>0</v>
      </c>
      <c r="BN245">
        <v>0</v>
      </c>
      <c r="BO245">
        <v>0</v>
      </c>
    </row>
    <row r="246" spans="1:67" ht="15.75" customHeight="1" x14ac:dyDescent="0.2">
      <c r="A246" s="3">
        <f t="shared" si="3"/>
        <v>244</v>
      </c>
      <c r="B246" s="3" t="s">
        <v>383</v>
      </c>
      <c r="C246" s="3" t="s">
        <v>2773</v>
      </c>
      <c r="D246" s="25" t="s">
        <v>2793</v>
      </c>
      <c r="E246" s="4" t="s">
        <v>2921</v>
      </c>
      <c r="F246" s="3">
        <v>0</v>
      </c>
      <c r="G246" s="3">
        <v>0</v>
      </c>
      <c r="H246" s="3">
        <v>0</v>
      </c>
      <c r="I246" s="3">
        <v>0</v>
      </c>
      <c r="J246" s="3">
        <v>0</v>
      </c>
      <c r="K246" s="3">
        <v>1</v>
      </c>
      <c r="L246" s="3">
        <v>0</v>
      </c>
      <c r="M246" s="3">
        <v>0</v>
      </c>
      <c r="N246" s="3">
        <v>0</v>
      </c>
      <c r="O246" s="3">
        <v>0</v>
      </c>
      <c r="P246" s="3">
        <v>0</v>
      </c>
      <c r="Q246" s="3">
        <v>0</v>
      </c>
      <c r="R246" s="3">
        <v>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974</v>
      </c>
      <c r="AN246" s="3" t="s">
        <v>1998</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0</v>
      </c>
      <c r="BK246">
        <v>1</v>
      </c>
      <c r="BL246">
        <v>0</v>
      </c>
      <c r="BM246">
        <v>0</v>
      </c>
      <c r="BN246">
        <v>0</v>
      </c>
      <c r="BO246">
        <v>0</v>
      </c>
    </row>
    <row r="247" spans="1:67" ht="15.75" customHeight="1" x14ac:dyDescent="0.2">
      <c r="A247" s="3">
        <f t="shared" si="3"/>
        <v>245</v>
      </c>
      <c r="B247" s="3" t="s">
        <v>2992</v>
      </c>
      <c r="C247" s="3" t="s">
        <v>2780</v>
      </c>
      <c r="D247" s="25" t="s">
        <v>2779</v>
      </c>
      <c r="E247" s="4" t="s">
        <v>2778</v>
      </c>
      <c r="F247" s="3">
        <v>0</v>
      </c>
      <c r="G247" s="3">
        <v>0</v>
      </c>
      <c r="H247" s="3">
        <v>0</v>
      </c>
      <c r="I247" s="3">
        <v>0</v>
      </c>
      <c r="J247" s="3">
        <v>0</v>
      </c>
      <c r="K247" s="3">
        <v>1</v>
      </c>
      <c r="L247" s="3">
        <v>0</v>
      </c>
      <c r="M247" s="3">
        <v>0</v>
      </c>
      <c r="N247" s="3">
        <v>0</v>
      </c>
      <c r="O247" s="3">
        <v>0</v>
      </c>
      <c r="P247" s="3">
        <v>0</v>
      </c>
      <c r="Q247" s="3">
        <v>0</v>
      </c>
      <c r="R247" s="3">
        <v>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974</v>
      </c>
      <c r="AN247" s="3" t="s">
        <v>1998</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0</v>
      </c>
      <c r="BK247">
        <v>1</v>
      </c>
      <c r="BL247">
        <v>0</v>
      </c>
      <c r="BM247">
        <v>0</v>
      </c>
      <c r="BN247">
        <v>0</v>
      </c>
      <c r="BO247">
        <v>0</v>
      </c>
    </row>
    <row r="248" spans="1:67" ht="15.75" customHeight="1" x14ac:dyDescent="0.2">
      <c r="A248" s="3">
        <f t="shared" si="3"/>
        <v>246</v>
      </c>
      <c r="B248" s="3" t="s">
        <v>2802</v>
      </c>
      <c r="C248" s="3" t="s">
        <v>2802</v>
      </c>
      <c r="D248" s="25" t="s">
        <v>2798</v>
      </c>
      <c r="E248" s="4" t="s">
        <v>2797</v>
      </c>
      <c r="F248" s="3">
        <v>0</v>
      </c>
      <c r="G248" s="3">
        <v>0</v>
      </c>
      <c r="H248" s="3">
        <v>0</v>
      </c>
      <c r="I248" s="3">
        <v>0</v>
      </c>
      <c r="J248" s="3">
        <v>0</v>
      </c>
      <c r="K248" s="3">
        <v>1</v>
      </c>
      <c r="L248" s="3">
        <v>0</v>
      </c>
      <c r="M248" s="3">
        <v>0</v>
      </c>
      <c r="N248" s="3">
        <v>0</v>
      </c>
      <c r="O248" s="3">
        <v>0</v>
      </c>
      <c r="P248" s="3">
        <v>0</v>
      </c>
      <c r="Q248" s="3">
        <v>0</v>
      </c>
      <c r="R248" s="3">
        <v>0</v>
      </c>
      <c r="S248" s="3">
        <v>0</v>
      </c>
      <c r="T248" s="3">
        <v>0</v>
      </c>
      <c r="U248" s="3">
        <v>0</v>
      </c>
      <c r="V248" s="3">
        <v>0</v>
      </c>
      <c r="W248" s="3">
        <v>0</v>
      </c>
      <c r="X248" s="3">
        <v>0</v>
      </c>
      <c r="Y248" s="3">
        <v>0</v>
      </c>
      <c r="Z248" s="3">
        <v>0</v>
      </c>
      <c r="AA248" s="3">
        <v>0</v>
      </c>
      <c r="AB248" s="3">
        <v>0</v>
      </c>
      <c r="AC248" s="3">
        <v>0</v>
      </c>
      <c r="AD248" s="3">
        <v>0</v>
      </c>
      <c r="AE248" s="3">
        <v>0</v>
      </c>
      <c r="AF248" s="3">
        <v>0</v>
      </c>
      <c r="AG248" s="3">
        <v>0</v>
      </c>
      <c r="AH248" s="3">
        <v>0</v>
      </c>
      <c r="AI248" s="3">
        <v>0</v>
      </c>
      <c r="AJ248" s="3">
        <v>0</v>
      </c>
      <c r="AK248" s="3">
        <v>0</v>
      </c>
      <c r="AL248" s="3" t="s">
        <v>51</v>
      </c>
      <c r="AM248" s="3" t="s">
        <v>974</v>
      </c>
      <c r="AN248" s="3" t="s">
        <v>1998</v>
      </c>
      <c r="AO248" s="3" t="s">
        <v>50</v>
      </c>
      <c r="AP248" s="3">
        <v>0</v>
      </c>
      <c r="AQ248" s="3">
        <v>0</v>
      </c>
      <c r="AR248">
        <v>0</v>
      </c>
      <c r="AS248">
        <v>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0</v>
      </c>
      <c r="BK248">
        <v>1</v>
      </c>
      <c r="BL248">
        <v>0</v>
      </c>
      <c r="BM248">
        <v>0</v>
      </c>
      <c r="BN248">
        <v>0</v>
      </c>
      <c r="BO248">
        <v>0</v>
      </c>
    </row>
    <row r="249" spans="1:67" ht="15.75" customHeight="1" x14ac:dyDescent="0.2">
      <c r="A249" s="3">
        <f t="shared" si="3"/>
        <v>247</v>
      </c>
      <c r="B249" s="3" t="s">
        <v>2796</v>
      </c>
      <c r="C249" s="3" t="s">
        <v>2796</v>
      </c>
      <c r="D249" s="25" t="s">
        <v>2794</v>
      </c>
      <c r="E249" s="4" t="s">
        <v>2795</v>
      </c>
      <c r="F249" s="3">
        <v>0</v>
      </c>
      <c r="G249" s="3">
        <v>0</v>
      </c>
      <c r="H249" s="3">
        <v>0</v>
      </c>
      <c r="I249" s="3">
        <v>0</v>
      </c>
      <c r="J249" s="3">
        <v>0</v>
      </c>
      <c r="K249" s="3">
        <v>1</v>
      </c>
      <c r="L249" s="3">
        <v>0</v>
      </c>
      <c r="M249" s="3">
        <v>0</v>
      </c>
      <c r="N249" s="3">
        <v>0</v>
      </c>
      <c r="O249" s="3">
        <v>0</v>
      </c>
      <c r="P249" s="3">
        <v>0</v>
      </c>
      <c r="Q249" s="3">
        <v>0</v>
      </c>
      <c r="R249" s="3">
        <v>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974</v>
      </c>
      <c r="AN249" s="3" t="s">
        <v>1998</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0</v>
      </c>
      <c r="BK249">
        <v>1</v>
      </c>
      <c r="BL249">
        <v>0</v>
      </c>
      <c r="BM249">
        <v>0</v>
      </c>
      <c r="BN249">
        <v>0</v>
      </c>
      <c r="BO249">
        <v>0</v>
      </c>
    </row>
    <row r="250" spans="1:67" ht="15.75" customHeight="1" x14ac:dyDescent="0.2">
      <c r="A250" s="3">
        <f t="shared" si="3"/>
        <v>248</v>
      </c>
      <c r="B250" s="3" t="s">
        <v>59</v>
      </c>
      <c r="C250" s="3" t="s">
        <v>59</v>
      </c>
      <c r="D250" s="25" t="s">
        <v>2781</v>
      </c>
      <c r="E250" s="4" t="s">
        <v>2922</v>
      </c>
      <c r="F250" s="3">
        <v>0</v>
      </c>
      <c r="G250" s="3">
        <v>0</v>
      </c>
      <c r="H250" s="3">
        <v>0</v>
      </c>
      <c r="I250" s="3">
        <v>0</v>
      </c>
      <c r="J250" s="3">
        <v>0</v>
      </c>
      <c r="K250" s="3">
        <v>1</v>
      </c>
      <c r="L250" s="3">
        <v>0</v>
      </c>
      <c r="M250" s="3">
        <v>0</v>
      </c>
      <c r="N250" s="3">
        <v>0</v>
      </c>
      <c r="O250" s="3">
        <v>0</v>
      </c>
      <c r="P250" s="3">
        <v>0</v>
      </c>
      <c r="Q250" s="3">
        <v>0</v>
      </c>
      <c r="R250" s="3">
        <v>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974</v>
      </c>
      <c r="AN250" s="3" t="s">
        <v>1998</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0</v>
      </c>
      <c r="BK250">
        <v>1</v>
      </c>
      <c r="BL250">
        <v>0</v>
      </c>
      <c r="BM250">
        <v>0</v>
      </c>
      <c r="BN250">
        <v>0</v>
      </c>
      <c r="BO250">
        <v>0</v>
      </c>
    </row>
    <row r="251" spans="1:67" ht="15.75" customHeight="1" x14ac:dyDescent="0.2">
      <c r="A251" s="3">
        <f t="shared" si="3"/>
        <v>249</v>
      </c>
      <c r="B251" s="3" t="s">
        <v>2799</v>
      </c>
      <c r="C251" s="3" t="s">
        <v>2799</v>
      </c>
      <c r="D251" s="25" t="s">
        <v>216</v>
      </c>
      <c r="E251" s="4" t="s">
        <v>2946</v>
      </c>
      <c r="F251" s="3">
        <v>0</v>
      </c>
      <c r="G251" s="3">
        <v>0</v>
      </c>
      <c r="H251" s="3">
        <v>0</v>
      </c>
      <c r="I251" s="3">
        <v>0</v>
      </c>
      <c r="J251" s="3">
        <v>0</v>
      </c>
      <c r="K251" s="3">
        <v>1</v>
      </c>
      <c r="L251" s="3">
        <v>0</v>
      </c>
      <c r="M251" s="3">
        <v>0</v>
      </c>
      <c r="N251" s="3">
        <v>0</v>
      </c>
      <c r="O251" s="3">
        <v>0</v>
      </c>
      <c r="P251" s="3">
        <v>0</v>
      </c>
      <c r="Q251" s="3">
        <v>0</v>
      </c>
      <c r="R251" s="3">
        <v>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974</v>
      </c>
      <c r="AN251" s="3" t="s">
        <v>1998</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50</v>
      </c>
      <c r="BE251" s="6" t="s">
        <v>50</v>
      </c>
      <c r="BF251" s="6" t="s">
        <v>50</v>
      </c>
      <c r="BG251" s="6" t="s">
        <v>50</v>
      </c>
      <c r="BH251" s="6" t="s">
        <v>50</v>
      </c>
      <c r="BI251">
        <v>1</v>
      </c>
      <c r="BJ251">
        <v>0</v>
      </c>
      <c r="BK251">
        <v>1</v>
      </c>
      <c r="BL251">
        <v>0</v>
      </c>
      <c r="BM251">
        <v>0</v>
      </c>
      <c r="BN251">
        <v>0</v>
      </c>
      <c r="BO251">
        <v>0</v>
      </c>
    </row>
    <row r="252" spans="1:67" ht="15.75" customHeight="1" x14ac:dyDescent="0.2">
      <c r="A252" s="3">
        <f t="shared" si="3"/>
        <v>250</v>
      </c>
      <c r="B252" s="3" t="s">
        <v>1488</v>
      </c>
      <c r="C252" s="3" t="s">
        <v>1423</v>
      </c>
      <c r="D252" s="25" t="s">
        <v>1422</v>
      </c>
      <c r="E252" s="4" t="s">
        <v>1424</v>
      </c>
      <c r="F252" s="3">
        <v>0</v>
      </c>
      <c r="G252" s="3">
        <v>0</v>
      </c>
      <c r="H252" s="3">
        <v>0</v>
      </c>
      <c r="I252" s="3">
        <v>0</v>
      </c>
      <c r="J252" s="3">
        <v>0</v>
      </c>
      <c r="K252" s="3">
        <v>1</v>
      </c>
      <c r="L252" s="3">
        <v>0</v>
      </c>
      <c r="M252" s="3">
        <v>0</v>
      </c>
      <c r="N252" s="3">
        <v>0</v>
      </c>
      <c r="O252" s="3">
        <v>0</v>
      </c>
      <c r="P252" s="3">
        <v>0</v>
      </c>
      <c r="Q252" s="3">
        <v>0</v>
      </c>
      <c r="R252" s="3">
        <v>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974</v>
      </c>
      <c r="AN252" s="3" t="s">
        <v>1998</v>
      </c>
      <c r="AO252" s="3" t="s">
        <v>1853</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0</v>
      </c>
      <c r="BK252">
        <v>1</v>
      </c>
      <c r="BL252">
        <v>0</v>
      </c>
      <c r="BM252">
        <v>0</v>
      </c>
      <c r="BN252">
        <v>0</v>
      </c>
      <c r="BO252">
        <v>0</v>
      </c>
    </row>
    <row r="253" spans="1:67" ht="15.75" customHeight="1" x14ac:dyDescent="0.2">
      <c r="A253" s="3">
        <f t="shared" si="3"/>
        <v>251</v>
      </c>
      <c r="B253" s="3" t="s">
        <v>1140</v>
      </c>
      <c r="C253" s="3" t="s">
        <v>1140</v>
      </c>
      <c r="D253" s="25" t="s">
        <v>1142</v>
      </c>
      <c r="E253" s="4" t="s">
        <v>1141</v>
      </c>
      <c r="F253" s="3">
        <v>0</v>
      </c>
      <c r="G253" s="3">
        <v>0</v>
      </c>
      <c r="H253" s="3">
        <v>0</v>
      </c>
      <c r="I253" s="3">
        <v>0</v>
      </c>
      <c r="J253" s="3">
        <v>0</v>
      </c>
      <c r="K253" s="3">
        <v>1</v>
      </c>
      <c r="L253" s="3">
        <v>0</v>
      </c>
      <c r="M253" s="3">
        <v>0</v>
      </c>
      <c r="N253" s="3">
        <v>0</v>
      </c>
      <c r="O253" s="3">
        <v>0</v>
      </c>
      <c r="P253" s="3">
        <v>0</v>
      </c>
      <c r="Q253" s="3">
        <v>0</v>
      </c>
      <c r="R253" s="3">
        <v>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974</v>
      </c>
      <c r="AN253" s="3" t="s">
        <v>1998</v>
      </c>
      <c r="AO253" s="3" t="s">
        <v>1853</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0</v>
      </c>
      <c r="BK253">
        <v>1</v>
      </c>
      <c r="BL253">
        <v>0</v>
      </c>
      <c r="BM253">
        <v>0</v>
      </c>
      <c r="BN253">
        <v>0</v>
      </c>
      <c r="BO253">
        <v>0</v>
      </c>
    </row>
    <row r="254" spans="1:67" ht="15.75" customHeight="1" x14ac:dyDescent="0.2">
      <c r="A254" s="3">
        <f t="shared" si="3"/>
        <v>252</v>
      </c>
      <c r="B254" s="3" t="s">
        <v>3392</v>
      </c>
      <c r="C254" s="3" t="s">
        <v>3269</v>
      </c>
      <c r="D254" s="25" t="s">
        <v>3263</v>
      </c>
      <c r="E254" s="4" t="s">
        <v>3267</v>
      </c>
      <c r="F254" s="3">
        <v>0</v>
      </c>
      <c r="G254" s="3">
        <v>0</v>
      </c>
      <c r="H254" s="3">
        <v>0</v>
      </c>
      <c r="I254" s="3">
        <v>0</v>
      </c>
      <c r="J254" s="3">
        <v>0</v>
      </c>
      <c r="K254" s="3">
        <v>1</v>
      </c>
      <c r="L254" s="3">
        <v>0</v>
      </c>
      <c r="M254" s="3">
        <v>0</v>
      </c>
      <c r="N254" s="3">
        <v>0</v>
      </c>
      <c r="O254" s="3">
        <v>0</v>
      </c>
      <c r="P254" s="3">
        <v>0</v>
      </c>
      <c r="Q254" s="3">
        <v>0</v>
      </c>
      <c r="R254" s="3">
        <v>0</v>
      </c>
      <c r="S254" s="3">
        <v>0</v>
      </c>
      <c r="T254" s="3">
        <v>0</v>
      </c>
      <c r="U254" s="3">
        <v>0</v>
      </c>
      <c r="V254" s="3">
        <v>0</v>
      </c>
      <c r="W254" s="3">
        <v>0</v>
      </c>
      <c r="X254" s="3">
        <v>0</v>
      </c>
      <c r="Y254" s="3">
        <v>0</v>
      </c>
      <c r="Z254" s="3">
        <v>0</v>
      </c>
      <c r="AA254" s="3">
        <v>0</v>
      </c>
      <c r="AB254" s="3">
        <v>0</v>
      </c>
      <c r="AC254" s="3">
        <v>0</v>
      </c>
      <c r="AD254" s="3">
        <v>0</v>
      </c>
      <c r="AE254" s="3">
        <v>0</v>
      </c>
      <c r="AF254" s="3">
        <v>0</v>
      </c>
      <c r="AG254" s="3">
        <v>0</v>
      </c>
      <c r="AH254" s="3">
        <v>0</v>
      </c>
      <c r="AI254" s="3">
        <v>0</v>
      </c>
      <c r="AJ254" s="3">
        <v>0</v>
      </c>
      <c r="AK254" s="3">
        <v>0</v>
      </c>
      <c r="AL254" s="3" t="s">
        <v>51</v>
      </c>
      <c r="AM254" s="3" t="s">
        <v>270</v>
      </c>
      <c r="AN254" s="3" t="s">
        <v>1998</v>
      </c>
      <c r="AO254" s="3" t="s">
        <v>50</v>
      </c>
      <c r="AP254" s="3">
        <v>0</v>
      </c>
      <c r="AQ254" s="3">
        <v>0</v>
      </c>
      <c r="AR254">
        <v>0</v>
      </c>
      <c r="AS254">
        <v>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0</v>
      </c>
      <c r="BK254">
        <v>1</v>
      </c>
      <c r="BL254">
        <v>0</v>
      </c>
      <c r="BM254">
        <v>0</v>
      </c>
      <c r="BN254">
        <v>0</v>
      </c>
      <c r="BO254">
        <v>0</v>
      </c>
    </row>
    <row r="255" spans="1:67" ht="15.75" customHeight="1" x14ac:dyDescent="0.2">
      <c r="A255" s="3">
        <f t="shared" si="3"/>
        <v>253</v>
      </c>
      <c r="B255" s="3" t="s">
        <v>3402</v>
      </c>
      <c r="C255" s="3" t="s">
        <v>3266</v>
      </c>
      <c r="D255" s="25" t="s">
        <v>3268</v>
      </c>
      <c r="E255" s="4" t="s">
        <v>3270</v>
      </c>
      <c r="F255" s="3">
        <v>0</v>
      </c>
      <c r="G255" s="3">
        <v>0</v>
      </c>
      <c r="H255" s="3">
        <v>0</v>
      </c>
      <c r="I255" s="3">
        <v>0</v>
      </c>
      <c r="J255" s="3">
        <v>0</v>
      </c>
      <c r="K255" s="3">
        <v>1</v>
      </c>
      <c r="L255" s="3">
        <v>0</v>
      </c>
      <c r="M255" s="3">
        <v>0</v>
      </c>
      <c r="N255" s="3">
        <v>0</v>
      </c>
      <c r="O255" s="3">
        <v>0</v>
      </c>
      <c r="P255" s="3">
        <v>0</v>
      </c>
      <c r="Q255" s="3">
        <v>0</v>
      </c>
      <c r="R255" s="3">
        <v>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270</v>
      </c>
      <c r="AN255" s="3" t="s">
        <v>1998</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0</v>
      </c>
      <c r="BK255">
        <v>1</v>
      </c>
      <c r="BL255">
        <v>0</v>
      </c>
      <c r="BM255">
        <v>0</v>
      </c>
      <c r="BN255">
        <v>0</v>
      </c>
      <c r="BO255">
        <v>0</v>
      </c>
    </row>
    <row r="256" spans="1:67" ht="15.75" customHeight="1" x14ac:dyDescent="0.2">
      <c r="A256" s="3">
        <f t="shared" si="3"/>
        <v>254</v>
      </c>
      <c r="B256" s="3" t="s">
        <v>2784</v>
      </c>
      <c r="C256" s="3" t="s">
        <v>2784</v>
      </c>
      <c r="D256" s="25" t="s">
        <v>2782</v>
      </c>
      <c r="E256" s="4" t="s">
        <v>2783</v>
      </c>
      <c r="F256" s="3">
        <v>0</v>
      </c>
      <c r="G256" s="3">
        <v>0</v>
      </c>
      <c r="H256" s="3">
        <v>0</v>
      </c>
      <c r="I256" s="3">
        <v>0</v>
      </c>
      <c r="J256" s="3">
        <v>0</v>
      </c>
      <c r="K256" s="3">
        <v>1</v>
      </c>
      <c r="L256" s="3">
        <v>0</v>
      </c>
      <c r="M256" s="3">
        <v>0</v>
      </c>
      <c r="N256" s="3">
        <v>0</v>
      </c>
      <c r="O256" s="3">
        <v>0</v>
      </c>
      <c r="P256" s="3">
        <v>0</v>
      </c>
      <c r="Q256" s="3">
        <v>0</v>
      </c>
      <c r="R256" s="3">
        <v>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974</v>
      </c>
      <c r="AN256" s="3" t="s">
        <v>2897</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0</v>
      </c>
      <c r="BK256">
        <v>1</v>
      </c>
      <c r="BL256">
        <v>0</v>
      </c>
      <c r="BM256">
        <v>0</v>
      </c>
      <c r="BN256">
        <v>0</v>
      </c>
      <c r="BO256">
        <v>0</v>
      </c>
    </row>
    <row r="257" spans="1:67" ht="15.75" customHeight="1" x14ac:dyDescent="0.2">
      <c r="A257" s="3">
        <f t="shared" si="3"/>
        <v>255</v>
      </c>
      <c r="B257" s="3" t="s">
        <v>2919</v>
      </c>
      <c r="C257" s="3" t="s">
        <v>2919</v>
      </c>
      <c r="D257" s="25" t="s">
        <v>2918</v>
      </c>
      <c r="E257" s="4" t="s">
        <v>2920</v>
      </c>
      <c r="F257" s="3">
        <v>0</v>
      </c>
      <c r="G257" s="3">
        <v>0</v>
      </c>
      <c r="H257" s="3">
        <v>0</v>
      </c>
      <c r="I257" s="3">
        <v>0</v>
      </c>
      <c r="J257" s="3">
        <v>0</v>
      </c>
      <c r="K257" s="3">
        <v>1</v>
      </c>
      <c r="L257" s="3">
        <v>0</v>
      </c>
      <c r="M257" s="3">
        <v>0</v>
      </c>
      <c r="N257" s="3">
        <v>0</v>
      </c>
      <c r="O257" s="3">
        <v>0</v>
      </c>
      <c r="P257" s="3">
        <v>0</v>
      </c>
      <c r="Q257" s="3">
        <v>0</v>
      </c>
      <c r="R257" s="3">
        <v>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974</v>
      </c>
      <c r="AN257" s="3" t="s">
        <v>2897</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50</v>
      </c>
      <c r="BE257" s="6" t="s">
        <v>50</v>
      </c>
      <c r="BF257" s="6" t="s">
        <v>50</v>
      </c>
      <c r="BG257" s="6" t="s">
        <v>50</v>
      </c>
      <c r="BH257" s="6" t="s">
        <v>50</v>
      </c>
      <c r="BI257">
        <v>1</v>
      </c>
      <c r="BJ257">
        <v>0</v>
      </c>
      <c r="BK257">
        <v>1</v>
      </c>
      <c r="BL257">
        <v>0</v>
      </c>
      <c r="BM257">
        <v>0</v>
      </c>
      <c r="BN257">
        <v>0</v>
      </c>
      <c r="BO257">
        <v>0</v>
      </c>
    </row>
    <row r="258" spans="1:67" ht="15.75" customHeight="1" x14ac:dyDescent="0.2">
      <c r="A258" s="3">
        <f t="shared" si="3"/>
        <v>256</v>
      </c>
      <c r="B258" s="3" t="s">
        <v>2886</v>
      </c>
      <c r="C258" s="3" t="s">
        <v>2886</v>
      </c>
      <c r="D258" s="25" t="s">
        <v>2885</v>
      </c>
      <c r="E258" s="4" t="s">
        <v>2887</v>
      </c>
      <c r="F258" s="3">
        <v>0</v>
      </c>
      <c r="G258" s="3">
        <v>0</v>
      </c>
      <c r="H258" s="3">
        <v>0</v>
      </c>
      <c r="I258" s="3">
        <v>0</v>
      </c>
      <c r="J258" s="3">
        <v>0</v>
      </c>
      <c r="K258" s="3">
        <v>1</v>
      </c>
      <c r="L258" s="3">
        <v>0</v>
      </c>
      <c r="M258" s="3">
        <v>0</v>
      </c>
      <c r="N258" s="3">
        <v>0</v>
      </c>
      <c r="O258" s="3">
        <v>0</v>
      </c>
      <c r="P258" s="3">
        <v>0</v>
      </c>
      <c r="Q258" s="3">
        <v>0</v>
      </c>
      <c r="R258" s="3">
        <v>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974</v>
      </c>
      <c r="AN258" s="3" t="s">
        <v>3069</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0</v>
      </c>
      <c r="BK258">
        <v>1</v>
      </c>
      <c r="BL258">
        <v>0</v>
      </c>
      <c r="BM258">
        <v>0</v>
      </c>
      <c r="BN258">
        <v>0</v>
      </c>
      <c r="BO258">
        <v>0</v>
      </c>
    </row>
    <row r="259" spans="1:67" ht="15.75" customHeight="1" x14ac:dyDescent="0.2">
      <c r="A259" s="3">
        <f t="shared" si="3"/>
        <v>257</v>
      </c>
      <c r="B259" s="3" t="s">
        <v>2888</v>
      </c>
      <c r="C259" s="3" t="s">
        <v>2888</v>
      </c>
      <c r="D259" s="25" t="s">
        <v>2889</v>
      </c>
      <c r="E259" s="4" t="s">
        <v>2890</v>
      </c>
      <c r="F259" s="3">
        <v>0</v>
      </c>
      <c r="G259" s="3">
        <v>0</v>
      </c>
      <c r="H259" s="3">
        <v>0</v>
      </c>
      <c r="I259" s="3">
        <v>0</v>
      </c>
      <c r="J259" s="3">
        <v>0</v>
      </c>
      <c r="K259" s="3">
        <v>1</v>
      </c>
      <c r="L259" s="3">
        <v>0</v>
      </c>
      <c r="M259" s="3">
        <v>0</v>
      </c>
      <c r="N259" s="3">
        <v>0</v>
      </c>
      <c r="O259" s="3">
        <v>0</v>
      </c>
      <c r="P259" s="3">
        <v>0</v>
      </c>
      <c r="Q259" s="3">
        <v>0</v>
      </c>
      <c r="R259" s="3">
        <v>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974</v>
      </c>
      <c r="AN259" s="3" t="s">
        <v>3069</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0</v>
      </c>
      <c r="BK259">
        <v>1</v>
      </c>
      <c r="BL259">
        <v>0</v>
      </c>
      <c r="BM259">
        <v>0</v>
      </c>
      <c r="BN259">
        <v>0</v>
      </c>
      <c r="BO259">
        <v>0</v>
      </c>
    </row>
    <row r="260" spans="1:67" ht="15.75" customHeight="1" x14ac:dyDescent="0.2">
      <c r="A260" s="3">
        <f t="shared" si="3"/>
        <v>258</v>
      </c>
      <c r="B260" s="3" t="s">
        <v>2907</v>
      </c>
      <c r="C260" s="3" t="s">
        <v>2907</v>
      </c>
      <c r="D260" s="25" t="s">
        <v>2908</v>
      </c>
      <c r="E260" s="4" t="s">
        <v>2911</v>
      </c>
      <c r="F260" s="3">
        <v>0</v>
      </c>
      <c r="G260" s="3">
        <v>0</v>
      </c>
      <c r="H260" s="3">
        <v>0</v>
      </c>
      <c r="I260" s="3">
        <v>0</v>
      </c>
      <c r="J260" s="3">
        <v>0</v>
      </c>
      <c r="K260" s="3">
        <v>1</v>
      </c>
      <c r="L260" s="3">
        <v>0</v>
      </c>
      <c r="M260" s="3">
        <v>0</v>
      </c>
      <c r="N260" s="3">
        <v>0</v>
      </c>
      <c r="O260" s="3">
        <v>0</v>
      </c>
      <c r="P260" s="3">
        <v>0</v>
      </c>
      <c r="Q260" s="3">
        <v>0</v>
      </c>
      <c r="R260" s="3">
        <v>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974</v>
      </c>
      <c r="AN260" s="3" t="s">
        <v>974</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0</v>
      </c>
      <c r="BK260">
        <v>1</v>
      </c>
      <c r="BL260">
        <v>0</v>
      </c>
      <c r="BM260">
        <v>0</v>
      </c>
      <c r="BN260">
        <v>0</v>
      </c>
      <c r="BO260">
        <v>0</v>
      </c>
    </row>
    <row r="261" spans="1:67" ht="15.75" customHeight="1" x14ac:dyDescent="0.2">
      <c r="A261" s="3">
        <f t="shared" si="3"/>
        <v>259</v>
      </c>
      <c r="B261" s="3" t="s">
        <v>2909</v>
      </c>
      <c r="C261" s="3" t="s">
        <v>2909</v>
      </c>
      <c r="D261" s="25" t="s">
        <v>2910</v>
      </c>
      <c r="E261" s="4" t="s">
        <v>2912</v>
      </c>
      <c r="F261" s="3">
        <v>0</v>
      </c>
      <c r="G261" s="3">
        <v>0</v>
      </c>
      <c r="H261" s="3">
        <v>0</v>
      </c>
      <c r="I261" s="3">
        <v>0</v>
      </c>
      <c r="J261" s="3">
        <v>0</v>
      </c>
      <c r="K261" s="3">
        <v>1</v>
      </c>
      <c r="L261" s="3">
        <v>0</v>
      </c>
      <c r="M261" s="3">
        <v>0</v>
      </c>
      <c r="N261" s="3">
        <v>0</v>
      </c>
      <c r="O261" s="3">
        <v>0</v>
      </c>
      <c r="P261" s="3">
        <v>0</v>
      </c>
      <c r="Q261" s="3">
        <v>0</v>
      </c>
      <c r="R261" s="3">
        <v>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974</v>
      </c>
      <c r="AN261" s="3" t="s">
        <v>974</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0</v>
      </c>
      <c r="BK261">
        <v>1</v>
      </c>
      <c r="BL261">
        <v>0</v>
      </c>
      <c r="BM261">
        <v>0</v>
      </c>
      <c r="BN261">
        <v>0</v>
      </c>
      <c r="BO261">
        <v>0</v>
      </c>
    </row>
    <row r="262" spans="1:67" ht="15.75" customHeight="1" x14ac:dyDescent="0.2">
      <c r="A262" s="3">
        <f t="shared" ref="A262:A312" si="4">ROW()-2</f>
        <v>260</v>
      </c>
      <c r="B262" s="3" t="s">
        <v>2873</v>
      </c>
      <c r="C262" s="3" t="s">
        <v>2873</v>
      </c>
      <c r="D262" s="5" t="s">
        <v>2872</v>
      </c>
      <c r="E262" s="5" t="s">
        <v>2905</v>
      </c>
      <c r="F262" s="3">
        <v>0</v>
      </c>
      <c r="G262" s="3">
        <v>0</v>
      </c>
      <c r="H262" s="3">
        <v>0</v>
      </c>
      <c r="I262" s="3">
        <v>0</v>
      </c>
      <c r="J262" s="3">
        <v>0</v>
      </c>
      <c r="K262" s="3">
        <v>1</v>
      </c>
      <c r="L262" s="3">
        <v>0</v>
      </c>
      <c r="M262" s="3">
        <v>0</v>
      </c>
      <c r="N262" s="3">
        <v>0</v>
      </c>
      <c r="O262" s="3">
        <v>0</v>
      </c>
      <c r="P262" s="3">
        <v>0</v>
      </c>
      <c r="Q262" s="3">
        <v>0</v>
      </c>
      <c r="R262" s="3">
        <v>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17</v>
      </c>
      <c r="AM262" s="3" t="s">
        <v>974</v>
      </c>
      <c r="AN262" s="3" t="s">
        <v>2899</v>
      </c>
      <c r="AO262" s="3" t="s">
        <v>50</v>
      </c>
      <c r="AP262" s="3">
        <v>0</v>
      </c>
      <c r="AQ262" s="3">
        <v>0</v>
      </c>
      <c r="AR262">
        <v>0</v>
      </c>
      <c r="AS262">
        <v>2</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0</v>
      </c>
      <c r="BK262">
        <v>1</v>
      </c>
      <c r="BL262">
        <v>0</v>
      </c>
      <c r="BM262">
        <v>0</v>
      </c>
      <c r="BN262">
        <v>0</v>
      </c>
      <c r="BO262">
        <v>0</v>
      </c>
    </row>
    <row r="263" spans="1:67" ht="15.75" customHeight="1" x14ac:dyDescent="0.2">
      <c r="A263" s="3">
        <f t="shared" si="4"/>
        <v>261</v>
      </c>
      <c r="B263" s="3" t="s">
        <v>2878</v>
      </c>
      <c r="C263" s="3" t="s">
        <v>2878</v>
      </c>
      <c r="D263" s="5" t="s">
        <v>2877</v>
      </c>
      <c r="E263" s="5" t="s">
        <v>2904</v>
      </c>
      <c r="F263" s="3">
        <v>0</v>
      </c>
      <c r="G263" s="3">
        <v>0</v>
      </c>
      <c r="H263" s="3">
        <v>0</v>
      </c>
      <c r="I263" s="3">
        <v>0</v>
      </c>
      <c r="J263" s="3">
        <v>0</v>
      </c>
      <c r="K263" s="3">
        <v>1</v>
      </c>
      <c r="L263" s="3">
        <v>0</v>
      </c>
      <c r="M263" s="3">
        <v>0</v>
      </c>
      <c r="N263" s="3">
        <v>0</v>
      </c>
      <c r="O263" s="3">
        <v>0</v>
      </c>
      <c r="P263" s="3">
        <v>0</v>
      </c>
      <c r="Q263" s="3">
        <v>0</v>
      </c>
      <c r="R263" s="3">
        <v>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17</v>
      </c>
      <c r="AM263" s="3" t="s">
        <v>974</v>
      </c>
      <c r="AN263" s="3" t="s">
        <v>2899</v>
      </c>
      <c r="AO263" s="3" t="s">
        <v>50</v>
      </c>
      <c r="AP263" s="3">
        <v>0</v>
      </c>
      <c r="AQ263" s="3">
        <v>0</v>
      </c>
      <c r="AR263">
        <v>0</v>
      </c>
      <c r="AS263">
        <v>2</v>
      </c>
      <c r="AT263" s="6" t="s">
        <v>50</v>
      </c>
      <c r="AU263" s="6" t="s">
        <v>50</v>
      </c>
      <c r="AV263" s="6" t="s">
        <v>50</v>
      </c>
      <c r="AW263" s="6" t="s">
        <v>50</v>
      </c>
      <c r="AX263" s="6" t="s">
        <v>50</v>
      </c>
      <c r="AY263" s="6" t="s">
        <v>50</v>
      </c>
      <c r="AZ263" s="6" t="s">
        <v>50</v>
      </c>
      <c r="BA263" s="6" t="s">
        <v>50</v>
      </c>
      <c r="BB263" s="6" t="s">
        <v>50</v>
      </c>
      <c r="BC263" s="6" t="s">
        <v>50</v>
      </c>
      <c r="BD263" s="6" t="s">
        <v>50</v>
      </c>
      <c r="BE263" s="6" t="s">
        <v>50</v>
      </c>
      <c r="BF263" s="6" t="s">
        <v>50</v>
      </c>
      <c r="BG263" s="6" t="s">
        <v>50</v>
      </c>
      <c r="BH263" s="6" t="s">
        <v>50</v>
      </c>
      <c r="BI263">
        <v>1</v>
      </c>
      <c r="BJ263">
        <v>0</v>
      </c>
      <c r="BK263">
        <v>1</v>
      </c>
      <c r="BL263">
        <v>0</v>
      </c>
      <c r="BM263">
        <v>0</v>
      </c>
      <c r="BN263">
        <v>0</v>
      </c>
      <c r="BO263">
        <v>0</v>
      </c>
    </row>
    <row r="264" spans="1:67" ht="15.75" customHeight="1" x14ac:dyDescent="0.2">
      <c r="A264" s="3">
        <f t="shared" si="4"/>
        <v>262</v>
      </c>
      <c r="B264" s="3" t="s">
        <v>3246</v>
      </c>
      <c r="C264" s="3" t="s">
        <v>3246</v>
      </c>
      <c r="D264" s="5" t="s">
        <v>3247</v>
      </c>
      <c r="E264" s="5" t="s">
        <v>3248</v>
      </c>
      <c r="F264" s="3">
        <v>0</v>
      </c>
      <c r="G264" s="3">
        <v>0</v>
      </c>
      <c r="H264" s="3">
        <v>0</v>
      </c>
      <c r="I264" s="3">
        <v>0</v>
      </c>
      <c r="J264" s="3">
        <v>0</v>
      </c>
      <c r="K264" s="3">
        <v>1</v>
      </c>
      <c r="L264" s="3">
        <v>0</v>
      </c>
      <c r="M264" s="3">
        <v>0</v>
      </c>
      <c r="N264" s="3">
        <v>0</v>
      </c>
      <c r="O264" s="3">
        <v>0</v>
      </c>
      <c r="P264" s="3">
        <v>0</v>
      </c>
      <c r="Q264" s="3">
        <v>0</v>
      </c>
      <c r="R264" s="3">
        <v>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17</v>
      </c>
      <c r="AM264" s="3" t="s">
        <v>974</v>
      </c>
      <c r="AN264" s="3" t="s">
        <v>3249</v>
      </c>
      <c r="AO264" s="3" t="s">
        <v>50</v>
      </c>
      <c r="AP264" s="3">
        <v>0</v>
      </c>
      <c r="AQ264" s="3">
        <v>0</v>
      </c>
      <c r="AR264">
        <v>0</v>
      </c>
      <c r="AS264">
        <v>2</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0</v>
      </c>
      <c r="BK264">
        <v>1</v>
      </c>
      <c r="BL264">
        <v>0</v>
      </c>
      <c r="BM264">
        <v>0</v>
      </c>
      <c r="BN264">
        <v>0</v>
      </c>
      <c r="BO264">
        <v>0</v>
      </c>
    </row>
    <row r="265" spans="1:67" ht="15.75" customHeight="1" x14ac:dyDescent="0.2">
      <c r="A265" s="3">
        <f t="shared" si="4"/>
        <v>263</v>
      </c>
      <c r="B265" s="3" t="s">
        <v>2879</v>
      </c>
      <c r="C265" s="3" t="s">
        <v>2879</v>
      </c>
      <c r="D265" s="27" t="s">
        <v>3012</v>
      </c>
      <c r="E265" s="5" t="s">
        <v>2880</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17</v>
      </c>
      <c r="AM265" s="3" t="s">
        <v>974</v>
      </c>
      <c r="AN265" s="3" t="s">
        <v>3069</v>
      </c>
      <c r="AO265" s="3" t="s">
        <v>50</v>
      </c>
      <c r="AP265" s="3">
        <v>0</v>
      </c>
      <c r="AQ265" s="3">
        <v>0</v>
      </c>
      <c r="AR265" s="3">
        <v>0</v>
      </c>
      <c r="AS265">
        <v>2</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row>
    <row r="266" spans="1:67" s="9" customFormat="1" ht="15.75" customHeight="1" x14ac:dyDescent="0.2">
      <c r="A266" s="7">
        <f t="shared" si="4"/>
        <v>264</v>
      </c>
      <c r="B266" s="7" t="s">
        <v>2873</v>
      </c>
      <c r="C266" s="7" t="s">
        <v>2896</v>
      </c>
      <c r="D266" s="8" t="s">
        <v>2895</v>
      </c>
      <c r="E266" s="8" t="s">
        <v>2903</v>
      </c>
      <c r="F266" s="7">
        <v>0</v>
      </c>
      <c r="G266" s="7">
        <v>0</v>
      </c>
      <c r="H266" s="7">
        <v>0</v>
      </c>
      <c r="I266" s="7">
        <v>0</v>
      </c>
      <c r="J266" s="7">
        <v>0</v>
      </c>
      <c r="K266" s="7">
        <v>1</v>
      </c>
      <c r="L266" s="7">
        <v>0</v>
      </c>
      <c r="M266" s="7">
        <v>0</v>
      </c>
      <c r="N266" s="7">
        <v>0</v>
      </c>
      <c r="O266" s="7">
        <v>0</v>
      </c>
      <c r="P266" s="7">
        <v>0</v>
      </c>
      <c r="Q266" s="7">
        <v>0</v>
      </c>
      <c r="R266" s="7">
        <v>0</v>
      </c>
      <c r="S266" s="7">
        <v>0</v>
      </c>
      <c r="T266" s="7">
        <v>0</v>
      </c>
      <c r="U266" s="7">
        <v>0</v>
      </c>
      <c r="V266" s="7">
        <v>0</v>
      </c>
      <c r="W266" s="7">
        <v>0</v>
      </c>
      <c r="X266" s="7">
        <v>0</v>
      </c>
      <c r="Y266" s="7">
        <v>0</v>
      </c>
      <c r="Z266" s="7">
        <v>0</v>
      </c>
      <c r="AA266" s="7">
        <v>0</v>
      </c>
      <c r="AB266" s="7">
        <v>0</v>
      </c>
      <c r="AC266" s="7">
        <v>0</v>
      </c>
      <c r="AD266" s="7">
        <v>0</v>
      </c>
      <c r="AE266" s="7">
        <v>0</v>
      </c>
      <c r="AF266" s="7">
        <v>0</v>
      </c>
      <c r="AG266" s="7">
        <v>0</v>
      </c>
      <c r="AH266" s="7">
        <v>0</v>
      </c>
      <c r="AI266" s="7">
        <v>0</v>
      </c>
      <c r="AJ266" s="7">
        <v>0</v>
      </c>
      <c r="AK266" s="7">
        <v>0</v>
      </c>
      <c r="AL266" s="7" t="s">
        <v>17</v>
      </c>
      <c r="AM266" s="7" t="s">
        <v>974</v>
      </c>
      <c r="AN266" s="7" t="s">
        <v>2899</v>
      </c>
      <c r="AO266" s="7" t="s">
        <v>50</v>
      </c>
      <c r="AP266" s="7">
        <v>0</v>
      </c>
      <c r="AQ266" s="7">
        <v>0</v>
      </c>
      <c r="AR266" s="9">
        <v>0</v>
      </c>
      <c r="AS266" s="9">
        <v>2</v>
      </c>
      <c r="AT266" s="10" t="s">
        <v>50</v>
      </c>
      <c r="AU266" s="10" t="s">
        <v>50</v>
      </c>
      <c r="AV266" s="10" t="s">
        <v>50</v>
      </c>
      <c r="AW266" s="10" t="s">
        <v>50</v>
      </c>
      <c r="AX266" s="10" t="s">
        <v>50</v>
      </c>
      <c r="AY266" s="10" t="s">
        <v>50</v>
      </c>
      <c r="AZ266" s="10" t="s">
        <v>50</v>
      </c>
      <c r="BA266" s="10" t="s">
        <v>50</v>
      </c>
      <c r="BB266" s="10" t="s">
        <v>50</v>
      </c>
      <c r="BC266" s="10" t="s">
        <v>50</v>
      </c>
      <c r="BD266" s="10" t="s">
        <v>50</v>
      </c>
      <c r="BE266" s="10" t="s">
        <v>50</v>
      </c>
      <c r="BF266" s="10" t="s">
        <v>50</v>
      </c>
      <c r="BG266" s="10" t="s">
        <v>50</v>
      </c>
      <c r="BH266" s="10" t="s">
        <v>50</v>
      </c>
      <c r="BI266" s="9">
        <v>0</v>
      </c>
      <c r="BJ266" s="9">
        <v>0</v>
      </c>
      <c r="BK266" s="9">
        <v>1</v>
      </c>
      <c r="BL266" s="9">
        <v>0</v>
      </c>
      <c r="BM266" s="9">
        <v>0</v>
      </c>
      <c r="BN266" s="9">
        <v>0</v>
      </c>
      <c r="BO266" s="9">
        <v>0</v>
      </c>
    </row>
    <row r="267" spans="1:67" ht="15.75" customHeight="1" x14ac:dyDescent="0.2">
      <c r="A267" s="3">
        <f t="shared" si="4"/>
        <v>265</v>
      </c>
      <c r="B267" s="3" t="s">
        <v>2934</v>
      </c>
      <c r="C267" s="3" t="s">
        <v>2934</v>
      </c>
      <c r="D267" s="5" t="s">
        <v>2933</v>
      </c>
      <c r="E267" s="5" t="s">
        <v>2935</v>
      </c>
      <c r="F267" s="3">
        <v>0</v>
      </c>
      <c r="G267" s="3">
        <v>0</v>
      </c>
      <c r="H267" s="3">
        <v>0</v>
      </c>
      <c r="I267" s="3">
        <v>0</v>
      </c>
      <c r="J267" s="3">
        <v>0</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974</v>
      </c>
      <c r="AN267" s="3" t="s">
        <v>974</v>
      </c>
      <c r="AO267" s="3" t="s">
        <v>50</v>
      </c>
      <c r="AP267" s="3">
        <v>0</v>
      </c>
      <c r="AQ267" s="3">
        <v>0</v>
      </c>
      <c r="AR267">
        <v>0</v>
      </c>
      <c r="AS267">
        <v>2</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row>
    <row r="268" spans="1:67" s="37" customFormat="1" ht="15.75" customHeight="1" x14ac:dyDescent="0.2">
      <c r="A268" s="34">
        <f t="shared" si="4"/>
        <v>266</v>
      </c>
      <c r="B268" s="34" t="s">
        <v>2566</v>
      </c>
      <c r="C268" s="34" t="s">
        <v>2941</v>
      </c>
      <c r="D268" s="39" t="s">
        <v>2940</v>
      </c>
      <c r="E268" s="39" t="s">
        <v>2942</v>
      </c>
      <c r="F268" s="34">
        <v>0</v>
      </c>
      <c r="G268" s="34">
        <v>0</v>
      </c>
      <c r="H268" s="34">
        <v>0</v>
      </c>
      <c r="I268" s="34">
        <v>0</v>
      </c>
      <c r="J268" s="34">
        <v>0</v>
      </c>
      <c r="K268" s="34">
        <v>1</v>
      </c>
      <c r="L268" s="34">
        <v>0</v>
      </c>
      <c r="M268" s="34">
        <v>0</v>
      </c>
      <c r="N268" s="34">
        <v>0</v>
      </c>
      <c r="O268" s="34">
        <v>0</v>
      </c>
      <c r="P268" s="34">
        <v>0</v>
      </c>
      <c r="Q268" s="34">
        <v>0</v>
      </c>
      <c r="R268" s="34">
        <v>0</v>
      </c>
      <c r="S268" s="34">
        <v>0</v>
      </c>
      <c r="T268" s="34">
        <v>0</v>
      </c>
      <c r="U268" s="34">
        <v>0</v>
      </c>
      <c r="V268" s="34">
        <v>0</v>
      </c>
      <c r="W268" s="34">
        <v>0</v>
      </c>
      <c r="X268" s="34">
        <v>0</v>
      </c>
      <c r="Y268" s="34">
        <v>0</v>
      </c>
      <c r="Z268" s="34">
        <v>0</v>
      </c>
      <c r="AA268" s="34">
        <v>0</v>
      </c>
      <c r="AB268" s="34">
        <v>0</v>
      </c>
      <c r="AC268" s="34">
        <v>0</v>
      </c>
      <c r="AD268" s="34">
        <v>0</v>
      </c>
      <c r="AE268" s="34">
        <v>0</v>
      </c>
      <c r="AF268" s="34">
        <v>0</v>
      </c>
      <c r="AG268" s="34">
        <v>0</v>
      </c>
      <c r="AH268" s="34">
        <v>0</v>
      </c>
      <c r="AI268" s="34">
        <v>0</v>
      </c>
      <c r="AJ268" s="34">
        <v>0</v>
      </c>
      <c r="AK268" s="34">
        <v>0</v>
      </c>
      <c r="AL268" s="34" t="s">
        <v>17</v>
      </c>
      <c r="AM268" s="34" t="s">
        <v>974</v>
      </c>
      <c r="AN268" s="34" t="s">
        <v>974</v>
      </c>
      <c r="AO268" s="34" t="s">
        <v>50</v>
      </c>
      <c r="AP268" s="34">
        <v>0</v>
      </c>
      <c r="AQ268" s="34">
        <v>0</v>
      </c>
      <c r="AR268" s="37">
        <v>0</v>
      </c>
      <c r="AS268" s="37">
        <v>2</v>
      </c>
      <c r="AT268" s="38" t="s">
        <v>50</v>
      </c>
      <c r="AU268" s="38" t="s">
        <v>50</v>
      </c>
      <c r="AV268" s="38" t="s">
        <v>50</v>
      </c>
      <c r="AW268" s="38" t="s">
        <v>50</v>
      </c>
      <c r="AX268" s="38" t="s">
        <v>50</v>
      </c>
      <c r="AY268" s="38" t="s">
        <v>50</v>
      </c>
      <c r="AZ268" s="38" t="s">
        <v>50</v>
      </c>
      <c r="BA268" s="38" t="s">
        <v>50</v>
      </c>
      <c r="BB268" s="38" t="s">
        <v>50</v>
      </c>
      <c r="BC268" s="38" t="s">
        <v>50</v>
      </c>
      <c r="BD268" s="38" t="s">
        <v>50</v>
      </c>
      <c r="BE268" s="38" t="s">
        <v>50</v>
      </c>
      <c r="BF268" s="38" t="s">
        <v>50</v>
      </c>
      <c r="BG268" s="38" t="s">
        <v>50</v>
      </c>
      <c r="BH268" s="38" t="s">
        <v>50</v>
      </c>
      <c r="BI268" s="37">
        <v>1</v>
      </c>
      <c r="BJ268" s="37">
        <v>0</v>
      </c>
      <c r="BK268" s="37">
        <v>1</v>
      </c>
      <c r="BL268" s="37">
        <v>0</v>
      </c>
      <c r="BM268" s="37">
        <v>0</v>
      </c>
      <c r="BN268" s="37">
        <v>0</v>
      </c>
      <c r="BO268" s="37">
        <v>0</v>
      </c>
    </row>
    <row r="269" spans="1:67" ht="15.75" customHeight="1" x14ac:dyDescent="0.2">
      <c r="A269" s="3">
        <f t="shared" si="4"/>
        <v>267</v>
      </c>
      <c r="B269" s="3" t="s">
        <v>334</v>
      </c>
      <c r="C269" s="3" t="s">
        <v>334</v>
      </c>
      <c r="D269" s="25" t="s">
        <v>1069</v>
      </c>
      <c r="E269" s="4" t="s">
        <v>1119</v>
      </c>
      <c r="F269" s="3">
        <v>1</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-50</v>
      </c>
      <c r="Y269" s="3">
        <v>0</v>
      </c>
      <c r="Z269" s="3">
        <v>0</v>
      </c>
      <c r="AA269" s="3">
        <v>0</v>
      </c>
      <c r="AB269" s="3">
        <v>0</v>
      </c>
      <c r="AC269" s="3">
        <v>0</v>
      </c>
      <c r="AD269" s="3">
        <v>0</v>
      </c>
      <c r="AE269" s="3">
        <v>0</v>
      </c>
      <c r="AF269" s="3">
        <v>0</v>
      </c>
      <c r="AG269" s="3">
        <v>0</v>
      </c>
      <c r="AH269" s="3">
        <v>0</v>
      </c>
      <c r="AI269" s="3">
        <v>0</v>
      </c>
      <c r="AJ269" s="3">
        <v>0</v>
      </c>
      <c r="AK269" s="3">
        <v>0</v>
      </c>
      <c r="AL269" s="3" t="s">
        <v>51</v>
      </c>
      <c r="AM269" s="3" t="s">
        <v>974</v>
      </c>
      <c r="AN269" s="3" t="s">
        <v>1998</v>
      </c>
      <c r="AO269" s="3" t="s">
        <v>1853</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row>
    <row r="270" spans="1:67" ht="15.75" customHeight="1" x14ac:dyDescent="0.2">
      <c r="A270" s="3">
        <f t="shared" si="4"/>
        <v>268</v>
      </c>
      <c r="B270" s="3" t="s">
        <v>1120</v>
      </c>
      <c r="C270" s="3" t="s">
        <v>1120</v>
      </c>
      <c r="D270" s="25" t="s">
        <v>1121</v>
      </c>
      <c r="E270" s="4" t="s">
        <v>1122</v>
      </c>
      <c r="F270" s="3">
        <v>1</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-50</v>
      </c>
      <c r="Y270" s="3">
        <v>0</v>
      </c>
      <c r="Z270" s="3">
        <v>0</v>
      </c>
      <c r="AA270" s="3">
        <v>0</v>
      </c>
      <c r="AB270" s="3">
        <v>0</v>
      </c>
      <c r="AC270" s="3">
        <v>0</v>
      </c>
      <c r="AD270" s="3">
        <v>0</v>
      </c>
      <c r="AE270" s="3">
        <v>0</v>
      </c>
      <c r="AF270" s="3">
        <v>0</v>
      </c>
      <c r="AG270" s="3">
        <v>0</v>
      </c>
      <c r="AH270" s="3">
        <v>0</v>
      </c>
      <c r="AI270" s="3">
        <v>0</v>
      </c>
      <c r="AJ270" s="3">
        <v>0</v>
      </c>
      <c r="AK270" s="3">
        <v>0</v>
      </c>
      <c r="AL270" s="3" t="s">
        <v>51</v>
      </c>
      <c r="AM270" s="3" t="s">
        <v>974</v>
      </c>
      <c r="AN270" s="3" t="s">
        <v>1998</v>
      </c>
      <c r="AO270" s="3" t="s">
        <v>1853</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row>
    <row r="271" spans="1:67" s="37" customFormat="1" ht="15.75" customHeight="1" x14ac:dyDescent="0.2">
      <c r="A271" s="34">
        <f t="shared" si="4"/>
        <v>269</v>
      </c>
      <c r="B271" s="34" t="s">
        <v>334</v>
      </c>
      <c r="C271" s="34" t="s">
        <v>3466</v>
      </c>
      <c r="D271" s="35" t="s">
        <v>3465</v>
      </c>
      <c r="E271" s="36" t="s">
        <v>3467</v>
      </c>
      <c r="F271" s="34">
        <v>1</v>
      </c>
      <c r="G271" s="34">
        <v>0</v>
      </c>
      <c r="H271" s="34">
        <v>0</v>
      </c>
      <c r="I271" s="34">
        <v>0</v>
      </c>
      <c r="J271" s="34">
        <v>0</v>
      </c>
      <c r="K271" s="34">
        <v>1</v>
      </c>
      <c r="L271" s="34">
        <v>0</v>
      </c>
      <c r="M271" s="34">
        <v>0</v>
      </c>
      <c r="N271" s="34">
        <v>0</v>
      </c>
      <c r="O271" s="34">
        <v>0</v>
      </c>
      <c r="P271" s="34">
        <v>0</v>
      </c>
      <c r="Q271" s="34">
        <v>0</v>
      </c>
      <c r="R271" s="34">
        <v>0</v>
      </c>
      <c r="S271" s="34">
        <v>0</v>
      </c>
      <c r="T271" s="34">
        <v>0</v>
      </c>
      <c r="U271" s="34">
        <v>0</v>
      </c>
      <c r="V271" s="34">
        <v>0</v>
      </c>
      <c r="W271" s="34">
        <v>0</v>
      </c>
      <c r="X271" s="34">
        <v>-50</v>
      </c>
      <c r="Y271" s="34">
        <v>0</v>
      </c>
      <c r="Z271" s="34">
        <v>0</v>
      </c>
      <c r="AA271" s="34">
        <v>0</v>
      </c>
      <c r="AB271" s="34">
        <v>0</v>
      </c>
      <c r="AC271" s="34">
        <v>0</v>
      </c>
      <c r="AD271" s="34">
        <v>0</v>
      </c>
      <c r="AE271" s="34">
        <v>0</v>
      </c>
      <c r="AF271" s="34">
        <v>0</v>
      </c>
      <c r="AG271" s="34">
        <v>0</v>
      </c>
      <c r="AH271" s="34">
        <v>0</v>
      </c>
      <c r="AI271" s="34">
        <v>0</v>
      </c>
      <c r="AJ271" s="34">
        <v>0</v>
      </c>
      <c r="AK271" s="34">
        <v>0</v>
      </c>
      <c r="AL271" s="34" t="s">
        <v>51</v>
      </c>
      <c r="AM271" s="34" t="s">
        <v>974</v>
      </c>
      <c r="AN271" s="34" t="s">
        <v>1998</v>
      </c>
      <c r="AO271" s="34" t="s">
        <v>50</v>
      </c>
      <c r="AP271" s="34">
        <v>0</v>
      </c>
      <c r="AQ271" s="34">
        <v>0</v>
      </c>
      <c r="AR271" s="37">
        <v>0</v>
      </c>
      <c r="AS271" s="37">
        <v>0</v>
      </c>
      <c r="AT271" s="38" t="s">
        <v>50</v>
      </c>
      <c r="AU271" s="38" t="s">
        <v>50</v>
      </c>
      <c r="AV271" s="38" t="s">
        <v>50</v>
      </c>
      <c r="AW271" s="38" t="s">
        <v>50</v>
      </c>
      <c r="AX271" s="38" t="s">
        <v>50</v>
      </c>
      <c r="AY271" s="38" t="s">
        <v>50</v>
      </c>
      <c r="AZ271" s="38" t="s">
        <v>50</v>
      </c>
      <c r="BA271" s="38" t="s">
        <v>50</v>
      </c>
      <c r="BB271" s="38" t="s">
        <v>50</v>
      </c>
      <c r="BC271" s="38" t="s">
        <v>50</v>
      </c>
      <c r="BD271" s="38" t="s">
        <v>50</v>
      </c>
      <c r="BE271" s="38" t="s">
        <v>50</v>
      </c>
      <c r="BF271" s="38" t="s">
        <v>50</v>
      </c>
      <c r="BG271" s="38" t="s">
        <v>50</v>
      </c>
      <c r="BH271" s="38" t="s">
        <v>50</v>
      </c>
      <c r="BI271" s="37">
        <v>1</v>
      </c>
      <c r="BJ271" s="37">
        <v>0</v>
      </c>
      <c r="BK271" s="37">
        <v>1</v>
      </c>
      <c r="BL271" s="37">
        <v>0</v>
      </c>
      <c r="BM271" s="37">
        <v>0</v>
      </c>
      <c r="BN271" s="37">
        <v>0</v>
      </c>
      <c r="BO271" s="37">
        <v>0</v>
      </c>
    </row>
    <row r="272" spans="1:67" ht="15.75" customHeight="1" x14ac:dyDescent="0.2">
      <c r="A272" s="3">
        <f t="shared" si="4"/>
        <v>270</v>
      </c>
      <c r="B272" s="3" t="s">
        <v>1079</v>
      </c>
      <c r="C272" s="3" t="s">
        <v>1079</v>
      </c>
      <c r="D272" s="25" t="s">
        <v>1078</v>
      </c>
      <c r="E272" s="4" t="s">
        <v>2819</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974</v>
      </c>
      <c r="AN272" s="3" t="s">
        <v>2070</v>
      </c>
      <c r="AO272" s="3" t="s">
        <v>1853</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row>
    <row r="273" spans="1:67" ht="15.75" customHeight="1" x14ac:dyDescent="0.2">
      <c r="A273" s="3">
        <f t="shared" si="4"/>
        <v>271</v>
      </c>
      <c r="B273" s="3" t="s">
        <v>1098</v>
      </c>
      <c r="C273" s="3" t="s">
        <v>1098</v>
      </c>
      <c r="D273" s="25" t="s">
        <v>1099</v>
      </c>
      <c r="E273" s="4" t="s">
        <v>1100</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974</v>
      </c>
      <c r="AN273" s="3" t="s">
        <v>2070</v>
      </c>
      <c r="AO273" s="3" t="s">
        <v>1853</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row>
    <row r="274" spans="1:67" ht="15.75" customHeight="1" x14ac:dyDescent="0.2">
      <c r="A274" s="3">
        <f t="shared" si="4"/>
        <v>272</v>
      </c>
      <c r="B274" s="3" t="s">
        <v>2820</v>
      </c>
      <c r="C274" s="3" t="s">
        <v>2820</v>
      </c>
      <c r="D274" s="25" t="s">
        <v>2821</v>
      </c>
      <c r="E274" s="4" t="s">
        <v>2822</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974</v>
      </c>
      <c r="AN274" s="3" t="s">
        <v>2070</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row>
    <row r="275" spans="1:67" ht="15.75" customHeight="1" x14ac:dyDescent="0.2">
      <c r="A275" s="3">
        <f t="shared" si="4"/>
        <v>273</v>
      </c>
      <c r="B275" s="3" t="s">
        <v>2963</v>
      </c>
      <c r="C275" s="3" t="s">
        <v>2963</v>
      </c>
      <c r="D275" s="25" t="s">
        <v>2964</v>
      </c>
      <c r="E275" s="4" t="s">
        <v>2969</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974</v>
      </c>
      <c r="AN275" s="3" t="s">
        <v>2070</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row>
    <row r="276" spans="1:67" ht="15.75" customHeight="1" x14ac:dyDescent="0.2">
      <c r="A276" s="3">
        <f t="shared" si="4"/>
        <v>274</v>
      </c>
      <c r="B276" s="3" t="s">
        <v>3235</v>
      </c>
      <c r="C276" s="3" t="s">
        <v>3235</v>
      </c>
      <c r="D276" s="25" t="s">
        <v>3236</v>
      </c>
      <c r="E276" s="4" t="s">
        <v>3237</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974</v>
      </c>
      <c r="AN276" s="3" t="s">
        <v>2070</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row>
    <row r="277" spans="1:67" ht="15.75" customHeight="1" x14ac:dyDescent="0.2">
      <c r="A277" s="3">
        <f t="shared" si="4"/>
        <v>275</v>
      </c>
      <c r="B277" s="3" t="s">
        <v>2823</v>
      </c>
      <c r="C277" s="3" t="s">
        <v>2823</v>
      </c>
      <c r="D277" s="25" t="s">
        <v>2825</v>
      </c>
      <c r="E277" s="4" t="s">
        <v>2827</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974</v>
      </c>
      <c r="AN277" s="3" t="s">
        <v>2070</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row>
    <row r="278" spans="1:67" ht="15.75" customHeight="1" x14ac:dyDescent="0.2">
      <c r="A278" s="3">
        <f t="shared" si="4"/>
        <v>276</v>
      </c>
      <c r="B278" s="3" t="s">
        <v>2824</v>
      </c>
      <c r="C278" s="3" t="s">
        <v>2824</v>
      </c>
      <c r="D278" s="25" t="s">
        <v>2826</v>
      </c>
      <c r="E278" s="4" t="s">
        <v>2828</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974</v>
      </c>
      <c r="AN278" s="3" t="s">
        <v>2070</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row>
    <row r="279" spans="1:67" ht="15.75" customHeight="1" x14ac:dyDescent="0.2">
      <c r="A279" s="3">
        <f t="shared" si="4"/>
        <v>277</v>
      </c>
      <c r="B279" s="3" t="s">
        <v>2957</v>
      </c>
      <c r="C279" s="3" t="s">
        <v>2957</v>
      </c>
      <c r="D279" s="25" t="s">
        <v>2956</v>
      </c>
      <c r="E279" s="4" t="s">
        <v>2958</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974</v>
      </c>
      <c r="AN279" s="3" t="s">
        <v>2070</v>
      </c>
      <c r="AO279" s="3" t="s">
        <v>50</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row>
    <row r="280" spans="1:67" ht="15.75" customHeight="1" x14ac:dyDescent="0.2">
      <c r="A280" s="3">
        <f t="shared" si="4"/>
        <v>278</v>
      </c>
      <c r="B280" s="3" t="s">
        <v>2442</v>
      </c>
      <c r="C280" s="3" t="s">
        <v>2442</v>
      </c>
      <c r="D280" s="5" t="s">
        <v>2441</v>
      </c>
      <c r="E280" s="5" t="s">
        <v>2446</v>
      </c>
      <c r="F280" s="3">
        <v>0</v>
      </c>
      <c r="G280" s="3">
        <v>0</v>
      </c>
      <c r="H280" s="3">
        <v>0</v>
      </c>
      <c r="I280" s="3">
        <v>50</v>
      </c>
      <c r="J280" s="3">
        <v>5</v>
      </c>
      <c r="K280" s="3">
        <v>1</v>
      </c>
      <c r="L280" s="3">
        <v>0</v>
      </c>
      <c r="M280" s="3">
        <v>0</v>
      </c>
      <c r="N280" s="3">
        <v>3</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1033</v>
      </c>
      <c r="AN280" s="3" t="s">
        <v>2457</v>
      </c>
      <c r="AO280" s="3" t="s">
        <v>50</v>
      </c>
      <c r="AP280" s="3">
        <v>0</v>
      </c>
      <c r="AQ280" s="3">
        <v>0</v>
      </c>
      <c r="AR280">
        <v>0</v>
      </c>
      <c r="AS280">
        <v>1</v>
      </c>
      <c r="AT280" s="6" t="s">
        <v>50</v>
      </c>
      <c r="AU280" s="6" t="s">
        <v>50</v>
      </c>
      <c r="AV280" s="6" t="s">
        <v>50</v>
      </c>
      <c r="AW280" s="6" t="s">
        <v>50</v>
      </c>
      <c r="AX280" s="6" t="s">
        <v>50</v>
      </c>
      <c r="AY280" s="6" t="s">
        <v>50</v>
      </c>
      <c r="AZ280" s="6" t="s">
        <v>50</v>
      </c>
      <c r="BA280" s="6" t="s">
        <v>50</v>
      </c>
      <c r="BB280" s="6" t="s">
        <v>50</v>
      </c>
      <c r="BC280" s="6" t="s">
        <v>50</v>
      </c>
      <c r="BD280" s="6" t="s">
        <v>2512</v>
      </c>
      <c r="BE280" s="6" t="s">
        <v>50</v>
      </c>
      <c r="BF280" s="6" t="s">
        <v>50</v>
      </c>
      <c r="BG280" s="6" t="s">
        <v>50</v>
      </c>
      <c r="BH280" s="6" t="s">
        <v>50</v>
      </c>
      <c r="BI280">
        <v>1</v>
      </c>
      <c r="BJ280">
        <v>0</v>
      </c>
      <c r="BK280">
        <v>1</v>
      </c>
      <c r="BL280">
        <v>0</v>
      </c>
      <c r="BM280">
        <v>0</v>
      </c>
      <c r="BN280">
        <v>0</v>
      </c>
      <c r="BO280">
        <v>0</v>
      </c>
    </row>
    <row r="281" spans="1:67" ht="15.75" customHeight="1" x14ac:dyDescent="0.2">
      <c r="A281" s="3">
        <f t="shared" si="4"/>
        <v>279</v>
      </c>
      <c r="B281" s="3" t="s">
        <v>2454</v>
      </c>
      <c r="C281" s="3" t="s">
        <v>2454</v>
      </c>
      <c r="D281" s="5" t="s">
        <v>2455</v>
      </c>
      <c r="E281" s="5" t="s">
        <v>3528</v>
      </c>
      <c r="F281" s="3">
        <v>0</v>
      </c>
      <c r="G281" s="3">
        <v>0</v>
      </c>
      <c r="H281" s="3">
        <v>0</v>
      </c>
      <c r="I281" s="3">
        <v>50</v>
      </c>
      <c r="J281" s="3">
        <v>5</v>
      </c>
      <c r="K281" s="3">
        <v>1</v>
      </c>
      <c r="L281" s="3">
        <v>0</v>
      </c>
      <c r="M281" s="3">
        <v>0</v>
      </c>
      <c r="N281" s="3">
        <v>3</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1033</v>
      </c>
      <c r="AN281" s="3" t="s">
        <v>2457</v>
      </c>
      <c r="AO281" s="3" t="s">
        <v>50</v>
      </c>
      <c r="AP281" s="3">
        <v>0</v>
      </c>
      <c r="AQ281" s="3">
        <v>0</v>
      </c>
      <c r="AR281">
        <v>0</v>
      </c>
      <c r="AS281">
        <v>1</v>
      </c>
      <c r="AT281" s="6" t="s">
        <v>50</v>
      </c>
      <c r="AU281" s="6" t="s">
        <v>50</v>
      </c>
      <c r="AV281" s="6" t="s">
        <v>50</v>
      </c>
      <c r="AW281" s="6" t="s">
        <v>50</v>
      </c>
      <c r="AX281" s="6" t="s">
        <v>50</v>
      </c>
      <c r="AY281" s="6" t="s">
        <v>50</v>
      </c>
      <c r="AZ281" s="6" t="s">
        <v>50</v>
      </c>
      <c r="BA281" s="6" t="s">
        <v>50</v>
      </c>
      <c r="BB281" s="6" t="s">
        <v>50</v>
      </c>
      <c r="BC281" s="6" t="s">
        <v>50</v>
      </c>
      <c r="BD281" s="6" t="s">
        <v>2513</v>
      </c>
      <c r="BE281" s="6" t="s">
        <v>50</v>
      </c>
      <c r="BF281" s="6" t="s">
        <v>50</v>
      </c>
      <c r="BG281" s="6" t="s">
        <v>50</v>
      </c>
      <c r="BH281" s="6" t="s">
        <v>50</v>
      </c>
      <c r="BI281">
        <v>1</v>
      </c>
      <c r="BJ281">
        <v>0</v>
      </c>
      <c r="BK281">
        <v>1</v>
      </c>
      <c r="BL281">
        <v>0</v>
      </c>
      <c r="BM281">
        <v>0</v>
      </c>
      <c r="BN281">
        <v>0</v>
      </c>
      <c r="BO281">
        <v>0</v>
      </c>
    </row>
    <row r="282" spans="1:67" s="37" customFormat="1" ht="15.75" customHeight="1" x14ac:dyDescent="0.2">
      <c r="A282" s="34">
        <f t="shared" si="4"/>
        <v>280</v>
      </c>
      <c r="B282" s="34" t="s">
        <v>2454</v>
      </c>
      <c r="C282" s="34" t="s">
        <v>3430</v>
      </c>
      <c r="D282" s="39" t="s">
        <v>3429</v>
      </c>
      <c r="E282" s="39" t="s">
        <v>3450</v>
      </c>
      <c r="F282" s="34">
        <v>0</v>
      </c>
      <c r="G282" s="34">
        <v>0</v>
      </c>
      <c r="H282" s="34">
        <v>0</v>
      </c>
      <c r="I282" s="34">
        <v>50</v>
      </c>
      <c r="J282" s="34">
        <v>5</v>
      </c>
      <c r="K282" s="34">
        <v>1</v>
      </c>
      <c r="L282" s="34">
        <v>0</v>
      </c>
      <c r="M282" s="34">
        <v>0</v>
      </c>
      <c r="N282" s="34">
        <v>3</v>
      </c>
      <c r="O282" s="34">
        <v>0</v>
      </c>
      <c r="P282" s="34">
        <v>0</v>
      </c>
      <c r="Q282" s="34">
        <v>0</v>
      </c>
      <c r="R282" s="34">
        <v>0</v>
      </c>
      <c r="S282" s="34">
        <v>0</v>
      </c>
      <c r="T282" s="34">
        <v>0</v>
      </c>
      <c r="U282" s="34">
        <v>0</v>
      </c>
      <c r="V282" s="34">
        <v>0</v>
      </c>
      <c r="W282" s="34">
        <v>0</v>
      </c>
      <c r="X282" s="34">
        <v>0</v>
      </c>
      <c r="Y282" s="34">
        <v>0</v>
      </c>
      <c r="Z282" s="34">
        <v>0</v>
      </c>
      <c r="AA282" s="34">
        <v>0</v>
      </c>
      <c r="AB282" s="34">
        <v>0</v>
      </c>
      <c r="AC282" s="34">
        <v>0</v>
      </c>
      <c r="AD282" s="34">
        <v>0</v>
      </c>
      <c r="AE282" s="34">
        <v>0</v>
      </c>
      <c r="AF282" s="34">
        <v>0</v>
      </c>
      <c r="AG282" s="34">
        <v>0</v>
      </c>
      <c r="AH282" s="34">
        <v>0</v>
      </c>
      <c r="AI282" s="34">
        <v>0</v>
      </c>
      <c r="AJ282" s="34">
        <v>0</v>
      </c>
      <c r="AK282" s="34">
        <v>0</v>
      </c>
      <c r="AL282" s="34" t="s">
        <v>51</v>
      </c>
      <c r="AM282" s="34" t="s">
        <v>1033</v>
      </c>
      <c r="AN282" s="34" t="s">
        <v>2457</v>
      </c>
      <c r="AO282" s="34" t="s">
        <v>50</v>
      </c>
      <c r="AP282" s="34">
        <v>0</v>
      </c>
      <c r="AQ282" s="34">
        <v>0</v>
      </c>
      <c r="AR282" s="37">
        <v>0</v>
      </c>
      <c r="AS282" s="37">
        <v>1</v>
      </c>
      <c r="AT282" s="38" t="s">
        <v>50</v>
      </c>
      <c r="AU282" s="38" t="s">
        <v>50</v>
      </c>
      <c r="AV282" s="38" t="s">
        <v>50</v>
      </c>
      <c r="AW282" s="38" t="s">
        <v>50</v>
      </c>
      <c r="AX282" s="38" t="s">
        <v>50</v>
      </c>
      <c r="AY282" s="38" t="s">
        <v>50</v>
      </c>
      <c r="AZ282" s="38" t="s">
        <v>50</v>
      </c>
      <c r="BA282" s="38" t="s">
        <v>50</v>
      </c>
      <c r="BB282" s="38" t="s">
        <v>50</v>
      </c>
      <c r="BC282" s="38" t="s">
        <v>50</v>
      </c>
      <c r="BD282" s="38" t="s">
        <v>2513</v>
      </c>
      <c r="BE282" s="38" t="s">
        <v>50</v>
      </c>
      <c r="BF282" s="38" t="s">
        <v>50</v>
      </c>
      <c r="BG282" s="38" t="s">
        <v>50</v>
      </c>
      <c r="BH282" s="38" t="s">
        <v>50</v>
      </c>
      <c r="BI282" s="37">
        <v>1</v>
      </c>
      <c r="BJ282" s="37">
        <v>0</v>
      </c>
      <c r="BK282" s="37">
        <v>1</v>
      </c>
      <c r="BL282" s="37">
        <v>0</v>
      </c>
      <c r="BM282" s="37">
        <v>0</v>
      </c>
      <c r="BN282" s="37">
        <v>0</v>
      </c>
      <c r="BO282" s="37">
        <v>0</v>
      </c>
    </row>
    <row r="283" spans="1:67" ht="15.75" customHeight="1" x14ac:dyDescent="0.2">
      <c r="A283" s="3">
        <f t="shared" si="4"/>
        <v>281</v>
      </c>
      <c r="B283" s="3" t="s">
        <v>2559</v>
      </c>
      <c r="C283" s="3" t="s">
        <v>2444</v>
      </c>
      <c r="D283" s="5" t="s">
        <v>2443</v>
      </c>
      <c r="E283" s="5" t="s">
        <v>2445</v>
      </c>
      <c r="F283" s="3">
        <v>0</v>
      </c>
      <c r="G283" s="3">
        <v>0</v>
      </c>
      <c r="H283" s="3">
        <v>0</v>
      </c>
      <c r="I283" s="3">
        <v>50</v>
      </c>
      <c r="J283" s="3">
        <v>5</v>
      </c>
      <c r="K283" s="3">
        <v>1</v>
      </c>
      <c r="L283" s="3">
        <v>0</v>
      </c>
      <c r="M283" s="3">
        <v>0</v>
      </c>
      <c r="N283" s="3">
        <v>3</v>
      </c>
      <c r="O283" s="3">
        <v>0</v>
      </c>
      <c r="P283" s="3">
        <v>0</v>
      </c>
      <c r="Q283" s="3">
        <v>0</v>
      </c>
      <c r="R283" s="3">
        <v>0</v>
      </c>
      <c r="S283" s="3">
        <v>0</v>
      </c>
      <c r="T283" s="3">
        <v>0</v>
      </c>
      <c r="U283" s="3">
        <v>0</v>
      </c>
      <c r="V283" s="3">
        <v>0</v>
      </c>
      <c r="W283" s="3">
        <v>0</v>
      </c>
      <c r="X283" s="3">
        <v>0</v>
      </c>
      <c r="Y283" s="3">
        <v>0</v>
      </c>
      <c r="Z283" s="3">
        <v>0</v>
      </c>
      <c r="AA283" s="3">
        <v>0</v>
      </c>
      <c r="AB283" s="3">
        <v>0</v>
      </c>
      <c r="AC283" s="3">
        <v>0</v>
      </c>
      <c r="AD283" s="3">
        <v>0</v>
      </c>
      <c r="AE283" s="3">
        <v>0</v>
      </c>
      <c r="AF283" s="3">
        <v>0</v>
      </c>
      <c r="AG283" s="3">
        <v>0</v>
      </c>
      <c r="AH283" s="3">
        <v>0</v>
      </c>
      <c r="AI283" s="3">
        <v>0</v>
      </c>
      <c r="AJ283" s="3">
        <v>0</v>
      </c>
      <c r="AK283" s="3">
        <v>0</v>
      </c>
      <c r="AL283" s="3" t="s">
        <v>51</v>
      </c>
      <c r="AM283" s="3" t="s">
        <v>1033</v>
      </c>
      <c r="AN283" s="3" t="s">
        <v>2457</v>
      </c>
      <c r="AO283" s="3" t="s">
        <v>50</v>
      </c>
      <c r="AP283" s="3">
        <v>0</v>
      </c>
      <c r="AQ283" s="3">
        <v>0</v>
      </c>
      <c r="AR283">
        <v>0</v>
      </c>
      <c r="AS283">
        <v>1</v>
      </c>
      <c r="AT283" s="6" t="s">
        <v>50</v>
      </c>
      <c r="AU283" s="6" t="s">
        <v>50</v>
      </c>
      <c r="AV283" s="6" t="s">
        <v>50</v>
      </c>
      <c r="AW283" s="6" t="s">
        <v>50</v>
      </c>
      <c r="AX283" s="6" t="s">
        <v>50</v>
      </c>
      <c r="AY283" s="6" t="s">
        <v>50</v>
      </c>
      <c r="AZ283" s="6" t="s">
        <v>50</v>
      </c>
      <c r="BA283" s="6" t="s">
        <v>50</v>
      </c>
      <c r="BB283" s="6" t="s">
        <v>50</v>
      </c>
      <c r="BC283" s="6" t="s">
        <v>50</v>
      </c>
      <c r="BD283" s="6" t="s">
        <v>2514</v>
      </c>
      <c r="BE283" s="6" t="s">
        <v>50</v>
      </c>
      <c r="BF283" s="6" t="s">
        <v>50</v>
      </c>
      <c r="BG283" s="6" t="s">
        <v>50</v>
      </c>
      <c r="BH283" s="6" t="s">
        <v>50</v>
      </c>
      <c r="BI283">
        <v>1</v>
      </c>
      <c r="BJ283">
        <v>0</v>
      </c>
      <c r="BK283">
        <v>1</v>
      </c>
      <c r="BL283">
        <v>0</v>
      </c>
      <c r="BM283">
        <v>0</v>
      </c>
      <c r="BN283">
        <v>0</v>
      </c>
      <c r="BO283">
        <v>0</v>
      </c>
    </row>
    <row r="284" spans="1:67" ht="15.75" customHeight="1" x14ac:dyDescent="0.2">
      <c r="A284" s="3">
        <f t="shared" si="4"/>
        <v>282</v>
      </c>
      <c r="B284" s="3" t="s">
        <v>2448</v>
      </c>
      <c r="C284" s="3" t="s">
        <v>2448</v>
      </c>
      <c r="D284" s="5" t="s">
        <v>2447</v>
      </c>
      <c r="E284" s="5" t="s">
        <v>3453</v>
      </c>
      <c r="F284" s="3">
        <v>0</v>
      </c>
      <c r="G284" s="3">
        <v>0</v>
      </c>
      <c r="H284" s="3">
        <v>0</v>
      </c>
      <c r="I284" s="3">
        <v>50</v>
      </c>
      <c r="J284" s="3">
        <v>5</v>
      </c>
      <c r="K284" s="3">
        <v>1</v>
      </c>
      <c r="L284" s="3">
        <v>0</v>
      </c>
      <c r="M284" s="3">
        <v>0</v>
      </c>
      <c r="N284" s="3">
        <v>3</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1033</v>
      </c>
      <c r="AN284" s="3" t="s">
        <v>2457</v>
      </c>
      <c r="AO284" s="3" t="s">
        <v>50</v>
      </c>
      <c r="AP284" s="3">
        <v>0</v>
      </c>
      <c r="AQ284" s="3">
        <v>0</v>
      </c>
      <c r="AR284">
        <v>0</v>
      </c>
      <c r="AS284">
        <v>1</v>
      </c>
      <c r="AT284" s="6" t="s">
        <v>50</v>
      </c>
      <c r="AU284" s="6" t="s">
        <v>50</v>
      </c>
      <c r="AV284" s="6" t="s">
        <v>50</v>
      </c>
      <c r="AW284" s="6" t="s">
        <v>50</v>
      </c>
      <c r="AX284" s="6" t="s">
        <v>50</v>
      </c>
      <c r="AY284" s="6" t="s">
        <v>50</v>
      </c>
      <c r="AZ284" s="6" t="s">
        <v>50</v>
      </c>
      <c r="BA284" s="6" t="s">
        <v>50</v>
      </c>
      <c r="BB284" s="6" t="s">
        <v>50</v>
      </c>
      <c r="BC284" s="6" t="s">
        <v>50</v>
      </c>
      <c r="BD284" s="6" t="s">
        <v>2515</v>
      </c>
      <c r="BE284" s="6" t="s">
        <v>50</v>
      </c>
      <c r="BF284" s="6" t="s">
        <v>50</v>
      </c>
      <c r="BG284" s="6" t="s">
        <v>50</v>
      </c>
      <c r="BH284" s="6" t="s">
        <v>50</v>
      </c>
      <c r="BI284">
        <v>1</v>
      </c>
      <c r="BJ284">
        <v>0</v>
      </c>
      <c r="BK284">
        <v>1</v>
      </c>
      <c r="BL284">
        <v>0</v>
      </c>
      <c r="BM284">
        <v>0</v>
      </c>
      <c r="BN284">
        <v>0</v>
      </c>
      <c r="BO284">
        <v>0</v>
      </c>
    </row>
    <row r="285" spans="1:67" ht="15.75" customHeight="1" x14ac:dyDescent="0.2">
      <c r="A285" s="3">
        <f t="shared" si="4"/>
        <v>283</v>
      </c>
      <c r="B285" s="3" t="s">
        <v>2450</v>
      </c>
      <c r="C285" s="3" t="s">
        <v>2450</v>
      </c>
      <c r="D285" s="5" t="s">
        <v>2449</v>
      </c>
      <c r="E285" s="5" t="s">
        <v>3454</v>
      </c>
      <c r="F285" s="3">
        <v>0</v>
      </c>
      <c r="G285" s="3">
        <v>0</v>
      </c>
      <c r="H285" s="3">
        <v>0</v>
      </c>
      <c r="I285" s="3">
        <v>50</v>
      </c>
      <c r="J285" s="3">
        <v>5</v>
      </c>
      <c r="K285" s="3">
        <v>1</v>
      </c>
      <c r="L285" s="3">
        <v>0</v>
      </c>
      <c r="M285" s="3">
        <v>0</v>
      </c>
      <c r="N285" s="3">
        <v>3</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1033</v>
      </c>
      <c r="AN285" s="3" t="s">
        <v>2457</v>
      </c>
      <c r="AO285" s="3" t="s">
        <v>50</v>
      </c>
      <c r="AP285" s="3">
        <v>0</v>
      </c>
      <c r="AQ285" s="3">
        <v>0</v>
      </c>
      <c r="AR285">
        <v>0</v>
      </c>
      <c r="AS285">
        <v>1</v>
      </c>
      <c r="AT285" s="6" t="s">
        <v>50</v>
      </c>
      <c r="AU285" s="6" t="s">
        <v>50</v>
      </c>
      <c r="AV285" s="6" t="s">
        <v>50</v>
      </c>
      <c r="AW285" s="6" t="s">
        <v>50</v>
      </c>
      <c r="AX285" s="6" t="s">
        <v>50</v>
      </c>
      <c r="AY285" s="6" t="s">
        <v>50</v>
      </c>
      <c r="AZ285" s="6" t="s">
        <v>50</v>
      </c>
      <c r="BA285" s="6" t="s">
        <v>50</v>
      </c>
      <c r="BB285" s="6" t="s">
        <v>50</v>
      </c>
      <c r="BC285" s="6" t="s">
        <v>50</v>
      </c>
      <c r="BD285" s="6" t="s">
        <v>2516</v>
      </c>
      <c r="BE285" s="6" t="s">
        <v>50</v>
      </c>
      <c r="BF285" s="6" t="s">
        <v>50</v>
      </c>
      <c r="BG285" s="6" t="s">
        <v>50</v>
      </c>
      <c r="BH285" s="6" t="s">
        <v>50</v>
      </c>
      <c r="BI285">
        <v>1</v>
      </c>
      <c r="BJ285">
        <v>0</v>
      </c>
      <c r="BK285">
        <v>1</v>
      </c>
      <c r="BL285">
        <v>0</v>
      </c>
      <c r="BM285">
        <v>0</v>
      </c>
      <c r="BN285">
        <v>0</v>
      </c>
      <c r="BO285">
        <v>0</v>
      </c>
    </row>
    <row r="286" spans="1:67" ht="15.75" customHeight="1" x14ac:dyDescent="0.2">
      <c r="A286" s="3">
        <f t="shared" si="4"/>
        <v>284</v>
      </c>
      <c r="B286" s="3" t="s">
        <v>2452</v>
      </c>
      <c r="C286" s="3" t="s">
        <v>2452</v>
      </c>
      <c r="D286" s="5" t="s">
        <v>2451</v>
      </c>
      <c r="E286" s="5" t="s">
        <v>3455</v>
      </c>
      <c r="F286" s="3">
        <v>0</v>
      </c>
      <c r="G286" s="3">
        <v>0</v>
      </c>
      <c r="H286" s="3">
        <v>0</v>
      </c>
      <c r="I286" s="3">
        <v>50</v>
      </c>
      <c r="J286" s="3">
        <v>5</v>
      </c>
      <c r="K286" s="3">
        <v>1</v>
      </c>
      <c r="L286" s="3">
        <v>0</v>
      </c>
      <c r="M286" s="3">
        <v>0</v>
      </c>
      <c r="N286" s="3">
        <v>3</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1033</v>
      </c>
      <c r="AN286" s="3" t="s">
        <v>2457</v>
      </c>
      <c r="AO286" s="3" t="s">
        <v>50</v>
      </c>
      <c r="AP286" s="3">
        <v>0</v>
      </c>
      <c r="AQ286" s="3">
        <v>0</v>
      </c>
      <c r="AR286">
        <v>0</v>
      </c>
      <c r="AS286">
        <v>1</v>
      </c>
      <c r="AT286" s="6" t="s">
        <v>50</v>
      </c>
      <c r="AU286" s="6" t="s">
        <v>50</v>
      </c>
      <c r="AV286" s="6" t="s">
        <v>50</v>
      </c>
      <c r="AW286" s="6" t="s">
        <v>50</v>
      </c>
      <c r="AX286" s="6" t="s">
        <v>50</v>
      </c>
      <c r="AY286" s="6" t="s">
        <v>50</v>
      </c>
      <c r="AZ286" s="6" t="s">
        <v>50</v>
      </c>
      <c r="BA286" s="6" t="s">
        <v>50</v>
      </c>
      <c r="BB286" s="6" t="s">
        <v>50</v>
      </c>
      <c r="BC286" s="6" t="s">
        <v>50</v>
      </c>
      <c r="BD286" s="6" t="s">
        <v>2517</v>
      </c>
      <c r="BE286" s="6" t="s">
        <v>50</v>
      </c>
      <c r="BF286" s="6" t="s">
        <v>50</v>
      </c>
      <c r="BG286" s="6" t="s">
        <v>50</v>
      </c>
      <c r="BH286" s="6" t="s">
        <v>50</v>
      </c>
      <c r="BI286">
        <v>1</v>
      </c>
      <c r="BJ286">
        <v>0</v>
      </c>
      <c r="BK286">
        <v>1</v>
      </c>
      <c r="BL286">
        <v>0</v>
      </c>
      <c r="BM286">
        <v>0</v>
      </c>
      <c r="BN286">
        <v>0</v>
      </c>
      <c r="BO286">
        <v>0</v>
      </c>
    </row>
    <row r="287" spans="1:67" ht="15.75" customHeight="1" x14ac:dyDescent="0.2">
      <c r="A287" s="3">
        <f t="shared" si="4"/>
        <v>285</v>
      </c>
      <c r="B287" s="3" t="s">
        <v>2453</v>
      </c>
      <c r="C287" s="3" t="s">
        <v>2453</v>
      </c>
      <c r="D287" s="5" t="s">
        <v>1879</v>
      </c>
      <c r="E287" s="5" t="s">
        <v>2458</v>
      </c>
      <c r="F287" s="3">
        <v>0</v>
      </c>
      <c r="G287" s="3">
        <v>0</v>
      </c>
      <c r="H287" s="3">
        <v>0</v>
      </c>
      <c r="I287" s="3">
        <v>50</v>
      </c>
      <c r="J287" s="3">
        <v>5</v>
      </c>
      <c r="K287" s="3">
        <v>1</v>
      </c>
      <c r="L287" s="3">
        <v>0</v>
      </c>
      <c r="M287" s="3">
        <v>0</v>
      </c>
      <c r="N287" s="3">
        <v>3</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1033</v>
      </c>
      <c r="AN287" s="3" t="s">
        <v>2457</v>
      </c>
      <c r="AO287" s="3" t="s">
        <v>50</v>
      </c>
      <c r="AP287" s="3">
        <v>0</v>
      </c>
      <c r="AQ287" s="3">
        <v>0</v>
      </c>
      <c r="AR287">
        <v>0</v>
      </c>
      <c r="AS287">
        <v>1</v>
      </c>
      <c r="AT287" s="6" t="s">
        <v>50</v>
      </c>
      <c r="AU287" s="6" t="s">
        <v>50</v>
      </c>
      <c r="AV287" s="6" t="s">
        <v>50</v>
      </c>
      <c r="AW287" s="6" t="s">
        <v>50</v>
      </c>
      <c r="AX287" s="6" t="s">
        <v>50</v>
      </c>
      <c r="AY287" s="6" t="s">
        <v>50</v>
      </c>
      <c r="AZ287" s="6" t="s">
        <v>50</v>
      </c>
      <c r="BA287" s="6" t="s">
        <v>50</v>
      </c>
      <c r="BB287" s="6" t="s">
        <v>50</v>
      </c>
      <c r="BC287" s="6" t="s">
        <v>50</v>
      </c>
      <c r="BD287" s="6" t="s">
        <v>2518</v>
      </c>
      <c r="BE287" s="6" t="s">
        <v>50</v>
      </c>
      <c r="BF287" s="6" t="s">
        <v>50</v>
      </c>
      <c r="BG287" s="6" t="s">
        <v>50</v>
      </c>
      <c r="BH287" s="6" t="s">
        <v>50</v>
      </c>
      <c r="BI287">
        <v>1</v>
      </c>
      <c r="BJ287">
        <v>0</v>
      </c>
      <c r="BK287">
        <v>3</v>
      </c>
      <c r="BL287">
        <v>0</v>
      </c>
      <c r="BM287">
        <v>0</v>
      </c>
      <c r="BN287">
        <v>0</v>
      </c>
      <c r="BO287">
        <v>0</v>
      </c>
    </row>
    <row r="288" spans="1:67" ht="15.75" customHeight="1" x14ac:dyDescent="0.2">
      <c r="A288" s="3">
        <f t="shared" si="4"/>
        <v>286</v>
      </c>
      <c r="B288" s="3" t="s">
        <v>514</v>
      </c>
      <c r="C288" s="3" t="s">
        <v>1447</v>
      </c>
      <c r="D288" s="5" t="s">
        <v>1445</v>
      </c>
      <c r="E288" s="5" t="s">
        <v>1446</v>
      </c>
      <c r="F288" s="3">
        <v>0</v>
      </c>
      <c r="G288" s="3">
        <v>0</v>
      </c>
      <c r="H288" s="3">
        <v>0</v>
      </c>
      <c r="I288" s="3">
        <v>50</v>
      </c>
      <c r="J288" s="3">
        <v>5</v>
      </c>
      <c r="K288" s="3">
        <v>1</v>
      </c>
      <c r="L288" s="3">
        <v>0</v>
      </c>
      <c r="M288" s="3">
        <v>0</v>
      </c>
      <c r="N288" s="3">
        <v>0</v>
      </c>
      <c r="O288" s="3">
        <v>0</v>
      </c>
      <c r="P288" s="3">
        <v>30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42</v>
      </c>
      <c r="AN288" s="3" t="s">
        <v>2039</v>
      </c>
      <c r="AO288" s="3" t="s">
        <v>1853</v>
      </c>
      <c r="AP288" s="3">
        <v>0</v>
      </c>
      <c r="AQ288" s="3">
        <v>0</v>
      </c>
      <c r="AR288">
        <v>0</v>
      </c>
      <c r="AS288">
        <v>1</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3</v>
      </c>
      <c r="BL288">
        <v>0</v>
      </c>
      <c r="BM288">
        <v>0</v>
      </c>
      <c r="BN288">
        <v>0</v>
      </c>
      <c r="BO288">
        <v>0</v>
      </c>
    </row>
    <row r="289" spans="1:67" ht="15.75" customHeight="1" x14ac:dyDescent="0.2">
      <c r="A289" s="3">
        <f t="shared" si="4"/>
        <v>287</v>
      </c>
      <c r="B289" s="3" t="s">
        <v>514</v>
      </c>
      <c r="C289" s="3" t="s">
        <v>1449</v>
      </c>
      <c r="D289" s="5" t="s">
        <v>1448</v>
      </c>
      <c r="E289" s="5" t="s">
        <v>1450</v>
      </c>
      <c r="F289" s="3">
        <v>0</v>
      </c>
      <c r="G289" s="3">
        <v>0</v>
      </c>
      <c r="H289" s="3">
        <v>0</v>
      </c>
      <c r="I289" s="3">
        <v>50</v>
      </c>
      <c r="J289" s="3">
        <v>5</v>
      </c>
      <c r="K289" s="3">
        <v>1</v>
      </c>
      <c r="L289" s="3">
        <v>0</v>
      </c>
      <c r="M289" s="3">
        <v>0</v>
      </c>
      <c r="N289" s="3">
        <v>0</v>
      </c>
      <c r="O289" s="3">
        <v>0</v>
      </c>
      <c r="P289" s="3">
        <v>0</v>
      </c>
      <c r="Q289" s="3">
        <v>30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42</v>
      </c>
      <c r="AN289" s="3" t="s">
        <v>2039</v>
      </c>
      <c r="AO289" s="3" t="s">
        <v>1853</v>
      </c>
      <c r="AP289" s="3">
        <v>0</v>
      </c>
      <c r="AQ289" s="3">
        <v>0</v>
      </c>
      <c r="AR289">
        <v>0</v>
      </c>
      <c r="AS289">
        <v>1</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3</v>
      </c>
      <c r="BL289">
        <v>0</v>
      </c>
      <c r="BM289">
        <v>0</v>
      </c>
      <c r="BN289">
        <v>0</v>
      </c>
      <c r="BO289">
        <v>0</v>
      </c>
    </row>
    <row r="290" spans="1:67" ht="15.75" customHeight="1" x14ac:dyDescent="0.2">
      <c r="A290" s="3">
        <f t="shared" si="4"/>
        <v>288</v>
      </c>
      <c r="B290" s="3" t="s">
        <v>1514</v>
      </c>
      <c r="C290" s="3" t="s">
        <v>1499</v>
      </c>
      <c r="D290" s="5" t="s">
        <v>1500</v>
      </c>
      <c r="E290" s="5" t="s">
        <v>1515</v>
      </c>
      <c r="F290" s="3">
        <v>0</v>
      </c>
      <c r="G290" s="3">
        <v>0</v>
      </c>
      <c r="H290" s="3">
        <v>0</v>
      </c>
      <c r="I290" s="3">
        <v>50</v>
      </c>
      <c r="J290" s="3">
        <v>5</v>
      </c>
      <c r="K290" s="3">
        <v>1</v>
      </c>
      <c r="L290" s="3">
        <v>0</v>
      </c>
      <c r="M290" s="3">
        <v>20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42</v>
      </c>
      <c r="AN290" s="3" t="s">
        <v>2039</v>
      </c>
      <c r="AO290" s="3" t="s">
        <v>1853</v>
      </c>
      <c r="AP290" s="3">
        <v>0</v>
      </c>
      <c r="AQ290" s="3">
        <v>0</v>
      </c>
      <c r="AR290">
        <v>0</v>
      </c>
      <c r="AS290">
        <v>1</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3</v>
      </c>
      <c r="BL290">
        <v>0</v>
      </c>
      <c r="BM290">
        <v>0</v>
      </c>
      <c r="BN290">
        <v>0</v>
      </c>
      <c r="BO290">
        <v>0</v>
      </c>
    </row>
    <row r="291" spans="1:67" ht="15.75" customHeight="1" x14ac:dyDescent="0.2">
      <c r="A291" s="3">
        <f t="shared" si="4"/>
        <v>289</v>
      </c>
      <c r="B291" s="3" t="s">
        <v>1511</v>
      </c>
      <c r="C291" s="3" t="s">
        <v>1503</v>
      </c>
      <c r="D291" s="5" t="s">
        <v>1501</v>
      </c>
      <c r="E291" s="5" t="s">
        <v>1502</v>
      </c>
      <c r="F291" s="3">
        <v>0</v>
      </c>
      <c r="G291" s="3">
        <v>0</v>
      </c>
      <c r="H291" s="3">
        <v>0</v>
      </c>
      <c r="I291" s="3">
        <v>50</v>
      </c>
      <c r="J291" s="3">
        <v>5</v>
      </c>
      <c r="K291" s="3">
        <v>1</v>
      </c>
      <c r="L291" s="3">
        <v>0</v>
      </c>
      <c r="M291" s="3">
        <v>0</v>
      </c>
      <c r="N291" s="3">
        <v>20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42</v>
      </c>
      <c r="AN291" s="3" t="s">
        <v>2039</v>
      </c>
      <c r="AO291" s="3" t="s">
        <v>1853</v>
      </c>
      <c r="AP291" s="3">
        <v>0</v>
      </c>
      <c r="AQ291" s="3">
        <v>0</v>
      </c>
      <c r="AR291">
        <v>0</v>
      </c>
      <c r="AS291">
        <v>1</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3</v>
      </c>
      <c r="BL291">
        <v>0</v>
      </c>
      <c r="BM291">
        <v>0</v>
      </c>
      <c r="BN291">
        <v>0</v>
      </c>
      <c r="BO291">
        <v>0</v>
      </c>
    </row>
    <row r="292" spans="1:67" ht="15.75" customHeight="1" x14ac:dyDescent="0.2">
      <c r="A292" s="3">
        <f t="shared" si="4"/>
        <v>290</v>
      </c>
      <c r="B292" s="3" t="s">
        <v>1512</v>
      </c>
      <c r="C292" s="3" t="s">
        <v>1508</v>
      </c>
      <c r="D292" s="5" t="s">
        <v>1506</v>
      </c>
      <c r="E292" s="5" t="s">
        <v>1507</v>
      </c>
      <c r="F292" s="3">
        <v>1</v>
      </c>
      <c r="G292" s="3">
        <v>0</v>
      </c>
      <c r="H292" s="3">
        <v>0</v>
      </c>
      <c r="I292" s="3">
        <v>50</v>
      </c>
      <c r="J292" s="3">
        <v>5</v>
      </c>
      <c r="K292" s="3">
        <v>1</v>
      </c>
      <c r="L292" s="3">
        <v>0</v>
      </c>
      <c r="M292" s="3">
        <v>0</v>
      </c>
      <c r="N292" s="3">
        <v>3</v>
      </c>
      <c r="O292" s="3">
        <v>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51</v>
      </c>
      <c r="AM292" s="3" t="s">
        <v>42</v>
      </c>
      <c r="AN292" s="3" t="s">
        <v>2039</v>
      </c>
      <c r="AO292" s="3" t="s">
        <v>1853</v>
      </c>
      <c r="AP292" s="3">
        <v>0</v>
      </c>
      <c r="AQ292" s="3">
        <v>0</v>
      </c>
      <c r="AR292">
        <v>0</v>
      </c>
      <c r="AS292">
        <v>1</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3</v>
      </c>
      <c r="BL292">
        <v>0</v>
      </c>
      <c r="BM292">
        <v>0</v>
      </c>
      <c r="BN292">
        <v>0</v>
      </c>
      <c r="BO292">
        <v>1</v>
      </c>
    </row>
    <row r="293" spans="1:67" ht="15.75" customHeight="1" x14ac:dyDescent="0.2">
      <c r="A293" s="3">
        <f t="shared" si="4"/>
        <v>291</v>
      </c>
      <c r="B293" s="3" t="s">
        <v>1513</v>
      </c>
      <c r="C293" s="3" t="s">
        <v>1504</v>
      </c>
      <c r="D293" s="5" t="s">
        <v>1505</v>
      </c>
      <c r="E293" s="5" t="s">
        <v>1509</v>
      </c>
      <c r="F293" s="3">
        <v>0</v>
      </c>
      <c r="G293" s="3">
        <v>0</v>
      </c>
      <c r="H293" s="3">
        <v>0</v>
      </c>
      <c r="I293" s="3">
        <v>50</v>
      </c>
      <c r="J293" s="3">
        <v>5</v>
      </c>
      <c r="K293" s="3">
        <v>1</v>
      </c>
      <c r="L293" s="3">
        <v>0</v>
      </c>
      <c r="M293" s="3">
        <v>0</v>
      </c>
      <c r="N293" s="3">
        <v>0</v>
      </c>
      <c r="O293" s="3">
        <v>20</v>
      </c>
      <c r="P293" s="3">
        <v>0</v>
      </c>
      <c r="Q293" s="3">
        <v>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51</v>
      </c>
      <c r="AM293" s="3" t="s">
        <v>42</v>
      </c>
      <c r="AN293" s="3" t="s">
        <v>2039</v>
      </c>
      <c r="AO293" s="3" t="s">
        <v>1853</v>
      </c>
      <c r="AP293" s="3">
        <v>0</v>
      </c>
      <c r="AQ293" s="3">
        <v>0</v>
      </c>
      <c r="AR293">
        <v>0</v>
      </c>
      <c r="AS293">
        <v>1</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3</v>
      </c>
      <c r="BL293">
        <v>0</v>
      </c>
      <c r="BM293">
        <v>0</v>
      </c>
      <c r="BN293">
        <v>0</v>
      </c>
      <c r="BO293">
        <v>0</v>
      </c>
    </row>
    <row r="294" spans="1:67" ht="15.75" customHeight="1" x14ac:dyDescent="0.2">
      <c r="A294" s="3">
        <f t="shared" si="4"/>
        <v>292</v>
      </c>
      <c r="B294" s="3" t="s">
        <v>1439</v>
      </c>
      <c r="C294" s="3" t="s">
        <v>1439</v>
      </c>
      <c r="D294" s="5" t="s">
        <v>1461</v>
      </c>
      <c r="E294" s="5" t="s">
        <v>1436</v>
      </c>
      <c r="F294" s="3">
        <v>0</v>
      </c>
      <c r="G294" s="3">
        <v>0</v>
      </c>
      <c r="H294" s="3">
        <v>0</v>
      </c>
      <c r="I294" s="3">
        <v>50</v>
      </c>
      <c r="J294" s="3">
        <v>5</v>
      </c>
      <c r="K294" s="3">
        <v>1</v>
      </c>
      <c r="L294" s="3">
        <v>0</v>
      </c>
      <c r="M294" s="3">
        <v>0</v>
      </c>
      <c r="N294" s="3">
        <v>0</v>
      </c>
      <c r="O294" s="3">
        <v>0</v>
      </c>
      <c r="P294" s="3">
        <v>-30</v>
      </c>
      <c r="Q294" s="3">
        <v>-30</v>
      </c>
      <c r="R294" s="3">
        <v>-30</v>
      </c>
      <c r="S294" s="3">
        <v>-30</v>
      </c>
      <c r="T294" s="3">
        <v>-30</v>
      </c>
      <c r="U294" s="3">
        <v>-30</v>
      </c>
      <c r="V294" s="3">
        <v>0</v>
      </c>
      <c r="W294" s="3">
        <v>0</v>
      </c>
      <c r="X294" s="3">
        <v>-50</v>
      </c>
      <c r="Y294" s="3">
        <v>0</v>
      </c>
      <c r="Z294" s="3">
        <v>0</v>
      </c>
      <c r="AA294" s="3">
        <v>0</v>
      </c>
      <c r="AB294" s="3">
        <v>0</v>
      </c>
      <c r="AC294" s="3">
        <v>0</v>
      </c>
      <c r="AD294" s="3">
        <v>0</v>
      </c>
      <c r="AE294" s="3">
        <v>0</v>
      </c>
      <c r="AF294" s="3">
        <v>0</v>
      </c>
      <c r="AG294" s="3">
        <v>0</v>
      </c>
      <c r="AH294" s="3">
        <v>0</v>
      </c>
      <c r="AI294" s="3">
        <v>0</v>
      </c>
      <c r="AJ294" s="3">
        <v>0</v>
      </c>
      <c r="AK294" s="3">
        <v>0</v>
      </c>
      <c r="AL294" s="3" t="s">
        <v>51</v>
      </c>
      <c r="AM294" s="3" t="s">
        <v>42</v>
      </c>
      <c r="AN294" s="3" t="s">
        <v>2039</v>
      </c>
      <c r="AO294" s="3" t="s">
        <v>1853</v>
      </c>
      <c r="AP294" s="3">
        <v>0</v>
      </c>
      <c r="AQ294" s="3">
        <v>0</v>
      </c>
      <c r="AR294">
        <v>0</v>
      </c>
      <c r="AS294">
        <v>1</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2</v>
      </c>
      <c r="BL294">
        <v>0</v>
      </c>
      <c r="BM294">
        <v>0</v>
      </c>
      <c r="BN294">
        <v>0</v>
      </c>
      <c r="BO294">
        <v>0</v>
      </c>
    </row>
    <row r="295" spans="1:67" ht="15.75" customHeight="1" x14ac:dyDescent="0.2">
      <c r="A295" s="3">
        <f t="shared" si="4"/>
        <v>293</v>
      </c>
      <c r="B295" s="3" t="s">
        <v>1438</v>
      </c>
      <c r="C295" s="3" t="s">
        <v>1438</v>
      </c>
      <c r="D295" s="5" t="s">
        <v>1462</v>
      </c>
      <c r="E295" s="5" t="s">
        <v>1437</v>
      </c>
      <c r="F295" s="3">
        <v>0</v>
      </c>
      <c r="G295" s="3">
        <v>0</v>
      </c>
      <c r="H295" s="3">
        <v>0</v>
      </c>
      <c r="I295" s="3">
        <v>50</v>
      </c>
      <c r="J295" s="3">
        <v>5</v>
      </c>
      <c r="K295" s="3">
        <v>1</v>
      </c>
      <c r="L295" s="3">
        <v>0</v>
      </c>
      <c r="M295" s="3">
        <v>0</v>
      </c>
      <c r="N295" s="3">
        <v>0</v>
      </c>
      <c r="O295" s="3">
        <v>0</v>
      </c>
      <c r="P295" s="3">
        <v>-30</v>
      </c>
      <c r="Q295" s="3">
        <v>-30</v>
      </c>
      <c r="R295" s="3">
        <v>-30</v>
      </c>
      <c r="S295" s="3">
        <v>-30</v>
      </c>
      <c r="T295" s="3">
        <v>-30</v>
      </c>
      <c r="U295" s="3">
        <v>-30</v>
      </c>
      <c r="V295" s="3">
        <v>0</v>
      </c>
      <c r="W295" s="3">
        <v>-50</v>
      </c>
      <c r="X295" s="3">
        <v>0</v>
      </c>
      <c r="Y295" s="3">
        <v>0</v>
      </c>
      <c r="Z295" s="3">
        <v>0</v>
      </c>
      <c r="AA295" s="3">
        <v>0</v>
      </c>
      <c r="AB295" s="3">
        <v>0</v>
      </c>
      <c r="AC295" s="3">
        <v>0</v>
      </c>
      <c r="AD295" s="3">
        <v>0</v>
      </c>
      <c r="AE295" s="3">
        <v>0</v>
      </c>
      <c r="AF295" s="3">
        <v>0</v>
      </c>
      <c r="AG295" s="3">
        <v>0</v>
      </c>
      <c r="AH295" s="3">
        <v>0</v>
      </c>
      <c r="AI295" s="3">
        <v>0</v>
      </c>
      <c r="AJ295" s="3">
        <v>0</v>
      </c>
      <c r="AK295" s="3">
        <v>0</v>
      </c>
      <c r="AL295" s="3" t="s">
        <v>51</v>
      </c>
      <c r="AM295" s="3" t="s">
        <v>42</v>
      </c>
      <c r="AN295" s="3" t="s">
        <v>2039</v>
      </c>
      <c r="AO295" s="3" t="s">
        <v>1853</v>
      </c>
      <c r="AP295" s="3">
        <v>0</v>
      </c>
      <c r="AQ295" s="3">
        <v>0</v>
      </c>
      <c r="AR295">
        <v>0</v>
      </c>
      <c r="AS295">
        <v>1</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2</v>
      </c>
      <c r="BL295">
        <v>0</v>
      </c>
      <c r="BM295">
        <v>0</v>
      </c>
      <c r="BN295">
        <v>0</v>
      </c>
      <c r="BO295">
        <v>0</v>
      </c>
    </row>
    <row r="296" spans="1:67" ht="15.75" customHeight="1" x14ac:dyDescent="0.2">
      <c r="A296" s="3">
        <f t="shared" si="4"/>
        <v>294</v>
      </c>
      <c r="B296" s="3" t="s">
        <v>1440</v>
      </c>
      <c r="C296" s="3" t="s">
        <v>1440</v>
      </c>
      <c r="D296" s="5" t="s">
        <v>1463</v>
      </c>
      <c r="E296" s="5" t="s">
        <v>1441</v>
      </c>
      <c r="F296" s="3">
        <v>0</v>
      </c>
      <c r="G296" s="3">
        <v>0</v>
      </c>
      <c r="H296" s="3">
        <v>0</v>
      </c>
      <c r="I296" s="3">
        <v>50</v>
      </c>
      <c r="J296" s="3">
        <v>5</v>
      </c>
      <c r="K296" s="3">
        <v>1</v>
      </c>
      <c r="L296" s="3">
        <v>0</v>
      </c>
      <c r="M296" s="3">
        <v>0</v>
      </c>
      <c r="N296" s="3">
        <v>0</v>
      </c>
      <c r="O296" s="3">
        <v>0</v>
      </c>
      <c r="P296" s="3">
        <v>-30</v>
      </c>
      <c r="Q296" s="3">
        <v>-30</v>
      </c>
      <c r="R296" s="3">
        <v>-30</v>
      </c>
      <c r="S296" s="3">
        <v>-30</v>
      </c>
      <c r="T296" s="3">
        <v>-30</v>
      </c>
      <c r="U296" s="3">
        <v>-30</v>
      </c>
      <c r="V296" s="3">
        <v>-50</v>
      </c>
      <c r="W296" s="3">
        <v>0</v>
      </c>
      <c r="X296" s="3">
        <v>0</v>
      </c>
      <c r="Y296" s="3">
        <v>0</v>
      </c>
      <c r="Z296" s="3">
        <v>0</v>
      </c>
      <c r="AA296" s="3">
        <v>0</v>
      </c>
      <c r="AB296" s="3">
        <v>0</v>
      </c>
      <c r="AC296" s="3">
        <v>0</v>
      </c>
      <c r="AD296" s="3">
        <v>0</v>
      </c>
      <c r="AE296" s="3">
        <v>0</v>
      </c>
      <c r="AF296" s="3">
        <v>0</v>
      </c>
      <c r="AG296" s="3">
        <v>0</v>
      </c>
      <c r="AH296" s="3">
        <v>0</v>
      </c>
      <c r="AI296" s="3">
        <v>0</v>
      </c>
      <c r="AJ296" s="3">
        <v>0</v>
      </c>
      <c r="AK296" s="3">
        <v>0</v>
      </c>
      <c r="AL296" s="3" t="s">
        <v>51</v>
      </c>
      <c r="AM296" s="3" t="s">
        <v>1033</v>
      </c>
      <c r="AN296" s="3" t="s">
        <v>2039</v>
      </c>
      <c r="AO296" s="3" t="s">
        <v>1853</v>
      </c>
      <c r="AP296" s="3">
        <v>0</v>
      </c>
      <c r="AQ296" s="3">
        <v>0</v>
      </c>
      <c r="AR296">
        <v>0</v>
      </c>
      <c r="AS296">
        <v>1</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2</v>
      </c>
      <c r="BL296">
        <v>0</v>
      </c>
      <c r="BM296">
        <v>0</v>
      </c>
      <c r="BN296">
        <v>0</v>
      </c>
      <c r="BO296">
        <v>0</v>
      </c>
    </row>
    <row r="297" spans="1:67" ht="15.75" customHeight="1" x14ac:dyDescent="0.2">
      <c r="A297" s="3">
        <f t="shared" si="4"/>
        <v>295</v>
      </c>
      <c r="B297" s="3" t="s">
        <v>1467</v>
      </c>
      <c r="C297" s="3" t="s">
        <v>1467</v>
      </c>
      <c r="D297" s="5" t="s">
        <v>1464</v>
      </c>
      <c r="E297" s="5" t="s">
        <v>1442</v>
      </c>
      <c r="F297" s="3">
        <v>0</v>
      </c>
      <c r="G297" s="3">
        <v>0</v>
      </c>
      <c r="H297" s="3">
        <v>0</v>
      </c>
      <c r="I297" s="3">
        <v>50</v>
      </c>
      <c r="J297" s="3">
        <v>5</v>
      </c>
      <c r="K297" s="3">
        <v>1</v>
      </c>
      <c r="L297" s="3">
        <v>0</v>
      </c>
      <c r="M297" s="3">
        <v>0</v>
      </c>
      <c r="N297" s="3">
        <v>0</v>
      </c>
      <c r="O297" s="3">
        <v>0</v>
      </c>
      <c r="P297" s="3">
        <v>0</v>
      </c>
      <c r="Q297" s="3">
        <v>0</v>
      </c>
      <c r="R297" s="3">
        <v>0</v>
      </c>
      <c r="S297" s="3">
        <v>0</v>
      </c>
      <c r="T297" s="3">
        <v>0</v>
      </c>
      <c r="U297" s="3">
        <v>0</v>
      </c>
      <c r="V297" s="3">
        <v>0</v>
      </c>
      <c r="W297" s="3">
        <v>0</v>
      </c>
      <c r="X297" s="3">
        <v>-50</v>
      </c>
      <c r="Y297" s="3">
        <v>0</v>
      </c>
      <c r="Z297" s="3">
        <v>0</v>
      </c>
      <c r="AA297" s="3">
        <v>0</v>
      </c>
      <c r="AB297" s="3">
        <v>0</v>
      </c>
      <c r="AC297" s="3">
        <v>0</v>
      </c>
      <c r="AD297" s="3">
        <v>0</v>
      </c>
      <c r="AE297" s="3">
        <v>0</v>
      </c>
      <c r="AF297" s="3">
        <v>0</v>
      </c>
      <c r="AG297" s="3">
        <v>0</v>
      </c>
      <c r="AH297" s="3">
        <v>0</v>
      </c>
      <c r="AI297" s="3">
        <v>0</v>
      </c>
      <c r="AJ297" s="3">
        <v>0</v>
      </c>
      <c r="AK297" s="3">
        <v>0</v>
      </c>
      <c r="AL297" s="3" t="s">
        <v>51</v>
      </c>
      <c r="AM297" s="3" t="s">
        <v>42</v>
      </c>
      <c r="AN297" s="3" t="s">
        <v>2039</v>
      </c>
      <c r="AO297" s="3" t="s">
        <v>1853</v>
      </c>
      <c r="AP297" s="3">
        <v>0</v>
      </c>
      <c r="AQ297" s="3">
        <v>0</v>
      </c>
      <c r="AR297">
        <v>0</v>
      </c>
      <c r="AS297">
        <v>1</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0</v>
      </c>
      <c r="BK297">
        <v>4</v>
      </c>
      <c r="BL297">
        <v>0</v>
      </c>
      <c r="BM297">
        <v>0</v>
      </c>
      <c r="BN297">
        <v>0</v>
      </c>
      <c r="BO297">
        <v>0</v>
      </c>
    </row>
    <row r="298" spans="1:67" ht="15.75" customHeight="1" x14ac:dyDescent="0.2">
      <c r="A298" s="3">
        <f t="shared" si="4"/>
        <v>296</v>
      </c>
      <c r="B298" s="3" t="s">
        <v>1468</v>
      </c>
      <c r="C298" s="3" t="s">
        <v>1468</v>
      </c>
      <c r="D298" s="5" t="s">
        <v>1465</v>
      </c>
      <c r="E298" s="5" t="s">
        <v>1443</v>
      </c>
      <c r="F298" s="3">
        <v>0</v>
      </c>
      <c r="G298" s="3">
        <v>0</v>
      </c>
      <c r="H298" s="3">
        <v>0</v>
      </c>
      <c r="I298" s="3">
        <v>50</v>
      </c>
      <c r="J298" s="3">
        <v>5</v>
      </c>
      <c r="K298" s="3">
        <v>1</v>
      </c>
      <c r="L298" s="3">
        <v>0</v>
      </c>
      <c r="M298" s="3">
        <v>0</v>
      </c>
      <c r="N298" s="3">
        <v>0</v>
      </c>
      <c r="O298" s="3">
        <v>0</v>
      </c>
      <c r="P298" s="3">
        <v>0</v>
      </c>
      <c r="Q298" s="3">
        <v>0</v>
      </c>
      <c r="R298" s="3">
        <v>0</v>
      </c>
      <c r="S298" s="3">
        <v>0</v>
      </c>
      <c r="T298" s="3">
        <v>0</v>
      </c>
      <c r="U298" s="3">
        <v>0</v>
      </c>
      <c r="V298" s="3">
        <v>0</v>
      </c>
      <c r="W298" s="3">
        <v>-50</v>
      </c>
      <c r="X298" s="3">
        <v>0</v>
      </c>
      <c r="Y298" s="3">
        <v>0</v>
      </c>
      <c r="Z298" s="3">
        <v>0</v>
      </c>
      <c r="AA298" s="3">
        <v>0</v>
      </c>
      <c r="AB298" s="3">
        <v>0</v>
      </c>
      <c r="AC298" s="3">
        <v>0</v>
      </c>
      <c r="AD298" s="3">
        <v>0</v>
      </c>
      <c r="AE298" s="3">
        <v>0</v>
      </c>
      <c r="AF298" s="3">
        <v>0</v>
      </c>
      <c r="AG298" s="3">
        <v>0</v>
      </c>
      <c r="AH298" s="3">
        <v>0</v>
      </c>
      <c r="AI298" s="3">
        <v>0</v>
      </c>
      <c r="AJ298" s="3">
        <v>0</v>
      </c>
      <c r="AK298" s="3">
        <v>0</v>
      </c>
      <c r="AL298" s="3" t="s">
        <v>51</v>
      </c>
      <c r="AM298" s="3" t="s">
        <v>42</v>
      </c>
      <c r="AN298" s="3" t="s">
        <v>2039</v>
      </c>
      <c r="AO298" s="3" t="s">
        <v>1853</v>
      </c>
      <c r="AP298" s="3">
        <v>0</v>
      </c>
      <c r="AQ298" s="3">
        <v>0</v>
      </c>
      <c r="AR298">
        <v>0</v>
      </c>
      <c r="AS298">
        <v>1</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4</v>
      </c>
      <c r="BL298">
        <v>0</v>
      </c>
      <c r="BM298">
        <v>0</v>
      </c>
      <c r="BN298">
        <v>0</v>
      </c>
      <c r="BO298">
        <v>0</v>
      </c>
    </row>
    <row r="299" spans="1:67" ht="15.75" customHeight="1" x14ac:dyDescent="0.2">
      <c r="A299" s="3">
        <f t="shared" si="4"/>
        <v>297</v>
      </c>
      <c r="B299" s="3" t="s">
        <v>1469</v>
      </c>
      <c r="C299" s="3" t="s">
        <v>1469</v>
      </c>
      <c r="D299" s="5" t="s">
        <v>1466</v>
      </c>
      <c r="E299" s="5" t="s">
        <v>1444</v>
      </c>
      <c r="F299" s="3">
        <v>0</v>
      </c>
      <c r="G299" s="3">
        <v>0</v>
      </c>
      <c r="H299" s="3">
        <v>0</v>
      </c>
      <c r="I299" s="3">
        <v>50</v>
      </c>
      <c r="J299" s="3">
        <v>5</v>
      </c>
      <c r="K299" s="3">
        <v>1</v>
      </c>
      <c r="L299" s="3">
        <v>0</v>
      </c>
      <c r="M299" s="3">
        <v>0</v>
      </c>
      <c r="N299" s="3">
        <v>0</v>
      </c>
      <c r="O299" s="3">
        <v>0</v>
      </c>
      <c r="P299" s="3">
        <v>0</v>
      </c>
      <c r="Q299" s="3">
        <v>0</v>
      </c>
      <c r="R299" s="3">
        <v>0</v>
      </c>
      <c r="S299" s="3">
        <v>0</v>
      </c>
      <c r="T299" s="3">
        <v>0</v>
      </c>
      <c r="U299" s="3">
        <v>0</v>
      </c>
      <c r="V299" s="3">
        <v>-50</v>
      </c>
      <c r="W299" s="3">
        <v>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42</v>
      </c>
      <c r="AN299" s="3" t="s">
        <v>2039</v>
      </c>
      <c r="AO299" s="3" t="s">
        <v>1853</v>
      </c>
      <c r="AP299" s="3">
        <v>0</v>
      </c>
      <c r="AQ299" s="3">
        <v>0</v>
      </c>
      <c r="AR299">
        <v>0</v>
      </c>
      <c r="AS299">
        <v>1</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4</v>
      </c>
      <c r="BL299">
        <v>0</v>
      </c>
      <c r="BM299">
        <v>0</v>
      </c>
      <c r="BN299">
        <v>0</v>
      </c>
      <c r="BO299">
        <v>0</v>
      </c>
    </row>
    <row r="300" spans="1:67" s="9" customFormat="1" ht="15.75" customHeight="1" x14ac:dyDescent="0.2">
      <c r="A300" s="7">
        <f t="shared" si="4"/>
        <v>298</v>
      </c>
      <c r="B300" s="7" t="s">
        <v>52</v>
      </c>
      <c r="C300" s="7" t="s">
        <v>266</v>
      </c>
      <c r="D300" s="26" t="s">
        <v>382</v>
      </c>
      <c r="E300" s="11" t="s">
        <v>269</v>
      </c>
      <c r="F300" s="7">
        <v>0</v>
      </c>
      <c r="G300" s="7">
        <v>0</v>
      </c>
      <c r="H300" s="7">
        <v>0</v>
      </c>
      <c r="I300" s="7">
        <v>0</v>
      </c>
      <c r="J300" s="7">
        <v>0</v>
      </c>
      <c r="K300" s="7">
        <v>1</v>
      </c>
      <c r="L300" s="7">
        <v>0</v>
      </c>
      <c r="M300" s="7">
        <v>0</v>
      </c>
      <c r="N300" s="7">
        <v>0</v>
      </c>
      <c r="O300" s="7">
        <v>0</v>
      </c>
      <c r="P300" s="7">
        <v>0</v>
      </c>
      <c r="Q300" s="7">
        <v>0</v>
      </c>
      <c r="R300" s="7">
        <v>0</v>
      </c>
      <c r="S300" s="7">
        <v>0</v>
      </c>
      <c r="T300" s="7">
        <v>0</v>
      </c>
      <c r="U300" s="7">
        <v>0</v>
      </c>
      <c r="V300" s="7">
        <v>0</v>
      </c>
      <c r="W300" s="7">
        <v>0</v>
      </c>
      <c r="X300" s="7">
        <v>0</v>
      </c>
      <c r="Y300" s="7">
        <v>0</v>
      </c>
      <c r="Z300" s="7">
        <v>0</v>
      </c>
      <c r="AA300" s="7">
        <v>0</v>
      </c>
      <c r="AB300" s="7">
        <v>0</v>
      </c>
      <c r="AC300" s="7">
        <v>0</v>
      </c>
      <c r="AD300" s="7">
        <v>0</v>
      </c>
      <c r="AE300" s="7">
        <v>0</v>
      </c>
      <c r="AF300" s="7">
        <v>0</v>
      </c>
      <c r="AG300" s="7">
        <v>0</v>
      </c>
      <c r="AH300" s="7">
        <v>0</v>
      </c>
      <c r="AI300" s="7">
        <v>0</v>
      </c>
      <c r="AJ300" s="7">
        <v>0</v>
      </c>
      <c r="AK300" s="7">
        <v>0</v>
      </c>
      <c r="AL300" s="7" t="s">
        <v>51</v>
      </c>
      <c r="AM300" s="7" t="s">
        <v>270</v>
      </c>
      <c r="AN300" s="7" t="s">
        <v>1998</v>
      </c>
      <c r="AO300" s="7" t="s">
        <v>1853</v>
      </c>
      <c r="AP300" s="7">
        <v>0</v>
      </c>
      <c r="AQ300" s="7">
        <v>0</v>
      </c>
      <c r="AR300" s="9">
        <v>0</v>
      </c>
      <c r="AS300" s="9">
        <v>0</v>
      </c>
      <c r="AT300" s="10" t="s">
        <v>50</v>
      </c>
      <c r="AU300" s="10" t="s">
        <v>50</v>
      </c>
      <c r="AV300" s="10" t="s">
        <v>50</v>
      </c>
      <c r="AW300" s="10" t="s">
        <v>50</v>
      </c>
      <c r="AX300" s="10" t="s">
        <v>50</v>
      </c>
      <c r="AY300" s="10" t="s">
        <v>50</v>
      </c>
      <c r="AZ300" s="10" t="s">
        <v>50</v>
      </c>
      <c r="BA300" s="10" t="s">
        <v>50</v>
      </c>
      <c r="BB300" s="10" t="s">
        <v>50</v>
      </c>
      <c r="BC300" s="10" t="s">
        <v>50</v>
      </c>
      <c r="BD300" s="10" t="s">
        <v>50</v>
      </c>
      <c r="BE300" s="10" t="s">
        <v>50</v>
      </c>
      <c r="BF300" s="10" t="s">
        <v>50</v>
      </c>
      <c r="BG300" s="10" t="s">
        <v>50</v>
      </c>
      <c r="BH300" s="10" t="s">
        <v>50</v>
      </c>
      <c r="BI300" s="9">
        <v>0</v>
      </c>
      <c r="BJ300" s="9">
        <v>0</v>
      </c>
      <c r="BK300" s="9">
        <v>1</v>
      </c>
      <c r="BL300" s="9">
        <v>0</v>
      </c>
      <c r="BM300" s="9">
        <v>0</v>
      </c>
      <c r="BN300" s="9">
        <v>0</v>
      </c>
      <c r="BO300" s="9">
        <v>0</v>
      </c>
    </row>
    <row r="301" spans="1:67" s="9" customFormat="1" ht="15.75" customHeight="1" x14ac:dyDescent="0.2">
      <c r="A301" s="7">
        <f t="shared" si="4"/>
        <v>299</v>
      </c>
      <c r="B301" s="7" t="s">
        <v>52</v>
      </c>
      <c r="C301" s="7" t="s">
        <v>58</v>
      </c>
      <c r="D301" s="26" t="s">
        <v>285</v>
      </c>
      <c r="E301" s="11" t="s">
        <v>283</v>
      </c>
      <c r="F301" s="7">
        <v>0</v>
      </c>
      <c r="G301" s="7">
        <v>0</v>
      </c>
      <c r="H301" s="7">
        <v>0</v>
      </c>
      <c r="I301" s="7">
        <v>0</v>
      </c>
      <c r="J301" s="7">
        <v>0</v>
      </c>
      <c r="K301" s="7">
        <v>1</v>
      </c>
      <c r="L301" s="7">
        <v>0</v>
      </c>
      <c r="M301" s="7">
        <v>0</v>
      </c>
      <c r="N301" s="7">
        <v>0</v>
      </c>
      <c r="O301" s="7">
        <v>0</v>
      </c>
      <c r="P301" s="7">
        <v>0</v>
      </c>
      <c r="Q301" s="7">
        <v>0</v>
      </c>
      <c r="R301" s="7">
        <v>0</v>
      </c>
      <c r="S301" s="7">
        <v>0</v>
      </c>
      <c r="T301" s="7">
        <v>0</v>
      </c>
      <c r="U301" s="7">
        <v>0</v>
      </c>
      <c r="V301" s="7">
        <v>0</v>
      </c>
      <c r="W301" s="7">
        <v>0</v>
      </c>
      <c r="X301" s="7">
        <v>6</v>
      </c>
      <c r="Y301" s="7">
        <v>0</v>
      </c>
      <c r="Z301" s="7">
        <v>0</v>
      </c>
      <c r="AA301" s="7">
        <v>0</v>
      </c>
      <c r="AB301" s="7">
        <v>0</v>
      </c>
      <c r="AC301" s="7">
        <v>0</v>
      </c>
      <c r="AD301" s="7">
        <v>0</v>
      </c>
      <c r="AE301" s="7">
        <v>0</v>
      </c>
      <c r="AF301" s="7">
        <v>0</v>
      </c>
      <c r="AG301" s="7">
        <v>0</v>
      </c>
      <c r="AH301" s="7">
        <v>0</v>
      </c>
      <c r="AI301" s="7">
        <v>0</v>
      </c>
      <c r="AJ301" s="7">
        <v>0</v>
      </c>
      <c r="AK301" s="7">
        <v>0</v>
      </c>
      <c r="AL301" s="7" t="s">
        <v>51</v>
      </c>
      <c r="AM301" s="7" t="s">
        <v>280</v>
      </c>
      <c r="AN301" s="7" t="s">
        <v>1999</v>
      </c>
      <c r="AO301" s="7" t="s">
        <v>1853</v>
      </c>
      <c r="AP301" s="7">
        <v>0</v>
      </c>
      <c r="AQ301" s="7">
        <v>0</v>
      </c>
      <c r="AR301" s="9">
        <v>0</v>
      </c>
      <c r="AS301" s="9">
        <v>0</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0</v>
      </c>
      <c r="BK301" s="9">
        <v>1</v>
      </c>
      <c r="BL301" s="9">
        <v>0</v>
      </c>
      <c r="BM301" s="9">
        <v>0</v>
      </c>
      <c r="BN301" s="9">
        <v>0</v>
      </c>
      <c r="BO301" s="9">
        <v>0</v>
      </c>
    </row>
    <row r="302" spans="1:67" s="9" customFormat="1" ht="15.75" customHeight="1" x14ac:dyDescent="0.2">
      <c r="A302" s="7">
        <f t="shared" si="4"/>
        <v>300</v>
      </c>
      <c r="B302" s="7" t="s">
        <v>52</v>
      </c>
      <c r="C302" s="7" t="s">
        <v>279</v>
      </c>
      <c r="D302" s="26" t="s">
        <v>286</v>
      </c>
      <c r="E302" s="11" t="s">
        <v>282</v>
      </c>
      <c r="F302" s="7">
        <v>0</v>
      </c>
      <c r="G302" s="7">
        <v>0</v>
      </c>
      <c r="H302" s="7">
        <v>0</v>
      </c>
      <c r="I302" s="7">
        <v>0</v>
      </c>
      <c r="J302" s="7">
        <v>0</v>
      </c>
      <c r="K302" s="7">
        <v>1</v>
      </c>
      <c r="L302" s="7">
        <v>0</v>
      </c>
      <c r="M302" s="7">
        <v>0</v>
      </c>
      <c r="N302" s="7">
        <v>0</v>
      </c>
      <c r="O302" s="7">
        <v>0</v>
      </c>
      <c r="P302" s="7">
        <v>0</v>
      </c>
      <c r="Q302" s="7">
        <v>0</v>
      </c>
      <c r="R302" s="7">
        <v>0</v>
      </c>
      <c r="S302" s="7">
        <v>0</v>
      </c>
      <c r="T302" s="7">
        <v>0</v>
      </c>
      <c r="U302" s="7">
        <v>0</v>
      </c>
      <c r="V302" s="7">
        <v>0</v>
      </c>
      <c r="W302" s="7">
        <v>0</v>
      </c>
      <c r="X302" s="7">
        <v>6</v>
      </c>
      <c r="Y302" s="7">
        <v>0</v>
      </c>
      <c r="Z302" s="7">
        <v>0</v>
      </c>
      <c r="AA302" s="7">
        <v>0</v>
      </c>
      <c r="AB302" s="7">
        <v>0</v>
      </c>
      <c r="AC302" s="7">
        <v>0</v>
      </c>
      <c r="AD302" s="7">
        <v>0</v>
      </c>
      <c r="AE302" s="7">
        <v>0</v>
      </c>
      <c r="AF302" s="7">
        <v>0</v>
      </c>
      <c r="AG302" s="7">
        <v>0</v>
      </c>
      <c r="AH302" s="7">
        <v>0</v>
      </c>
      <c r="AI302" s="7">
        <v>0</v>
      </c>
      <c r="AJ302" s="7">
        <v>0</v>
      </c>
      <c r="AK302" s="7">
        <v>0</v>
      </c>
      <c r="AL302" s="7" t="s">
        <v>51</v>
      </c>
      <c r="AM302" s="7" t="s">
        <v>280</v>
      </c>
      <c r="AN302" s="7" t="s">
        <v>1999</v>
      </c>
      <c r="AO302" s="7" t="s">
        <v>1853</v>
      </c>
      <c r="AP302" s="7">
        <v>0</v>
      </c>
      <c r="AQ302" s="7">
        <v>0</v>
      </c>
      <c r="AR302" s="9">
        <v>0</v>
      </c>
      <c r="AS302" s="9">
        <v>0</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0</v>
      </c>
      <c r="BK302" s="9">
        <v>1</v>
      </c>
      <c r="BL302" s="9">
        <v>0</v>
      </c>
      <c r="BM302" s="9">
        <v>0</v>
      </c>
      <c r="BN302" s="9">
        <v>0</v>
      </c>
      <c r="BO302" s="9">
        <v>0</v>
      </c>
    </row>
    <row r="303" spans="1:67" s="9" customFormat="1" ht="15.75" customHeight="1" x14ac:dyDescent="0.2">
      <c r="A303" s="7">
        <f t="shared" si="4"/>
        <v>301</v>
      </c>
      <c r="B303" s="7" t="s">
        <v>52</v>
      </c>
      <c r="C303" s="7" t="s">
        <v>194</v>
      </c>
      <c r="D303" s="26" t="s">
        <v>253</v>
      </c>
      <c r="E303" s="11" t="s">
        <v>251</v>
      </c>
      <c r="F303" s="7">
        <v>0</v>
      </c>
      <c r="G303" s="7">
        <v>0</v>
      </c>
      <c r="H303" s="7">
        <v>0</v>
      </c>
      <c r="I303" s="7">
        <v>0</v>
      </c>
      <c r="J303" s="7">
        <v>0</v>
      </c>
      <c r="K303" s="7">
        <v>1</v>
      </c>
      <c r="L303" s="7">
        <v>0</v>
      </c>
      <c r="M303" s="7">
        <v>0</v>
      </c>
      <c r="N303" s="7">
        <v>0</v>
      </c>
      <c r="O303" s="7">
        <v>0</v>
      </c>
      <c r="P303" s="7">
        <v>0</v>
      </c>
      <c r="Q303" s="7">
        <v>0</v>
      </c>
      <c r="R303" s="7">
        <v>0</v>
      </c>
      <c r="S303" s="7">
        <v>0</v>
      </c>
      <c r="T303" s="7">
        <v>0</v>
      </c>
      <c r="U303" s="7">
        <v>0</v>
      </c>
      <c r="V303" s="7">
        <v>0</v>
      </c>
      <c r="W303" s="7">
        <v>0</v>
      </c>
      <c r="X303" s="7">
        <v>14</v>
      </c>
      <c r="Y303" s="7">
        <v>0</v>
      </c>
      <c r="Z303" s="7">
        <v>0</v>
      </c>
      <c r="AA303" s="7">
        <v>0</v>
      </c>
      <c r="AB303" s="7">
        <v>0</v>
      </c>
      <c r="AC303" s="7">
        <v>0</v>
      </c>
      <c r="AD303" s="7">
        <v>0</v>
      </c>
      <c r="AE303" s="7">
        <v>0</v>
      </c>
      <c r="AF303" s="7">
        <v>0</v>
      </c>
      <c r="AG303" s="7">
        <v>0</v>
      </c>
      <c r="AH303" s="7">
        <v>0</v>
      </c>
      <c r="AI303" s="7">
        <v>0</v>
      </c>
      <c r="AJ303" s="7">
        <v>0</v>
      </c>
      <c r="AK303" s="7">
        <v>0</v>
      </c>
      <c r="AL303" s="7" t="s">
        <v>51</v>
      </c>
      <c r="AM303" s="7" t="s">
        <v>280</v>
      </c>
      <c r="AN303" s="7" t="s">
        <v>1999</v>
      </c>
      <c r="AO303" s="7" t="s">
        <v>1853</v>
      </c>
      <c r="AP303" s="7">
        <v>0</v>
      </c>
      <c r="AQ303" s="7">
        <v>0</v>
      </c>
      <c r="AR303" s="9">
        <v>0</v>
      </c>
      <c r="AS303" s="9">
        <v>0</v>
      </c>
      <c r="AT303" s="10" t="s">
        <v>150</v>
      </c>
      <c r="AU303" s="10" t="s">
        <v>150</v>
      </c>
      <c r="AV303" s="10" t="s">
        <v>150</v>
      </c>
      <c r="AW303" s="10" t="s">
        <v>150</v>
      </c>
      <c r="AX303" s="10" t="s">
        <v>150</v>
      </c>
      <c r="AY303" s="10" t="s">
        <v>150</v>
      </c>
      <c r="AZ303" s="10" t="s">
        <v>150</v>
      </c>
      <c r="BA303" s="10" t="s">
        <v>150</v>
      </c>
      <c r="BB303" s="10" t="s">
        <v>150</v>
      </c>
      <c r="BC303" s="10" t="s">
        <v>150</v>
      </c>
      <c r="BD303" s="10" t="s">
        <v>50</v>
      </c>
      <c r="BE303" s="10" t="s">
        <v>50</v>
      </c>
      <c r="BF303" s="10" t="s">
        <v>50</v>
      </c>
      <c r="BG303" s="10" t="s">
        <v>50</v>
      </c>
      <c r="BH303" s="10" t="s">
        <v>50</v>
      </c>
      <c r="BI303" s="9">
        <v>0</v>
      </c>
      <c r="BJ303" s="9">
        <v>0</v>
      </c>
      <c r="BK303" s="9">
        <v>1</v>
      </c>
      <c r="BL303" s="9">
        <v>0</v>
      </c>
      <c r="BM303" s="9">
        <v>0</v>
      </c>
      <c r="BN303" s="9">
        <v>0</v>
      </c>
      <c r="BO303" s="9">
        <v>0</v>
      </c>
    </row>
    <row r="304" spans="1:67" s="9" customFormat="1" ht="15.75" customHeight="1" x14ac:dyDescent="0.2">
      <c r="A304" s="7">
        <f t="shared" si="4"/>
        <v>302</v>
      </c>
      <c r="B304" s="7" t="s">
        <v>52</v>
      </c>
      <c r="C304" s="7" t="s">
        <v>195</v>
      </c>
      <c r="D304" s="26" t="s">
        <v>196</v>
      </c>
      <c r="E304" s="11" t="s">
        <v>197</v>
      </c>
      <c r="F304" s="7">
        <v>0</v>
      </c>
      <c r="G304" s="7">
        <v>0</v>
      </c>
      <c r="H304" s="7">
        <v>0</v>
      </c>
      <c r="I304" s="7">
        <v>0</v>
      </c>
      <c r="J304" s="7">
        <v>0</v>
      </c>
      <c r="K304" s="7">
        <v>1</v>
      </c>
      <c r="L304" s="7">
        <v>0</v>
      </c>
      <c r="M304" s="7">
        <v>0</v>
      </c>
      <c r="N304" s="7">
        <v>0</v>
      </c>
      <c r="O304" s="7">
        <v>0</v>
      </c>
      <c r="P304" s="7">
        <v>0</v>
      </c>
      <c r="Q304" s="7">
        <v>0</v>
      </c>
      <c r="R304" s="7">
        <v>0</v>
      </c>
      <c r="S304" s="7">
        <v>0</v>
      </c>
      <c r="T304" s="7">
        <v>0</v>
      </c>
      <c r="U304" s="7">
        <v>0</v>
      </c>
      <c r="V304" s="7">
        <v>0</v>
      </c>
      <c r="W304" s="7">
        <v>0</v>
      </c>
      <c r="X304" s="7">
        <v>14</v>
      </c>
      <c r="Y304" s="7">
        <v>0</v>
      </c>
      <c r="Z304" s="7">
        <v>0</v>
      </c>
      <c r="AA304" s="7">
        <v>0</v>
      </c>
      <c r="AB304" s="7">
        <v>0</v>
      </c>
      <c r="AC304" s="7">
        <v>0</v>
      </c>
      <c r="AD304" s="7">
        <v>0</v>
      </c>
      <c r="AE304" s="7">
        <v>0</v>
      </c>
      <c r="AF304" s="7">
        <v>0</v>
      </c>
      <c r="AG304" s="7">
        <v>0</v>
      </c>
      <c r="AH304" s="7">
        <v>0</v>
      </c>
      <c r="AI304" s="7">
        <v>0</v>
      </c>
      <c r="AJ304" s="7">
        <v>0</v>
      </c>
      <c r="AK304" s="7">
        <v>0</v>
      </c>
      <c r="AL304" s="7" t="s">
        <v>51</v>
      </c>
      <c r="AM304" s="7" t="s">
        <v>280</v>
      </c>
      <c r="AN304" s="7" t="s">
        <v>1999</v>
      </c>
      <c r="AO304" s="7" t="s">
        <v>1853</v>
      </c>
      <c r="AP304" s="7">
        <v>0</v>
      </c>
      <c r="AQ304" s="7">
        <v>0</v>
      </c>
      <c r="AR304" s="9">
        <v>0</v>
      </c>
      <c r="AS304" s="9">
        <v>0</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0</v>
      </c>
      <c r="BK304" s="9">
        <v>1</v>
      </c>
      <c r="BL304" s="9">
        <v>0</v>
      </c>
      <c r="BM304" s="9">
        <v>0</v>
      </c>
      <c r="BN304" s="9">
        <v>0</v>
      </c>
      <c r="BO304" s="9">
        <v>0</v>
      </c>
    </row>
    <row r="305" spans="1:67" s="9" customFormat="1" ht="15.75" customHeight="1" x14ac:dyDescent="0.2">
      <c r="A305" s="7">
        <f t="shared" si="4"/>
        <v>303</v>
      </c>
      <c r="B305" s="7" t="s">
        <v>52</v>
      </c>
      <c r="C305" s="7" t="s">
        <v>201</v>
      </c>
      <c r="D305" s="26" t="s">
        <v>202</v>
      </c>
      <c r="E305" s="11" t="s">
        <v>203</v>
      </c>
      <c r="F305" s="7">
        <v>0</v>
      </c>
      <c r="G305" s="7">
        <v>0</v>
      </c>
      <c r="H305" s="7">
        <v>0</v>
      </c>
      <c r="I305" s="7">
        <v>0</v>
      </c>
      <c r="J305" s="7">
        <v>0</v>
      </c>
      <c r="K305" s="7">
        <v>1</v>
      </c>
      <c r="L305" s="7">
        <v>0</v>
      </c>
      <c r="M305" s="7">
        <v>0</v>
      </c>
      <c r="N305" s="7">
        <v>0</v>
      </c>
      <c r="O305" s="7">
        <v>0</v>
      </c>
      <c r="P305" s="7">
        <v>0</v>
      </c>
      <c r="Q305" s="7">
        <v>0</v>
      </c>
      <c r="R305" s="7">
        <v>0</v>
      </c>
      <c r="S305" s="7">
        <v>0</v>
      </c>
      <c r="T305" s="7">
        <v>0</v>
      </c>
      <c r="U305" s="7">
        <v>0</v>
      </c>
      <c r="V305" s="7">
        <v>0</v>
      </c>
      <c r="W305" s="7">
        <v>0</v>
      </c>
      <c r="X305" s="7">
        <v>28</v>
      </c>
      <c r="Y305" s="7">
        <v>0</v>
      </c>
      <c r="Z305" s="7">
        <v>0</v>
      </c>
      <c r="AA305" s="7">
        <v>0</v>
      </c>
      <c r="AB305" s="7">
        <v>0</v>
      </c>
      <c r="AC305" s="7">
        <v>0</v>
      </c>
      <c r="AD305" s="7">
        <v>0</v>
      </c>
      <c r="AE305" s="7">
        <v>0</v>
      </c>
      <c r="AF305" s="7">
        <v>0</v>
      </c>
      <c r="AG305" s="7">
        <v>0</v>
      </c>
      <c r="AH305" s="7">
        <v>0</v>
      </c>
      <c r="AI305" s="7">
        <v>0</v>
      </c>
      <c r="AJ305" s="7">
        <v>0</v>
      </c>
      <c r="AK305" s="7">
        <v>0</v>
      </c>
      <c r="AL305" s="7" t="s">
        <v>51</v>
      </c>
      <c r="AM305" s="7" t="s">
        <v>280</v>
      </c>
      <c r="AN305" s="7" t="s">
        <v>1999</v>
      </c>
      <c r="AO305" s="7" t="s">
        <v>1853</v>
      </c>
      <c r="AP305" s="7">
        <v>0</v>
      </c>
      <c r="AQ305" s="7">
        <v>0</v>
      </c>
      <c r="AR305" s="9">
        <v>0</v>
      </c>
      <c r="AS305" s="9">
        <v>0</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0</v>
      </c>
      <c r="BK305" s="9">
        <v>1</v>
      </c>
      <c r="BL305" s="9">
        <v>0</v>
      </c>
      <c r="BM305" s="9">
        <v>0</v>
      </c>
      <c r="BN305" s="9">
        <v>0</v>
      </c>
      <c r="BO305" s="9">
        <v>0</v>
      </c>
    </row>
    <row r="306" spans="1:67" s="9" customFormat="1" ht="15.75" customHeight="1" x14ac:dyDescent="0.2">
      <c r="A306" s="7">
        <f t="shared" si="4"/>
        <v>304</v>
      </c>
      <c r="B306" s="7" t="s">
        <v>52</v>
      </c>
      <c r="C306" s="7" t="s">
        <v>204</v>
      </c>
      <c r="D306" s="26" t="s">
        <v>206</v>
      </c>
      <c r="E306" s="11" t="s">
        <v>205</v>
      </c>
      <c r="F306" s="7">
        <v>0</v>
      </c>
      <c r="G306" s="7">
        <v>0</v>
      </c>
      <c r="H306" s="7">
        <v>0</v>
      </c>
      <c r="I306" s="7">
        <v>0</v>
      </c>
      <c r="J306" s="7">
        <v>0</v>
      </c>
      <c r="K306" s="7">
        <v>1</v>
      </c>
      <c r="L306" s="7">
        <v>0</v>
      </c>
      <c r="M306" s="7">
        <v>0</v>
      </c>
      <c r="N306" s="7">
        <v>0</v>
      </c>
      <c r="O306" s="7">
        <v>0</v>
      </c>
      <c r="P306" s="7">
        <v>0</v>
      </c>
      <c r="Q306" s="7">
        <v>0</v>
      </c>
      <c r="R306" s="7">
        <v>0</v>
      </c>
      <c r="S306" s="7">
        <v>0</v>
      </c>
      <c r="T306" s="7">
        <v>0</v>
      </c>
      <c r="U306" s="7">
        <v>0</v>
      </c>
      <c r="V306" s="7">
        <v>0</v>
      </c>
      <c r="W306" s="7">
        <v>0</v>
      </c>
      <c r="X306" s="7">
        <v>28</v>
      </c>
      <c r="Y306" s="7">
        <v>0</v>
      </c>
      <c r="Z306" s="7">
        <v>0</v>
      </c>
      <c r="AA306" s="7">
        <v>0</v>
      </c>
      <c r="AB306" s="7">
        <v>0</v>
      </c>
      <c r="AC306" s="7">
        <v>0</v>
      </c>
      <c r="AD306" s="7">
        <v>0</v>
      </c>
      <c r="AE306" s="7">
        <v>0</v>
      </c>
      <c r="AF306" s="7">
        <v>0</v>
      </c>
      <c r="AG306" s="7">
        <v>0</v>
      </c>
      <c r="AH306" s="7">
        <v>0</v>
      </c>
      <c r="AI306" s="7">
        <v>0</v>
      </c>
      <c r="AJ306" s="7">
        <v>0</v>
      </c>
      <c r="AK306" s="7">
        <v>0</v>
      </c>
      <c r="AL306" s="7" t="s">
        <v>51</v>
      </c>
      <c r="AM306" s="7" t="s">
        <v>280</v>
      </c>
      <c r="AN306" s="7" t="s">
        <v>1999</v>
      </c>
      <c r="AO306" s="7" t="s">
        <v>1853</v>
      </c>
      <c r="AP306" s="7">
        <v>0</v>
      </c>
      <c r="AQ306" s="7">
        <v>0</v>
      </c>
      <c r="AR306" s="9">
        <v>0</v>
      </c>
      <c r="AS306" s="9">
        <v>0</v>
      </c>
      <c r="AT306" s="10" t="s">
        <v>50</v>
      </c>
      <c r="AU306" s="10" t="s">
        <v>50</v>
      </c>
      <c r="AV306" s="10" t="s">
        <v>50</v>
      </c>
      <c r="AW306" s="10" t="s">
        <v>50</v>
      </c>
      <c r="AX306" s="10" t="s">
        <v>50</v>
      </c>
      <c r="AY306" s="10" t="s">
        <v>50</v>
      </c>
      <c r="AZ306" s="10" t="s">
        <v>50</v>
      </c>
      <c r="BA306" s="10" t="s">
        <v>50</v>
      </c>
      <c r="BB306" s="10" t="s">
        <v>50</v>
      </c>
      <c r="BC306" s="10" t="s">
        <v>50</v>
      </c>
      <c r="BD306" s="10" t="s">
        <v>50</v>
      </c>
      <c r="BE306" s="10" t="s">
        <v>50</v>
      </c>
      <c r="BF306" s="10" t="s">
        <v>50</v>
      </c>
      <c r="BG306" s="10" t="s">
        <v>50</v>
      </c>
      <c r="BH306" s="10" t="s">
        <v>50</v>
      </c>
      <c r="BI306" s="9">
        <v>0</v>
      </c>
      <c r="BJ306" s="9">
        <v>0</v>
      </c>
      <c r="BK306" s="9">
        <v>1</v>
      </c>
      <c r="BL306" s="9">
        <v>0</v>
      </c>
      <c r="BM306" s="9">
        <v>0</v>
      </c>
      <c r="BN306" s="9">
        <v>0</v>
      </c>
      <c r="BO306" s="9">
        <v>0</v>
      </c>
    </row>
    <row r="307" spans="1:67" s="9" customFormat="1" ht="15.75" customHeight="1" x14ac:dyDescent="0.2">
      <c r="A307" s="7">
        <f t="shared" si="4"/>
        <v>305</v>
      </c>
      <c r="B307" s="7" t="s">
        <v>52</v>
      </c>
      <c r="C307" s="7" t="s">
        <v>208</v>
      </c>
      <c r="D307" s="26" t="s">
        <v>207</v>
      </c>
      <c r="E307" s="11" t="s">
        <v>209</v>
      </c>
      <c r="F307" s="7">
        <v>0</v>
      </c>
      <c r="G307" s="7">
        <v>0</v>
      </c>
      <c r="H307" s="7">
        <v>0</v>
      </c>
      <c r="I307" s="7">
        <v>0</v>
      </c>
      <c r="J307" s="7">
        <v>0</v>
      </c>
      <c r="K307" s="7">
        <v>1</v>
      </c>
      <c r="L307" s="7">
        <v>0</v>
      </c>
      <c r="M307" s="7">
        <v>0</v>
      </c>
      <c r="N307" s="7">
        <v>0</v>
      </c>
      <c r="O307" s="7">
        <v>0</v>
      </c>
      <c r="P307" s="7">
        <v>0</v>
      </c>
      <c r="Q307" s="7">
        <v>0</v>
      </c>
      <c r="R307" s="7">
        <v>0</v>
      </c>
      <c r="S307" s="7">
        <v>0</v>
      </c>
      <c r="T307" s="7">
        <v>0</v>
      </c>
      <c r="U307" s="7">
        <v>0</v>
      </c>
      <c r="V307" s="7">
        <v>0</v>
      </c>
      <c r="W307" s="7">
        <v>0</v>
      </c>
      <c r="X307" s="7">
        <v>28</v>
      </c>
      <c r="Y307" s="7">
        <v>0</v>
      </c>
      <c r="Z307" s="7">
        <v>0</v>
      </c>
      <c r="AA307" s="7">
        <v>0</v>
      </c>
      <c r="AB307" s="7">
        <v>0</v>
      </c>
      <c r="AC307" s="7">
        <v>0</v>
      </c>
      <c r="AD307" s="7">
        <v>0</v>
      </c>
      <c r="AE307" s="7">
        <v>0</v>
      </c>
      <c r="AF307" s="7">
        <v>0</v>
      </c>
      <c r="AG307" s="7">
        <v>0</v>
      </c>
      <c r="AH307" s="7">
        <v>0</v>
      </c>
      <c r="AI307" s="7">
        <v>0</v>
      </c>
      <c r="AJ307" s="7">
        <v>0</v>
      </c>
      <c r="AK307" s="7">
        <v>0</v>
      </c>
      <c r="AL307" s="7" t="s">
        <v>51</v>
      </c>
      <c r="AM307" s="7" t="s">
        <v>280</v>
      </c>
      <c r="AN307" s="7" t="s">
        <v>1999</v>
      </c>
      <c r="AO307" s="7" t="s">
        <v>1853</v>
      </c>
      <c r="AP307" s="7">
        <v>0</v>
      </c>
      <c r="AQ307" s="7">
        <v>0</v>
      </c>
      <c r="AR307" s="9">
        <v>0</v>
      </c>
      <c r="AS307" s="9">
        <v>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0</v>
      </c>
      <c r="BJ307" s="9">
        <v>0</v>
      </c>
      <c r="BK307" s="9">
        <v>1</v>
      </c>
      <c r="BL307" s="9">
        <v>0</v>
      </c>
      <c r="BM307" s="9">
        <v>0</v>
      </c>
      <c r="BN307" s="9">
        <v>0</v>
      </c>
      <c r="BO307" s="9">
        <v>0</v>
      </c>
    </row>
    <row r="308" spans="1:67" s="9" customFormat="1" ht="15.75" customHeight="1" x14ac:dyDescent="0.2">
      <c r="A308" s="7">
        <f t="shared" si="4"/>
        <v>306</v>
      </c>
      <c r="B308" s="7" t="s">
        <v>52</v>
      </c>
      <c r="C308" s="7" t="s">
        <v>210</v>
      </c>
      <c r="D308" s="26" t="s">
        <v>211</v>
      </c>
      <c r="E308" s="11" t="s">
        <v>212</v>
      </c>
      <c r="F308" s="7">
        <v>0</v>
      </c>
      <c r="G308" s="7">
        <v>0</v>
      </c>
      <c r="H308" s="7">
        <v>0</v>
      </c>
      <c r="I308" s="7">
        <v>0</v>
      </c>
      <c r="J308" s="7">
        <v>0</v>
      </c>
      <c r="K308" s="7">
        <v>1</v>
      </c>
      <c r="L308" s="7">
        <v>0</v>
      </c>
      <c r="M308" s="7">
        <v>0</v>
      </c>
      <c r="N308" s="7">
        <v>0</v>
      </c>
      <c r="O308" s="7">
        <v>0</v>
      </c>
      <c r="P308" s="7">
        <v>0</v>
      </c>
      <c r="Q308" s="7">
        <v>0</v>
      </c>
      <c r="R308" s="7">
        <v>0</v>
      </c>
      <c r="S308" s="7">
        <v>0</v>
      </c>
      <c r="T308" s="7">
        <v>0</v>
      </c>
      <c r="U308" s="7">
        <v>0</v>
      </c>
      <c r="V308" s="7">
        <v>0</v>
      </c>
      <c r="W308" s="7">
        <v>0</v>
      </c>
      <c r="X308" s="7">
        <v>28</v>
      </c>
      <c r="Y308" s="7">
        <v>0</v>
      </c>
      <c r="Z308" s="7">
        <v>0</v>
      </c>
      <c r="AA308" s="7">
        <v>0</v>
      </c>
      <c r="AB308" s="7">
        <v>0</v>
      </c>
      <c r="AC308" s="7">
        <v>0</v>
      </c>
      <c r="AD308" s="7">
        <v>0</v>
      </c>
      <c r="AE308" s="7">
        <v>0</v>
      </c>
      <c r="AF308" s="7">
        <v>0</v>
      </c>
      <c r="AG308" s="7">
        <v>0</v>
      </c>
      <c r="AH308" s="7">
        <v>0</v>
      </c>
      <c r="AI308" s="7">
        <v>0</v>
      </c>
      <c r="AJ308" s="7">
        <v>0</v>
      </c>
      <c r="AK308" s="7">
        <v>0</v>
      </c>
      <c r="AL308" s="7" t="s">
        <v>51</v>
      </c>
      <c r="AM308" s="7" t="s">
        <v>280</v>
      </c>
      <c r="AN308" s="7" t="s">
        <v>1999</v>
      </c>
      <c r="AO308" s="7" t="s">
        <v>1853</v>
      </c>
      <c r="AP308" s="7">
        <v>0</v>
      </c>
      <c r="AQ308" s="7">
        <v>0</v>
      </c>
      <c r="AR308" s="9">
        <v>0</v>
      </c>
      <c r="AS308" s="9">
        <v>0</v>
      </c>
      <c r="AT308" s="10" t="s">
        <v>50</v>
      </c>
      <c r="AU308" s="10" t="s">
        <v>50</v>
      </c>
      <c r="AV308" s="10" t="s">
        <v>50</v>
      </c>
      <c r="AW308" s="10" t="s">
        <v>50</v>
      </c>
      <c r="AX308" s="10" t="s">
        <v>50</v>
      </c>
      <c r="AY308" s="10" t="s">
        <v>50</v>
      </c>
      <c r="AZ308" s="10" t="s">
        <v>50</v>
      </c>
      <c r="BA308" s="10" t="s">
        <v>50</v>
      </c>
      <c r="BB308" s="10" t="s">
        <v>50</v>
      </c>
      <c r="BC308" s="10" t="s">
        <v>50</v>
      </c>
      <c r="BD308" s="10" t="s">
        <v>50</v>
      </c>
      <c r="BE308" s="10" t="s">
        <v>50</v>
      </c>
      <c r="BF308" s="10" t="s">
        <v>50</v>
      </c>
      <c r="BG308" s="10" t="s">
        <v>50</v>
      </c>
      <c r="BH308" s="10" t="s">
        <v>50</v>
      </c>
      <c r="BI308" s="9">
        <v>0</v>
      </c>
      <c r="BJ308" s="9">
        <v>0</v>
      </c>
      <c r="BK308" s="9">
        <v>1</v>
      </c>
      <c r="BL308" s="9">
        <v>0</v>
      </c>
      <c r="BM308" s="9">
        <v>0</v>
      </c>
      <c r="BN308" s="9">
        <v>0</v>
      </c>
      <c r="BO308" s="9">
        <v>0</v>
      </c>
    </row>
    <row r="309" spans="1:67" s="9" customFormat="1" ht="15.75" customHeight="1" x14ac:dyDescent="0.2">
      <c r="A309" s="7">
        <f t="shared" si="4"/>
        <v>307</v>
      </c>
      <c r="B309" s="7" t="s">
        <v>52</v>
      </c>
      <c r="C309" s="7" t="s">
        <v>220</v>
      </c>
      <c r="D309" s="26" t="s">
        <v>221</v>
      </c>
      <c r="E309" s="11" t="s">
        <v>222</v>
      </c>
      <c r="F309" s="7">
        <v>0</v>
      </c>
      <c r="G309" s="7">
        <v>0</v>
      </c>
      <c r="H309" s="7">
        <v>0</v>
      </c>
      <c r="I309" s="7">
        <v>0</v>
      </c>
      <c r="J309" s="7">
        <v>0</v>
      </c>
      <c r="K309" s="7">
        <v>1</v>
      </c>
      <c r="L309" s="7">
        <v>0</v>
      </c>
      <c r="M309" s="7">
        <v>0</v>
      </c>
      <c r="N309" s="7">
        <v>0</v>
      </c>
      <c r="O309" s="7">
        <v>0</v>
      </c>
      <c r="P309" s="7">
        <v>0</v>
      </c>
      <c r="Q309" s="7">
        <v>0</v>
      </c>
      <c r="R309" s="7">
        <v>0</v>
      </c>
      <c r="S309" s="7">
        <v>0</v>
      </c>
      <c r="T309" s="7">
        <v>0</v>
      </c>
      <c r="U309" s="7">
        <v>0</v>
      </c>
      <c r="V309" s="7">
        <v>0</v>
      </c>
      <c r="W309" s="7">
        <v>0</v>
      </c>
      <c r="X309" s="7">
        <v>28</v>
      </c>
      <c r="Y309" s="7">
        <v>0</v>
      </c>
      <c r="Z309" s="7">
        <v>0</v>
      </c>
      <c r="AA309" s="7">
        <v>0</v>
      </c>
      <c r="AB309" s="7">
        <v>0</v>
      </c>
      <c r="AC309" s="7">
        <v>0</v>
      </c>
      <c r="AD309" s="7">
        <v>0</v>
      </c>
      <c r="AE309" s="7">
        <v>0</v>
      </c>
      <c r="AF309" s="7">
        <v>0</v>
      </c>
      <c r="AG309" s="7">
        <v>0</v>
      </c>
      <c r="AH309" s="7">
        <v>0</v>
      </c>
      <c r="AI309" s="7">
        <v>0</v>
      </c>
      <c r="AJ309" s="7">
        <v>0</v>
      </c>
      <c r="AK309" s="7">
        <v>0</v>
      </c>
      <c r="AL309" s="7" t="s">
        <v>51</v>
      </c>
      <c r="AM309" s="7" t="s">
        <v>280</v>
      </c>
      <c r="AN309" s="7" t="s">
        <v>1999</v>
      </c>
      <c r="AO309" s="7" t="s">
        <v>1853</v>
      </c>
      <c r="AP309" s="7">
        <v>0</v>
      </c>
      <c r="AQ309" s="7">
        <v>0</v>
      </c>
      <c r="AR309" s="9">
        <v>0</v>
      </c>
      <c r="AS309" s="9">
        <v>0</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0</v>
      </c>
      <c r="BK309" s="9">
        <v>1</v>
      </c>
      <c r="BL309" s="9">
        <v>0</v>
      </c>
      <c r="BM309" s="9">
        <v>0</v>
      </c>
      <c r="BN309" s="9">
        <v>0</v>
      </c>
      <c r="BO309" s="9">
        <v>0</v>
      </c>
    </row>
    <row r="310" spans="1:67" s="9" customFormat="1" ht="15.75" customHeight="1" x14ac:dyDescent="0.2">
      <c r="A310" s="7">
        <f t="shared" si="4"/>
        <v>308</v>
      </c>
      <c r="B310" s="7" t="s">
        <v>59</v>
      </c>
      <c r="C310" s="7" t="s">
        <v>2925</v>
      </c>
      <c r="D310" s="26" t="s">
        <v>2923</v>
      </c>
      <c r="E310" s="11" t="s">
        <v>2924</v>
      </c>
      <c r="F310" s="7">
        <v>0</v>
      </c>
      <c r="G310" s="7">
        <v>0</v>
      </c>
      <c r="H310" s="7">
        <v>0</v>
      </c>
      <c r="I310" s="7">
        <v>0</v>
      </c>
      <c r="J310" s="7">
        <v>0</v>
      </c>
      <c r="K310" s="7">
        <v>1</v>
      </c>
      <c r="L310" s="7">
        <v>0</v>
      </c>
      <c r="M310" s="7">
        <v>0</v>
      </c>
      <c r="N310" s="7">
        <v>0</v>
      </c>
      <c r="O310" s="7">
        <v>0</v>
      </c>
      <c r="P310" s="7">
        <v>0</v>
      </c>
      <c r="Q310" s="7">
        <v>0</v>
      </c>
      <c r="R310" s="7">
        <v>0</v>
      </c>
      <c r="S310" s="7">
        <v>0</v>
      </c>
      <c r="T310" s="7">
        <v>0</v>
      </c>
      <c r="U310" s="7">
        <v>0</v>
      </c>
      <c r="V310" s="7">
        <v>0</v>
      </c>
      <c r="W310" s="7">
        <v>0</v>
      </c>
      <c r="X310" s="7">
        <v>0</v>
      </c>
      <c r="Y310" s="7">
        <v>0</v>
      </c>
      <c r="Z310" s="7">
        <v>0</v>
      </c>
      <c r="AA310" s="7">
        <v>0</v>
      </c>
      <c r="AB310" s="7">
        <v>0</v>
      </c>
      <c r="AC310" s="7">
        <v>0</v>
      </c>
      <c r="AD310" s="7">
        <v>0</v>
      </c>
      <c r="AE310" s="7">
        <v>0</v>
      </c>
      <c r="AF310" s="7">
        <v>0</v>
      </c>
      <c r="AG310" s="7">
        <v>0</v>
      </c>
      <c r="AH310" s="7">
        <v>0</v>
      </c>
      <c r="AI310" s="7">
        <v>0</v>
      </c>
      <c r="AJ310" s="7">
        <v>0</v>
      </c>
      <c r="AK310" s="7">
        <v>0</v>
      </c>
      <c r="AL310" s="7" t="s">
        <v>51</v>
      </c>
      <c r="AM310" s="7" t="s">
        <v>974</v>
      </c>
      <c r="AN310" s="7" t="s">
        <v>1998</v>
      </c>
      <c r="AO310" s="7" t="s">
        <v>50</v>
      </c>
      <c r="AP310" s="7">
        <v>0</v>
      </c>
      <c r="AQ310" s="7">
        <v>0</v>
      </c>
      <c r="AR310" s="9">
        <v>0</v>
      </c>
      <c r="AS310" s="9">
        <v>0</v>
      </c>
      <c r="AT310" s="10" t="s">
        <v>50</v>
      </c>
      <c r="AU310" s="10" t="s">
        <v>50</v>
      </c>
      <c r="AV310" s="10" t="s">
        <v>50</v>
      </c>
      <c r="AW310" s="10" t="s">
        <v>50</v>
      </c>
      <c r="AX310" s="10" t="s">
        <v>50</v>
      </c>
      <c r="AY310" s="10" t="s">
        <v>50</v>
      </c>
      <c r="AZ310" s="10" t="s">
        <v>50</v>
      </c>
      <c r="BA310" s="10" t="s">
        <v>50</v>
      </c>
      <c r="BB310" s="10" t="s">
        <v>50</v>
      </c>
      <c r="BC310" s="10" t="s">
        <v>50</v>
      </c>
      <c r="BD310" s="10" t="s">
        <v>50</v>
      </c>
      <c r="BE310" s="10" t="s">
        <v>50</v>
      </c>
      <c r="BF310" s="10" t="s">
        <v>50</v>
      </c>
      <c r="BG310" s="10" t="s">
        <v>50</v>
      </c>
      <c r="BH310" s="10" t="s">
        <v>50</v>
      </c>
      <c r="BI310" s="9">
        <v>0</v>
      </c>
      <c r="BJ310" s="9">
        <v>0</v>
      </c>
      <c r="BK310" s="9">
        <v>1</v>
      </c>
      <c r="BL310" s="9">
        <v>0</v>
      </c>
      <c r="BM310" s="9">
        <v>0</v>
      </c>
      <c r="BN310" s="9">
        <v>0</v>
      </c>
      <c r="BO310" s="9">
        <v>0</v>
      </c>
    </row>
    <row r="311" spans="1:67" s="9" customFormat="1" ht="15.75" customHeight="1" x14ac:dyDescent="0.2">
      <c r="A311" s="7">
        <f t="shared" si="4"/>
        <v>309</v>
      </c>
      <c r="B311" s="7" t="s">
        <v>52</v>
      </c>
      <c r="C311" s="7" t="s">
        <v>60</v>
      </c>
      <c r="D311" s="26" t="s">
        <v>252</v>
      </c>
      <c r="E311" s="11" t="s">
        <v>53</v>
      </c>
      <c r="F311" s="7">
        <v>0</v>
      </c>
      <c r="G311" s="7">
        <v>0</v>
      </c>
      <c r="H311" s="7">
        <v>0</v>
      </c>
      <c r="I311" s="7">
        <v>0</v>
      </c>
      <c r="J311" s="7">
        <v>0</v>
      </c>
      <c r="K311" s="7">
        <v>1</v>
      </c>
      <c r="L311" s="7">
        <v>0</v>
      </c>
      <c r="M311" s="7">
        <v>0</v>
      </c>
      <c r="N311" s="7">
        <v>0</v>
      </c>
      <c r="O311" s="7">
        <v>0</v>
      </c>
      <c r="P311" s="7">
        <v>0</v>
      </c>
      <c r="Q311" s="7">
        <v>0</v>
      </c>
      <c r="R311" s="7">
        <v>0</v>
      </c>
      <c r="S311" s="7">
        <v>0</v>
      </c>
      <c r="T311" s="7">
        <v>0</v>
      </c>
      <c r="U311" s="7">
        <v>0</v>
      </c>
      <c r="V311" s="7">
        <v>0</v>
      </c>
      <c r="W311" s="7">
        <v>0</v>
      </c>
      <c r="X311" s="7">
        <v>0</v>
      </c>
      <c r="Y311" s="7">
        <v>0</v>
      </c>
      <c r="Z311" s="7">
        <v>0</v>
      </c>
      <c r="AA311" s="7">
        <v>0</v>
      </c>
      <c r="AB311" s="7">
        <v>0</v>
      </c>
      <c r="AC311" s="7">
        <v>0</v>
      </c>
      <c r="AD311" s="7">
        <v>0</v>
      </c>
      <c r="AE311" s="7">
        <v>0</v>
      </c>
      <c r="AF311" s="7">
        <v>0</v>
      </c>
      <c r="AG311" s="7">
        <v>0</v>
      </c>
      <c r="AH311" s="7">
        <v>0</v>
      </c>
      <c r="AI311" s="7">
        <v>0</v>
      </c>
      <c r="AJ311" s="7">
        <v>0</v>
      </c>
      <c r="AK311" s="7">
        <v>0</v>
      </c>
      <c r="AL311" s="7" t="s">
        <v>51</v>
      </c>
      <c r="AM311" s="7" t="s">
        <v>166</v>
      </c>
      <c r="AN311" s="7" t="s">
        <v>2000</v>
      </c>
      <c r="AO311" s="7" t="s">
        <v>1853</v>
      </c>
      <c r="AP311" s="7">
        <v>0</v>
      </c>
      <c r="AQ311" s="7">
        <v>0</v>
      </c>
      <c r="AR311" s="9">
        <v>0</v>
      </c>
      <c r="AS311" s="9">
        <v>0</v>
      </c>
      <c r="AT311" s="10" t="s">
        <v>50</v>
      </c>
      <c r="AU311" s="10" t="s">
        <v>50</v>
      </c>
      <c r="AV311" s="10" t="s">
        <v>50</v>
      </c>
      <c r="AW311" s="10" t="s">
        <v>50</v>
      </c>
      <c r="AX311" s="10" t="s">
        <v>50</v>
      </c>
      <c r="AY311" s="10" t="s">
        <v>50</v>
      </c>
      <c r="AZ311" s="10" t="s">
        <v>50</v>
      </c>
      <c r="BA311" s="10" t="s">
        <v>50</v>
      </c>
      <c r="BB311" s="10" t="s">
        <v>50</v>
      </c>
      <c r="BC311" s="10" t="s">
        <v>50</v>
      </c>
      <c r="BD311" s="10" t="s">
        <v>50</v>
      </c>
      <c r="BE311" s="10" t="s">
        <v>50</v>
      </c>
      <c r="BF311" s="10" t="s">
        <v>50</v>
      </c>
      <c r="BG311" s="10" t="s">
        <v>50</v>
      </c>
      <c r="BH311" s="10" t="s">
        <v>50</v>
      </c>
      <c r="BI311" s="9">
        <v>0</v>
      </c>
      <c r="BJ311" s="9">
        <v>0</v>
      </c>
      <c r="BK311" s="9">
        <v>1</v>
      </c>
      <c r="BL311" s="9">
        <v>0</v>
      </c>
      <c r="BM311" s="9">
        <v>0</v>
      </c>
      <c r="BN311" s="9">
        <v>0</v>
      </c>
      <c r="BO311" s="9">
        <v>0</v>
      </c>
    </row>
    <row r="312" spans="1:67" s="9" customFormat="1" ht="15.75" customHeight="1" x14ac:dyDescent="0.2">
      <c r="A312" s="7">
        <f t="shared" si="4"/>
        <v>310</v>
      </c>
      <c r="B312" s="7" t="s">
        <v>52</v>
      </c>
      <c r="C312" s="7" t="s">
        <v>241</v>
      </c>
      <c r="D312" s="26" t="s">
        <v>247</v>
      </c>
      <c r="E312" s="11" t="s">
        <v>287</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0</v>
      </c>
      <c r="Y312" s="7">
        <v>0</v>
      </c>
      <c r="Z312" s="7">
        <v>0</v>
      </c>
      <c r="AA312" s="7">
        <v>0</v>
      </c>
      <c r="AB312" s="7">
        <v>0</v>
      </c>
      <c r="AC312" s="7">
        <v>0</v>
      </c>
      <c r="AD312" s="7">
        <v>0</v>
      </c>
      <c r="AE312" s="7">
        <v>0</v>
      </c>
      <c r="AF312" s="7">
        <v>0</v>
      </c>
      <c r="AG312" s="7">
        <v>0</v>
      </c>
      <c r="AH312" s="7">
        <v>0</v>
      </c>
      <c r="AI312" s="7">
        <v>0</v>
      </c>
      <c r="AJ312" s="7">
        <v>0</v>
      </c>
      <c r="AK312" s="7">
        <v>0</v>
      </c>
      <c r="AL312" s="7" t="s">
        <v>51</v>
      </c>
      <c r="AM312" s="7" t="s">
        <v>166</v>
      </c>
      <c r="AN312" s="7" t="s">
        <v>2000</v>
      </c>
      <c r="AO312" s="7" t="s">
        <v>1853</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BO390"/>
  <sheetViews>
    <sheetView topLeftCell="A305" zoomScaleNormal="100" workbookViewId="0">
      <selection activeCell="AO315" sqref="AO315"/>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354</v>
      </c>
      <c r="L1" s="1" t="s">
        <v>232</v>
      </c>
      <c r="M1" s="1" t="s">
        <v>5</v>
      </c>
      <c r="N1" s="1" t="s">
        <v>6</v>
      </c>
      <c r="O1" s="1" t="s">
        <v>7</v>
      </c>
      <c r="P1" s="1" t="s">
        <v>8</v>
      </c>
      <c r="Q1" s="1" t="s">
        <v>9</v>
      </c>
      <c r="R1" s="2" t="s">
        <v>10</v>
      </c>
      <c r="S1" s="2" t="s">
        <v>161</v>
      </c>
      <c r="T1" s="2" t="s">
        <v>11</v>
      </c>
      <c r="U1" s="2" t="s">
        <v>12</v>
      </c>
      <c r="V1" s="2" t="s">
        <v>181</v>
      </c>
      <c r="W1" s="2" t="s">
        <v>182</v>
      </c>
      <c r="X1" s="2" t="s">
        <v>180</v>
      </c>
      <c r="Y1" s="2" t="s">
        <v>1146</v>
      </c>
      <c r="Z1" s="2" t="s">
        <v>2220</v>
      </c>
      <c r="AA1" s="2" t="s">
        <v>2179</v>
      </c>
      <c r="AB1" s="2" t="s">
        <v>2211</v>
      </c>
      <c r="AC1" s="2" t="s">
        <v>2212</v>
      </c>
      <c r="AD1" s="2" t="s">
        <v>2213</v>
      </c>
      <c r="AE1" s="2" t="s">
        <v>2214</v>
      </c>
      <c r="AF1" s="2" t="s">
        <v>2215</v>
      </c>
      <c r="AG1" s="2" t="s">
        <v>2216</v>
      </c>
      <c r="AH1" s="2" t="s">
        <v>2217</v>
      </c>
      <c r="AI1" s="2" t="s">
        <v>2218</v>
      </c>
      <c r="AJ1" s="2" t="s">
        <v>2219</v>
      </c>
      <c r="AK1" s="2" t="s">
        <v>2640</v>
      </c>
      <c r="AL1" s="1" t="s">
        <v>13</v>
      </c>
      <c r="AM1" s="1" t="s">
        <v>14</v>
      </c>
      <c r="AN1" s="1" t="s">
        <v>1935</v>
      </c>
      <c r="AO1" s="1" t="s">
        <v>1852</v>
      </c>
      <c r="AP1" s="1" t="s">
        <v>884</v>
      </c>
      <c r="AQ1" s="1" t="s">
        <v>872</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1605</v>
      </c>
      <c r="BM1" s="1" t="s">
        <v>2504</v>
      </c>
      <c r="BN1" s="1" t="s">
        <v>2505</v>
      </c>
      <c r="BO1" s="1" t="s">
        <v>1617</v>
      </c>
    </row>
    <row r="2" spans="1:67" ht="15.75" customHeight="1" x14ac:dyDescent="0.2">
      <c r="A2" s="3">
        <f t="shared" ref="A2:A66" si="0">ROW()+1998</f>
        <v>2000</v>
      </c>
      <c r="B2" s="3" t="s">
        <v>84</v>
      </c>
      <c r="C2" s="3" t="s">
        <v>84</v>
      </c>
      <c r="D2" s="27" t="s">
        <v>130</v>
      </c>
      <c r="E2" s="5" t="s">
        <v>401</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0</v>
      </c>
      <c r="AI2" s="3">
        <v>0</v>
      </c>
      <c r="AJ2" s="3">
        <v>0</v>
      </c>
      <c r="AK2" s="3">
        <v>30</v>
      </c>
      <c r="AL2" s="3" t="s">
        <v>157</v>
      </c>
      <c r="AM2" s="3" t="s">
        <v>32</v>
      </c>
      <c r="AN2" s="3" t="s">
        <v>2001</v>
      </c>
      <c r="AO2" s="3" t="s">
        <v>1853</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row>
    <row r="3" spans="1:67" ht="15.75" customHeight="1" x14ac:dyDescent="0.2">
      <c r="A3" s="3">
        <f t="shared" si="0"/>
        <v>2001</v>
      </c>
      <c r="B3" s="3" t="s">
        <v>576</v>
      </c>
      <c r="C3" s="3" t="s">
        <v>572</v>
      </c>
      <c r="D3" s="27" t="s">
        <v>1108</v>
      </c>
      <c r="E3" s="5" t="s">
        <v>1527</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0</v>
      </c>
      <c r="AG3" s="3">
        <v>0</v>
      </c>
      <c r="AH3" s="3">
        <v>0</v>
      </c>
      <c r="AI3" s="3">
        <v>0</v>
      </c>
      <c r="AJ3" s="3">
        <v>0</v>
      </c>
      <c r="AK3" s="3">
        <v>30</v>
      </c>
      <c r="AL3" s="3" t="s">
        <v>31</v>
      </c>
      <c r="AM3" s="3" t="s">
        <v>90</v>
      </c>
      <c r="AN3" s="3" t="s">
        <v>2001</v>
      </c>
      <c r="AO3" s="3" t="s">
        <v>1853</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row>
    <row r="4" spans="1:67" ht="15.75" customHeight="1" x14ac:dyDescent="0.2">
      <c r="A4" s="3">
        <f t="shared" si="0"/>
        <v>2002</v>
      </c>
      <c r="B4" s="3" t="s">
        <v>577</v>
      </c>
      <c r="C4" s="3" t="s">
        <v>573</v>
      </c>
      <c r="D4" s="27" t="s">
        <v>1109</v>
      </c>
      <c r="E4" s="5" t="s">
        <v>578</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0</v>
      </c>
      <c r="AG4" s="3">
        <v>0</v>
      </c>
      <c r="AH4" s="3">
        <v>0</v>
      </c>
      <c r="AI4" s="3">
        <v>0</v>
      </c>
      <c r="AJ4" s="3">
        <v>0</v>
      </c>
      <c r="AK4" s="3">
        <v>30</v>
      </c>
      <c r="AL4" s="3" t="s">
        <v>31</v>
      </c>
      <c r="AM4" s="3" t="s">
        <v>90</v>
      </c>
      <c r="AN4" s="3" t="s">
        <v>2001</v>
      </c>
      <c r="AO4" s="3" t="s">
        <v>1853</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row>
    <row r="5" spans="1:67" ht="15.75" customHeight="1" x14ac:dyDescent="0.2">
      <c r="A5" s="3">
        <f t="shared" si="0"/>
        <v>2003</v>
      </c>
      <c r="B5" s="3" t="s">
        <v>579</v>
      </c>
      <c r="C5" s="3" t="s">
        <v>574</v>
      </c>
      <c r="D5" s="27" t="s">
        <v>1110</v>
      </c>
      <c r="E5" s="5" t="s">
        <v>575</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0</v>
      </c>
      <c r="AG5" s="3">
        <v>0</v>
      </c>
      <c r="AH5" s="3">
        <v>0</v>
      </c>
      <c r="AI5" s="3">
        <v>0</v>
      </c>
      <c r="AJ5" s="3">
        <v>0</v>
      </c>
      <c r="AK5" s="3">
        <v>30</v>
      </c>
      <c r="AL5" s="3" t="s">
        <v>31</v>
      </c>
      <c r="AM5" s="3" t="s">
        <v>32</v>
      </c>
      <c r="AN5" s="3" t="s">
        <v>2001</v>
      </c>
      <c r="AO5" s="3" t="s">
        <v>1853</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row>
    <row r="6" spans="1:67" ht="15.75" customHeight="1" x14ac:dyDescent="0.2">
      <c r="A6" s="3">
        <f t="shared" si="0"/>
        <v>2004</v>
      </c>
      <c r="B6" s="3" t="s">
        <v>581</v>
      </c>
      <c r="C6" s="3" t="s">
        <v>582</v>
      </c>
      <c r="D6" s="27" t="s">
        <v>1111</v>
      </c>
      <c r="E6" s="5" t="s">
        <v>575</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0</v>
      </c>
      <c r="AG6" s="3">
        <v>0</v>
      </c>
      <c r="AH6" s="3">
        <v>0</v>
      </c>
      <c r="AI6" s="3">
        <v>0</v>
      </c>
      <c r="AJ6" s="3">
        <v>0</v>
      </c>
      <c r="AK6" s="3">
        <v>30</v>
      </c>
      <c r="AL6" s="3" t="s">
        <v>31</v>
      </c>
      <c r="AM6" s="3" t="s">
        <v>1524</v>
      </c>
      <c r="AN6" s="3" t="s">
        <v>2001</v>
      </c>
      <c r="AO6" s="3" t="s">
        <v>1853</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row>
    <row r="7" spans="1:67" ht="15.75" customHeight="1" x14ac:dyDescent="0.2">
      <c r="A7" s="3">
        <f t="shared" si="0"/>
        <v>2005</v>
      </c>
      <c r="B7" s="3" t="s">
        <v>1128</v>
      </c>
      <c r="C7" s="3" t="s">
        <v>1127</v>
      </c>
      <c r="D7" s="27" t="s">
        <v>1125</v>
      </c>
      <c r="E7" s="5" t="s">
        <v>1126</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0</v>
      </c>
      <c r="AG7" s="3">
        <v>0</v>
      </c>
      <c r="AH7" s="3">
        <v>0</v>
      </c>
      <c r="AI7" s="3">
        <v>0</v>
      </c>
      <c r="AJ7" s="3">
        <v>0</v>
      </c>
      <c r="AK7" s="3">
        <v>30</v>
      </c>
      <c r="AL7" s="3" t="s">
        <v>31</v>
      </c>
      <c r="AM7" s="3" t="s">
        <v>90</v>
      </c>
      <c r="AN7" s="3" t="s">
        <v>2001</v>
      </c>
      <c r="AO7" s="3" t="s">
        <v>1853</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row>
    <row r="8" spans="1:67" ht="15.75" customHeight="1" x14ac:dyDescent="0.2">
      <c r="A8" s="3">
        <f t="shared" si="0"/>
        <v>2006</v>
      </c>
      <c r="B8" s="3" t="s">
        <v>85</v>
      </c>
      <c r="C8" s="3" t="s">
        <v>85</v>
      </c>
      <c r="D8" s="27" t="s">
        <v>1112</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0</v>
      </c>
      <c r="AG8" s="3">
        <v>0</v>
      </c>
      <c r="AH8" s="3">
        <v>0</v>
      </c>
      <c r="AI8" s="3">
        <v>0</v>
      </c>
      <c r="AJ8" s="3">
        <v>0</v>
      </c>
      <c r="AK8" s="3">
        <v>30</v>
      </c>
      <c r="AL8" s="3" t="s">
        <v>31</v>
      </c>
      <c r="AM8" s="3" t="s">
        <v>32</v>
      </c>
      <c r="AN8" s="3" t="s">
        <v>2001</v>
      </c>
      <c r="AO8" s="3" t="s">
        <v>1853</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row>
    <row r="9" spans="1:67" s="9" customFormat="1" ht="15.75" customHeight="1" x14ac:dyDescent="0.2">
      <c r="A9" s="3">
        <f t="shared" si="0"/>
        <v>2007</v>
      </c>
      <c r="B9" s="7" t="s">
        <v>389</v>
      </c>
      <c r="C9" s="7" t="s">
        <v>304</v>
      </c>
      <c r="D9" s="28" t="s">
        <v>1113</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2001</v>
      </c>
      <c r="AO9" s="7" t="s">
        <v>1853</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row>
    <row r="10" spans="1:67" s="9" customFormat="1" ht="15.75" customHeight="1" x14ac:dyDescent="0.2">
      <c r="A10" s="3">
        <f t="shared" si="0"/>
        <v>2008</v>
      </c>
      <c r="B10" s="7" t="s">
        <v>33</v>
      </c>
      <c r="C10" s="7" t="s">
        <v>62</v>
      </c>
      <c r="D10" s="28"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2001</v>
      </c>
      <c r="AO10" s="7" t="s">
        <v>1853</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row>
    <row r="11" spans="1:67" ht="15.75" customHeight="1" x14ac:dyDescent="0.2">
      <c r="A11" s="3">
        <f t="shared" si="0"/>
        <v>2009</v>
      </c>
      <c r="B11" s="3" t="s">
        <v>929</v>
      </c>
      <c r="C11" s="3" t="s">
        <v>485</v>
      </c>
      <c r="D11" s="27" t="s">
        <v>486</v>
      </c>
      <c r="E11" s="5" t="s">
        <v>842</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0</v>
      </c>
      <c r="AG11" s="3">
        <v>0</v>
      </c>
      <c r="AH11" s="3">
        <v>0</v>
      </c>
      <c r="AI11" s="3">
        <v>0</v>
      </c>
      <c r="AJ11" s="3">
        <v>0</v>
      </c>
      <c r="AK11" s="3">
        <v>30</v>
      </c>
      <c r="AL11" s="3" t="s">
        <v>157</v>
      </c>
      <c r="AM11" s="3" t="s">
        <v>32</v>
      </c>
      <c r="AN11" s="3" t="s">
        <v>2001</v>
      </c>
      <c r="AO11" s="3" t="s">
        <v>1853</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row>
    <row r="12" spans="1:67" ht="15.75" customHeight="1" x14ac:dyDescent="0.2">
      <c r="A12" s="3">
        <f t="shared" si="0"/>
        <v>2010</v>
      </c>
      <c r="B12" s="3" t="s">
        <v>932</v>
      </c>
      <c r="C12" s="3" t="s">
        <v>556</v>
      </c>
      <c r="D12" s="27" t="s">
        <v>1107</v>
      </c>
      <c r="E12" s="5" t="s">
        <v>555</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0</v>
      </c>
      <c r="AG12" s="3">
        <v>0</v>
      </c>
      <c r="AH12" s="3">
        <v>0</v>
      </c>
      <c r="AI12" s="3">
        <v>0</v>
      </c>
      <c r="AJ12" s="3">
        <v>0</v>
      </c>
      <c r="AK12" s="3">
        <v>30</v>
      </c>
      <c r="AL12" s="3" t="s">
        <v>157</v>
      </c>
      <c r="AM12" s="3" t="s">
        <v>90</v>
      </c>
      <c r="AN12" s="3" t="s">
        <v>2001</v>
      </c>
      <c r="AO12" s="3" t="s">
        <v>1853</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row>
    <row r="13" spans="1:67" ht="15.75" customHeight="1" x14ac:dyDescent="0.2">
      <c r="A13" s="3">
        <f t="shared" si="0"/>
        <v>2011</v>
      </c>
      <c r="B13" s="3" t="s">
        <v>1106</v>
      </c>
      <c r="C13" s="3" t="s">
        <v>400</v>
      </c>
      <c r="D13" s="27" t="s">
        <v>443</v>
      </c>
      <c r="E13" s="5" t="s">
        <v>402</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0</v>
      </c>
      <c r="AF13" s="3">
        <v>0</v>
      </c>
      <c r="AG13" s="3">
        <v>0</v>
      </c>
      <c r="AH13" s="3">
        <v>0</v>
      </c>
      <c r="AI13" s="3">
        <v>0</v>
      </c>
      <c r="AJ13" s="3">
        <v>0</v>
      </c>
      <c r="AK13" s="3">
        <v>40</v>
      </c>
      <c r="AL13" s="3" t="s">
        <v>31</v>
      </c>
      <c r="AM13" s="3" t="s">
        <v>1426</v>
      </c>
      <c r="AN13" s="3" t="s">
        <v>2002</v>
      </c>
      <c r="AO13" s="3" t="s">
        <v>1853</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row>
    <row r="14" spans="1:67" s="9" customFormat="1" ht="15.75" customHeight="1" x14ac:dyDescent="0.2">
      <c r="A14" s="3">
        <f t="shared" si="0"/>
        <v>2012</v>
      </c>
      <c r="B14" s="7" t="s">
        <v>84</v>
      </c>
      <c r="C14" s="7" t="s">
        <v>626</v>
      </c>
      <c r="D14" s="28" t="s">
        <v>444</v>
      </c>
      <c r="E14" s="8" t="s">
        <v>843</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2001</v>
      </c>
      <c r="AO14" s="7" t="s">
        <v>1853</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row>
    <row r="15" spans="1:67" ht="15.75" customHeight="1" x14ac:dyDescent="0.2">
      <c r="A15" s="3">
        <f t="shared" si="0"/>
        <v>2013</v>
      </c>
      <c r="B15" s="3" t="s">
        <v>223</v>
      </c>
      <c r="C15" s="3" t="s">
        <v>223</v>
      </c>
      <c r="D15" s="27"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0</v>
      </c>
      <c r="AG15" s="3">
        <v>0</v>
      </c>
      <c r="AH15" s="3">
        <v>0</v>
      </c>
      <c r="AI15" s="3">
        <v>0</v>
      </c>
      <c r="AJ15" s="3">
        <v>0</v>
      </c>
      <c r="AK15" s="3">
        <v>30</v>
      </c>
      <c r="AL15" s="3" t="s">
        <v>31</v>
      </c>
      <c r="AM15" s="3" t="s">
        <v>90</v>
      </c>
      <c r="AN15" s="3" t="s">
        <v>2001</v>
      </c>
      <c r="AO15" s="3" t="s">
        <v>1853</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row>
    <row r="16" spans="1:67" ht="15.75" customHeight="1" x14ac:dyDescent="0.2">
      <c r="A16" s="3">
        <f t="shared" si="0"/>
        <v>2014</v>
      </c>
      <c r="B16" s="3" t="s">
        <v>1318</v>
      </c>
      <c r="C16" s="3" t="s">
        <v>1315</v>
      </c>
      <c r="D16" s="27" t="s">
        <v>1316</v>
      </c>
      <c r="E16" s="5" t="s">
        <v>1317</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0</v>
      </c>
      <c r="AG16" s="3">
        <v>0</v>
      </c>
      <c r="AH16" s="3">
        <v>0</v>
      </c>
      <c r="AI16" s="3">
        <v>0</v>
      </c>
      <c r="AJ16" s="3">
        <v>0</v>
      </c>
      <c r="AK16" s="3">
        <v>30</v>
      </c>
      <c r="AL16" s="3" t="s">
        <v>31</v>
      </c>
      <c r="AM16" s="3" t="s">
        <v>90</v>
      </c>
      <c r="AN16" s="3" t="s">
        <v>2001</v>
      </c>
      <c r="AO16" s="3" t="s">
        <v>1853</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row>
    <row r="17" spans="1:67" ht="15.75" customHeight="1" x14ac:dyDescent="0.2">
      <c r="A17" s="3">
        <f t="shared" si="0"/>
        <v>2015</v>
      </c>
      <c r="B17" s="3" t="s">
        <v>380</v>
      </c>
      <c r="C17" s="3" t="s">
        <v>226</v>
      </c>
      <c r="D17" s="27"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0</v>
      </c>
      <c r="AG17" s="3">
        <v>0</v>
      </c>
      <c r="AH17" s="3">
        <v>0</v>
      </c>
      <c r="AI17" s="3">
        <v>0</v>
      </c>
      <c r="AJ17" s="3">
        <v>0</v>
      </c>
      <c r="AK17" s="3">
        <v>30</v>
      </c>
      <c r="AL17" s="3" t="s">
        <v>31</v>
      </c>
      <c r="AM17" s="3" t="s">
        <v>90</v>
      </c>
      <c r="AN17" s="3" t="s">
        <v>2001</v>
      </c>
      <c r="AO17" s="3" t="s">
        <v>1853</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row>
    <row r="18" spans="1:67" ht="15.75" customHeight="1" x14ac:dyDescent="0.2">
      <c r="A18" s="3">
        <f t="shared" si="0"/>
        <v>2016</v>
      </c>
      <c r="B18" s="3" t="s">
        <v>632</v>
      </c>
      <c r="C18" s="3" t="s">
        <v>530</v>
      </c>
      <c r="D18" s="27" t="s">
        <v>553</v>
      </c>
      <c r="E18" s="5" t="s">
        <v>531</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0</v>
      </c>
      <c r="AG18" s="3">
        <v>0</v>
      </c>
      <c r="AH18" s="3">
        <v>0</v>
      </c>
      <c r="AI18" s="3">
        <v>0</v>
      </c>
      <c r="AJ18" s="3">
        <v>0</v>
      </c>
      <c r="AK18" s="3">
        <v>30</v>
      </c>
      <c r="AL18" s="3" t="s">
        <v>31</v>
      </c>
      <c r="AM18" s="3" t="s">
        <v>90</v>
      </c>
      <c r="AN18" s="3" t="s">
        <v>2001</v>
      </c>
      <c r="AO18" s="3" t="s">
        <v>1853</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row>
    <row r="19" spans="1:67" ht="15.75" customHeight="1" x14ac:dyDescent="0.2">
      <c r="A19" s="3">
        <f t="shared" si="0"/>
        <v>2017</v>
      </c>
      <c r="B19" s="3" t="s">
        <v>633</v>
      </c>
      <c r="C19" s="3" t="s">
        <v>532</v>
      </c>
      <c r="D19" s="27" t="s">
        <v>549</v>
      </c>
      <c r="E19" s="5" t="s">
        <v>533</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0</v>
      </c>
      <c r="AG19" s="3">
        <v>0</v>
      </c>
      <c r="AH19" s="3">
        <v>0</v>
      </c>
      <c r="AI19" s="3">
        <v>0</v>
      </c>
      <c r="AJ19" s="3">
        <v>0</v>
      </c>
      <c r="AK19" s="3">
        <v>30</v>
      </c>
      <c r="AL19" s="3" t="s">
        <v>31</v>
      </c>
      <c r="AM19" s="3" t="s">
        <v>90</v>
      </c>
      <c r="AN19" s="3" t="s">
        <v>2001</v>
      </c>
      <c r="AO19" s="3" t="s">
        <v>1853</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row>
    <row r="20" spans="1:67" ht="15.75" customHeight="1" x14ac:dyDescent="0.2">
      <c r="A20" s="3">
        <f t="shared" si="0"/>
        <v>2018</v>
      </c>
      <c r="B20" s="3" t="s">
        <v>634</v>
      </c>
      <c r="C20" s="3" t="s">
        <v>535</v>
      </c>
      <c r="D20" s="27" t="s">
        <v>534</v>
      </c>
      <c r="E20" s="5" t="s">
        <v>536</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0</v>
      </c>
      <c r="AG20" s="3">
        <v>0</v>
      </c>
      <c r="AH20" s="3">
        <v>0</v>
      </c>
      <c r="AI20" s="3">
        <v>0</v>
      </c>
      <c r="AJ20" s="3">
        <v>0</v>
      </c>
      <c r="AK20" s="3">
        <v>30</v>
      </c>
      <c r="AL20" s="3" t="s">
        <v>31</v>
      </c>
      <c r="AM20" s="3" t="s">
        <v>90</v>
      </c>
      <c r="AN20" s="3" t="s">
        <v>2001</v>
      </c>
      <c r="AO20" s="3" t="s">
        <v>1853</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row>
    <row r="21" spans="1:67" ht="15.75" customHeight="1" x14ac:dyDescent="0.2">
      <c r="A21" s="3">
        <f t="shared" si="0"/>
        <v>2019</v>
      </c>
      <c r="B21" s="3" t="s">
        <v>635</v>
      </c>
      <c r="C21" s="3" t="s">
        <v>537</v>
      </c>
      <c r="D21" s="27" t="s">
        <v>554</v>
      </c>
      <c r="E21" s="5" t="s">
        <v>538</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0</v>
      </c>
      <c r="AG21" s="3">
        <v>0</v>
      </c>
      <c r="AH21" s="3">
        <v>0</v>
      </c>
      <c r="AI21" s="3">
        <v>0</v>
      </c>
      <c r="AJ21" s="3">
        <v>0</v>
      </c>
      <c r="AK21" s="3">
        <v>30</v>
      </c>
      <c r="AL21" s="3" t="s">
        <v>31</v>
      </c>
      <c r="AM21" s="3" t="s">
        <v>90</v>
      </c>
      <c r="AN21" s="3" t="s">
        <v>2001</v>
      </c>
      <c r="AO21" s="3" t="s">
        <v>1853</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row>
    <row r="22" spans="1:67" ht="15.75" customHeight="1" x14ac:dyDescent="0.2">
      <c r="A22" s="3">
        <f t="shared" si="0"/>
        <v>2020</v>
      </c>
      <c r="B22" s="3" t="s">
        <v>636</v>
      </c>
      <c r="C22" s="3" t="s">
        <v>539</v>
      </c>
      <c r="D22" s="27" t="s">
        <v>550</v>
      </c>
      <c r="E22" s="5" t="s">
        <v>540</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0</v>
      </c>
      <c r="AG22" s="3">
        <v>0</v>
      </c>
      <c r="AH22" s="3">
        <v>0</v>
      </c>
      <c r="AI22" s="3">
        <v>0</v>
      </c>
      <c r="AJ22" s="3">
        <v>0</v>
      </c>
      <c r="AK22" s="3">
        <v>30</v>
      </c>
      <c r="AL22" s="3" t="s">
        <v>31</v>
      </c>
      <c r="AM22" s="3" t="s">
        <v>90</v>
      </c>
      <c r="AN22" s="3" t="s">
        <v>2001</v>
      </c>
      <c r="AO22" s="3" t="s">
        <v>1853</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row>
    <row r="23" spans="1:67" ht="15.75" customHeight="1" x14ac:dyDescent="0.2">
      <c r="A23" s="3">
        <f t="shared" si="0"/>
        <v>2021</v>
      </c>
      <c r="B23" s="3" t="s">
        <v>639</v>
      </c>
      <c r="C23" s="3" t="s">
        <v>638</v>
      </c>
      <c r="D23" s="27" t="s">
        <v>640</v>
      </c>
      <c r="E23" s="5" t="s">
        <v>641</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0</v>
      </c>
      <c r="AG23" s="3">
        <v>0</v>
      </c>
      <c r="AH23" s="3">
        <v>0</v>
      </c>
      <c r="AI23" s="3">
        <v>0</v>
      </c>
      <c r="AJ23" s="3">
        <v>0</v>
      </c>
      <c r="AK23" s="3">
        <v>30</v>
      </c>
      <c r="AL23" s="3" t="s">
        <v>31</v>
      </c>
      <c r="AM23" s="3" t="s">
        <v>90</v>
      </c>
      <c r="AN23" s="3" t="s">
        <v>2001</v>
      </c>
      <c r="AO23" s="3" t="s">
        <v>1853</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row>
    <row r="24" spans="1:67" ht="15.75" customHeight="1" x14ac:dyDescent="0.2">
      <c r="A24" s="3">
        <f t="shared" si="0"/>
        <v>2022</v>
      </c>
      <c r="B24" s="3" t="s">
        <v>580</v>
      </c>
      <c r="C24" s="3" t="s">
        <v>541</v>
      </c>
      <c r="D24" s="27" t="s">
        <v>551</v>
      </c>
      <c r="E24" s="5" t="s">
        <v>542</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0</v>
      </c>
      <c r="AG24" s="3">
        <v>0</v>
      </c>
      <c r="AH24" s="3">
        <v>0</v>
      </c>
      <c r="AI24" s="3">
        <v>0</v>
      </c>
      <c r="AJ24" s="3">
        <v>0</v>
      </c>
      <c r="AK24" s="3">
        <v>30</v>
      </c>
      <c r="AL24" s="3" t="s">
        <v>31</v>
      </c>
      <c r="AM24" s="3" t="s">
        <v>90</v>
      </c>
      <c r="AN24" s="3" t="s">
        <v>2001</v>
      </c>
      <c r="AO24" s="3" t="s">
        <v>1853</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row>
    <row r="25" spans="1:67" ht="15.75" customHeight="1" x14ac:dyDescent="0.2">
      <c r="A25" s="3">
        <f t="shared" si="0"/>
        <v>2023</v>
      </c>
      <c r="B25" s="3" t="s">
        <v>3476</v>
      </c>
      <c r="C25" s="3" t="s">
        <v>3462</v>
      </c>
      <c r="D25" s="27" t="s">
        <v>3461</v>
      </c>
      <c r="E25" s="5" t="s">
        <v>3463</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0</v>
      </c>
      <c r="AG25" s="3">
        <v>0</v>
      </c>
      <c r="AH25" s="3">
        <v>0</v>
      </c>
      <c r="AI25" s="3">
        <v>0</v>
      </c>
      <c r="AJ25" s="3">
        <v>0</v>
      </c>
      <c r="AK25" s="3">
        <v>30</v>
      </c>
      <c r="AL25" s="3" t="s">
        <v>31</v>
      </c>
      <c r="AM25" s="3" t="s">
        <v>90</v>
      </c>
      <c r="AN25" s="3" t="s">
        <v>2001</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13</v>
      </c>
      <c r="BK25">
        <v>1</v>
      </c>
      <c r="BL25">
        <v>30</v>
      </c>
      <c r="BM25">
        <v>0</v>
      </c>
      <c r="BN25">
        <v>0</v>
      </c>
      <c r="BO25">
        <v>0</v>
      </c>
    </row>
    <row r="26" spans="1:67" ht="15.75" customHeight="1" x14ac:dyDescent="0.2">
      <c r="A26" s="3">
        <f t="shared" si="0"/>
        <v>2024</v>
      </c>
      <c r="B26" s="3" t="s">
        <v>390</v>
      </c>
      <c r="C26" s="3" t="s">
        <v>229</v>
      </c>
      <c r="D26" s="27" t="s">
        <v>552</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0</v>
      </c>
      <c r="AG26" s="3">
        <v>0</v>
      </c>
      <c r="AH26" s="3">
        <v>0</v>
      </c>
      <c r="AI26" s="3">
        <v>0</v>
      </c>
      <c r="AJ26" s="3">
        <v>0</v>
      </c>
      <c r="AK26" s="3">
        <v>30</v>
      </c>
      <c r="AL26" s="3" t="s">
        <v>31</v>
      </c>
      <c r="AM26" s="3" t="s">
        <v>90</v>
      </c>
      <c r="AN26" s="3" t="s">
        <v>2001</v>
      </c>
      <c r="AO26" s="3" t="s">
        <v>1853</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row>
    <row r="27" spans="1:67" ht="15.75" customHeight="1" x14ac:dyDescent="0.2">
      <c r="A27" s="3">
        <f t="shared" si="0"/>
        <v>2025</v>
      </c>
      <c r="B27" s="3" t="s">
        <v>933</v>
      </c>
      <c r="C27" s="3" t="s">
        <v>655</v>
      </c>
      <c r="D27" s="27" t="s">
        <v>656</v>
      </c>
      <c r="E27" s="5" t="s">
        <v>657</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0</v>
      </c>
      <c r="AF27" s="3">
        <v>0</v>
      </c>
      <c r="AG27" s="3">
        <v>0</v>
      </c>
      <c r="AH27" s="3">
        <v>0</v>
      </c>
      <c r="AI27" s="3">
        <v>0</v>
      </c>
      <c r="AJ27" s="3">
        <v>0</v>
      </c>
      <c r="AK27" s="3">
        <v>30</v>
      </c>
      <c r="AL27" s="3" t="s">
        <v>31</v>
      </c>
      <c r="AM27" s="3" t="s">
        <v>90</v>
      </c>
      <c r="AN27" s="3" t="s">
        <v>2001</v>
      </c>
      <c r="AO27" s="3" t="s">
        <v>1853</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0</v>
      </c>
      <c r="BO27">
        <v>0</v>
      </c>
    </row>
    <row r="28" spans="1:67" ht="15.75" customHeight="1" x14ac:dyDescent="0.2">
      <c r="A28" s="3">
        <f t="shared" si="0"/>
        <v>2026</v>
      </c>
      <c r="B28" s="3" t="s">
        <v>1473</v>
      </c>
      <c r="C28" s="3" t="s">
        <v>1456</v>
      </c>
      <c r="D28" s="27" t="s">
        <v>1455</v>
      </c>
      <c r="E28" s="5" t="s">
        <v>1457</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0</v>
      </c>
      <c r="AF28" s="3">
        <v>0</v>
      </c>
      <c r="AG28" s="3">
        <v>0</v>
      </c>
      <c r="AH28" s="3">
        <v>0</v>
      </c>
      <c r="AI28" s="3">
        <v>0</v>
      </c>
      <c r="AJ28" s="3">
        <v>0</v>
      </c>
      <c r="AK28" s="3">
        <v>30</v>
      </c>
      <c r="AL28" s="3" t="s">
        <v>31</v>
      </c>
      <c r="AM28" s="3" t="s">
        <v>90</v>
      </c>
      <c r="AN28" s="3" t="s">
        <v>2001</v>
      </c>
      <c r="AO28" s="3" t="s">
        <v>1853</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0</v>
      </c>
      <c r="BO28">
        <v>0</v>
      </c>
    </row>
    <row r="29" spans="1:67" ht="15.75" customHeight="1" x14ac:dyDescent="0.2">
      <c r="A29" s="3">
        <f t="shared" si="0"/>
        <v>2027</v>
      </c>
      <c r="B29" s="3" t="s">
        <v>1474</v>
      </c>
      <c r="C29" s="3" t="s">
        <v>1459</v>
      </c>
      <c r="D29" s="27" t="s">
        <v>1458</v>
      </c>
      <c r="E29" s="5" t="s">
        <v>1460</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0</v>
      </c>
      <c r="AF29" s="3">
        <v>0</v>
      </c>
      <c r="AG29" s="3">
        <v>0</v>
      </c>
      <c r="AH29" s="3">
        <v>0</v>
      </c>
      <c r="AI29" s="3">
        <v>0</v>
      </c>
      <c r="AJ29" s="3">
        <v>0</v>
      </c>
      <c r="AK29" s="3">
        <v>30</v>
      </c>
      <c r="AL29" s="3" t="s">
        <v>31</v>
      </c>
      <c r="AM29" s="3" t="s">
        <v>90</v>
      </c>
      <c r="AN29" s="3" t="s">
        <v>2001</v>
      </c>
      <c r="AO29" s="3" t="s">
        <v>1853</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0</v>
      </c>
      <c r="BO29">
        <v>0</v>
      </c>
    </row>
    <row r="30" spans="1:67" ht="15.75" customHeight="1" x14ac:dyDescent="0.2">
      <c r="A30" s="3">
        <f t="shared" si="0"/>
        <v>2028</v>
      </c>
      <c r="B30" s="3" t="s">
        <v>391</v>
      </c>
      <c r="C30" s="3" t="s">
        <v>300</v>
      </c>
      <c r="D30" s="27"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0</v>
      </c>
      <c r="AF30" s="3">
        <v>0</v>
      </c>
      <c r="AG30" s="3">
        <v>0</v>
      </c>
      <c r="AH30" s="3">
        <v>0</v>
      </c>
      <c r="AI30" s="3">
        <v>0</v>
      </c>
      <c r="AJ30" s="3">
        <v>0</v>
      </c>
      <c r="AK30" s="3">
        <v>30</v>
      </c>
      <c r="AL30" s="3" t="s">
        <v>31</v>
      </c>
      <c r="AM30" s="3" t="s">
        <v>90</v>
      </c>
      <c r="AN30" s="3" t="s">
        <v>2001</v>
      </c>
      <c r="AO30" s="3" t="s">
        <v>1854</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row>
    <row r="31" spans="1:67" ht="15.75" customHeight="1" x14ac:dyDescent="0.2">
      <c r="A31" s="3">
        <f t="shared" si="0"/>
        <v>2029</v>
      </c>
      <c r="B31" s="3" t="s">
        <v>1827</v>
      </c>
      <c r="C31" s="3" t="s">
        <v>1827</v>
      </c>
      <c r="D31" s="27" t="s">
        <v>1849</v>
      </c>
      <c r="E31" s="5" t="s">
        <v>1828</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0</v>
      </c>
      <c r="AF31" s="3">
        <v>0</v>
      </c>
      <c r="AG31" s="3">
        <v>0</v>
      </c>
      <c r="AH31" s="3">
        <v>0</v>
      </c>
      <c r="AI31" s="3">
        <v>0</v>
      </c>
      <c r="AJ31" s="3">
        <v>0</v>
      </c>
      <c r="AK31" s="3">
        <v>30</v>
      </c>
      <c r="AL31" s="3" t="s">
        <v>31</v>
      </c>
      <c r="AM31" s="3" t="s">
        <v>90</v>
      </c>
      <c r="AN31" s="3" t="s">
        <v>2001</v>
      </c>
      <c r="AO31" s="3" t="s">
        <v>1853</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row>
    <row r="32" spans="1:67" ht="15.75" customHeight="1" x14ac:dyDescent="0.2">
      <c r="A32" s="3">
        <f t="shared" si="0"/>
        <v>2030</v>
      </c>
      <c r="B32" s="3" t="s">
        <v>1850</v>
      </c>
      <c r="C32" s="3" t="s">
        <v>1834</v>
      </c>
      <c r="D32" s="27" t="s">
        <v>1833</v>
      </c>
      <c r="E32" s="5" t="s">
        <v>1835</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0</v>
      </c>
      <c r="AF32" s="3">
        <v>0</v>
      </c>
      <c r="AG32" s="3">
        <v>0</v>
      </c>
      <c r="AH32" s="3">
        <v>0</v>
      </c>
      <c r="AI32" s="3">
        <v>0</v>
      </c>
      <c r="AJ32" s="3">
        <v>0</v>
      </c>
      <c r="AK32" s="3">
        <v>30</v>
      </c>
      <c r="AL32" s="3" t="s">
        <v>31</v>
      </c>
      <c r="AM32" s="3" t="s">
        <v>90</v>
      </c>
      <c r="AN32" s="3" t="s">
        <v>2001</v>
      </c>
      <c r="AO32" s="3" t="s">
        <v>1853</v>
      </c>
      <c r="AP32" s="3">
        <v>30</v>
      </c>
      <c r="AQ32" s="3">
        <v>1.5</v>
      </c>
      <c r="AR32">
        <v>200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row>
    <row r="33" spans="1:67" s="9" customFormat="1" ht="15.75" customHeight="1" x14ac:dyDescent="0.2">
      <c r="A33" s="7">
        <f t="shared" si="0"/>
        <v>2031</v>
      </c>
      <c r="B33" s="7" t="s">
        <v>391</v>
      </c>
      <c r="C33" s="7" t="s">
        <v>1842</v>
      </c>
      <c r="D33" s="28" t="s">
        <v>1841</v>
      </c>
      <c r="E33" s="8" t="s">
        <v>1843</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2001</v>
      </c>
      <c r="AO33" s="7" t="s">
        <v>1853</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1</v>
      </c>
      <c r="BJ33" s="9">
        <v>515</v>
      </c>
      <c r="BK33" s="9">
        <v>2</v>
      </c>
      <c r="BL33" s="9">
        <v>30</v>
      </c>
      <c r="BM33" s="9">
        <v>0</v>
      </c>
      <c r="BN33" s="9">
        <v>0</v>
      </c>
      <c r="BO33" s="9">
        <v>1</v>
      </c>
    </row>
    <row r="34" spans="1:67" ht="15.75" customHeight="1" x14ac:dyDescent="0.2">
      <c r="A34" s="3">
        <f t="shared" si="0"/>
        <v>2032</v>
      </c>
      <c r="B34" s="3" t="s">
        <v>327</v>
      </c>
      <c r="C34" s="3" t="s">
        <v>327</v>
      </c>
      <c r="D34" s="27"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0</v>
      </c>
      <c r="AF34" s="3">
        <v>0</v>
      </c>
      <c r="AG34" s="3">
        <v>0</v>
      </c>
      <c r="AH34" s="3">
        <v>0</v>
      </c>
      <c r="AI34" s="3">
        <v>0</v>
      </c>
      <c r="AJ34" s="3">
        <v>0</v>
      </c>
      <c r="AK34" s="3">
        <v>30</v>
      </c>
      <c r="AL34" s="3" t="s">
        <v>31</v>
      </c>
      <c r="AM34" s="3" t="s">
        <v>90</v>
      </c>
      <c r="AN34" s="3" t="s">
        <v>2001</v>
      </c>
      <c r="AO34" s="3" t="s">
        <v>1853</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row>
    <row r="35" spans="1:67" ht="15.75" customHeight="1" x14ac:dyDescent="0.2">
      <c r="A35" s="3">
        <f t="shared" si="0"/>
        <v>2033</v>
      </c>
      <c r="B35" s="3" t="s">
        <v>360</v>
      </c>
      <c r="C35" s="3" t="s">
        <v>299</v>
      </c>
      <c r="D35" s="27" t="s">
        <v>298</v>
      </c>
      <c r="E35" s="5" t="s">
        <v>442</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0</v>
      </c>
      <c r="AG35" s="3">
        <v>0</v>
      </c>
      <c r="AH35" s="3">
        <v>0</v>
      </c>
      <c r="AI35" s="3">
        <v>0</v>
      </c>
      <c r="AJ35" s="3">
        <v>0</v>
      </c>
      <c r="AK35" s="3">
        <v>30</v>
      </c>
      <c r="AL35" s="3" t="s">
        <v>31</v>
      </c>
      <c r="AM35" s="3" t="s">
        <v>32</v>
      </c>
      <c r="AN35" s="3" t="s">
        <v>2001</v>
      </c>
      <c r="AO35" s="3" t="s">
        <v>1853</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row>
    <row r="36" spans="1:67" ht="15.75" customHeight="1" x14ac:dyDescent="0.2">
      <c r="A36" s="3">
        <f t="shared" si="0"/>
        <v>2034</v>
      </c>
      <c r="B36" s="3" t="s">
        <v>414</v>
      </c>
      <c r="C36" s="3" t="s">
        <v>414</v>
      </c>
      <c r="D36" s="27" t="s">
        <v>415</v>
      </c>
      <c r="E36" s="5" t="s">
        <v>914</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0</v>
      </c>
      <c r="AG36" s="3">
        <v>0</v>
      </c>
      <c r="AH36" s="3">
        <v>0</v>
      </c>
      <c r="AI36" s="3">
        <v>0</v>
      </c>
      <c r="AJ36" s="3">
        <v>0</v>
      </c>
      <c r="AK36" s="3">
        <v>30</v>
      </c>
      <c r="AL36" s="3" t="s">
        <v>157</v>
      </c>
      <c r="AM36" s="3" t="s">
        <v>32</v>
      </c>
      <c r="AN36" s="3" t="s">
        <v>2001</v>
      </c>
      <c r="AO36" s="3" t="s">
        <v>1853</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row>
    <row r="37" spans="1:67" ht="15.75" customHeight="1" x14ac:dyDescent="0.2">
      <c r="A37" s="3">
        <f t="shared" si="0"/>
        <v>2035</v>
      </c>
      <c r="B37" s="3" t="s">
        <v>3104</v>
      </c>
      <c r="C37" s="3" t="s">
        <v>2381</v>
      </c>
      <c r="D37" s="27" t="s">
        <v>2380</v>
      </c>
      <c r="E37" s="5" t="s">
        <v>2382</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30</v>
      </c>
      <c r="AL37" s="3" t="s">
        <v>31</v>
      </c>
      <c r="AM37" s="3" t="s">
        <v>90</v>
      </c>
      <c r="AN37" s="3" t="s">
        <v>2001</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row>
    <row r="38" spans="1:67" ht="15.75" customHeight="1" x14ac:dyDescent="0.2">
      <c r="A38" s="3">
        <f t="shared" si="0"/>
        <v>2036</v>
      </c>
      <c r="B38" s="3" t="s">
        <v>1543</v>
      </c>
      <c r="C38" s="3" t="s">
        <v>1528</v>
      </c>
      <c r="D38" s="27" t="s">
        <v>1529</v>
      </c>
      <c r="E38" s="5" t="s">
        <v>1533</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0</v>
      </c>
      <c r="AG38" s="3">
        <v>0</v>
      </c>
      <c r="AH38" s="3">
        <v>0</v>
      </c>
      <c r="AI38" s="3">
        <v>0</v>
      </c>
      <c r="AJ38" s="3">
        <v>0</v>
      </c>
      <c r="AK38" s="3">
        <v>30</v>
      </c>
      <c r="AL38" s="3" t="s">
        <v>157</v>
      </c>
      <c r="AM38" s="3" t="s">
        <v>32</v>
      </c>
      <c r="AN38" s="3" t="s">
        <v>2001</v>
      </c>
      <c r="AO38" s="3" t="s">
        <v>1853</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row>
    <row r="39" spans="1:67" ht="15.75" customHeight="1" x14ac:dyDescent="0.2">
      <c r="A39" s="3">
        <f t="shared" si="0"/>
        <v>2037</v>
      </c>
      <c r="B39" s="3" t="s">
        <v>1542</v>
      </c>
      <c r="C39" s="3" t="s">
        <v>1530</v>
      </c>
      <c r="D39" s="27" t="s">
        <v>1531</v>
      </c>
      <c r="E39" s="5" t="s">
        <v>1532</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0</v>
      </c>
      <c r="AG39" s="3">
        <v>0</v>
      </c>
      <c r="AH39" s="3">
        <v>0</v>
      </c>
      <c r="AI39" s="3">
        <v>0</v>
      </c>
      <c r="AJ39" s="3">
        <v>0</v>
      </c>
      <c r="AK39" s="3">
        <v>30</v>
      </c>
      <c r="AL39" s="3" t="s">
        <v>157</v>
      </c>
      <c r="AM39" s="3" t="s">
        <v>32</v>
      </c>
      <c r="AN39" s="3" t="s">
        <v>2001</v>
      </c>
      <c r="AO39" s="3" t="s">
        <v>1853</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row>
    <row r="40" spans="1:67" ht="15.75" customHeight="1" x14ac:dyDescent="0.2">
      <c r="A40" s="3">
        <f t="shared" si="0"/>
        <v>2038</v>
      </c>
      <c r="B40" s="3" t="s">
        <v>84</v>
      </c>
      <c r="C40" s="3" t="s">
        <v>2235</v>
      </c>
      <c r="D40" s="27" t="s">
        <v>2236</v>
      </c>
      <c r="E40" s="5" t="s">
        <v>2264</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0</v>
      </c>
      <c r="AG40" s="3">
        <v>0</v>
      </c>
      <c r="AH40" s="3">
        <v>0</v>
      </c>
      <c r="AI40" s="3">
        <v>0</v>
      </c>
      <c r="AJ40" s="3">
        <v>0</v>
      </c>
      <c r="AK40" s="3">
        <v>30</v>
      </c>
      <c r="AL40" s="3" t="s">
        <v>157</v>
      </c>
      <c r="AM40" s="3" t="s">
        <v>32</v>
      </c>
      <c r="AN40" s="3" t="s">
        <v>2282</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row>
    <row r="41" spans="1:67" ht="15.75" customHeight="1" x14ac:dyDescent="0.2">
      <c r="A41" s="3">
        <f t="shared" si="0"/>
        <v>2039</v>
      </c>
      <c r="B41" s="3" t="s">
        <v>2229</v>
      </c>
      <c r="C41" s="3" t="s">
        <v>2229</v>
      </c>
      <c r="D41" s="27" t="s">
        <v>2230</v>
      </c>
      <c r="E41" s="5" t="s">
        <v>2263</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0</v>
      </c>
      <c r="AG41" s="3">
        <v>0</v>
      </c>
      <c r="AH41" s="3">
        <v>0</v>
      </c>
      <c r="AI41" s="3">
        <v>0</v>
      </c>
      <c r="AJ41" s="3">
        <v>0</v>
      </c>
      <c r="AK41" s="3">
        <v>30</v>
      </c>
      <c r="AL41" s="3" t="s">
        <v>31</v>
      </c>
      <c r="AM41" s="3" t="s">
        <v>32</v>
      </c>
      <c r="AN41" s="3" t="s">
        <v>2282</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row>
    <row r="42" spans="1:67" ht="15.75" customHeight="1" x14ac:dyDescent="0.2">
      <c r="A42" s="3">
        <f t="shared" si="0"/>
        <v>2040</v>
      </c>
      <c r="B42" s="3" t="s">
        <v>2232</v>
      </c>
      <c r="C42" s="3" t="s">
        <v>2232</v>
      </c>
      <c r="D42" s="27" t="s">
        <v>3105</v>
      </c>
      <c r="E42" s="5" t="s">
        <v>2261</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0</v>
      </c>
      <c r="AG42" s="3">
        <v>0</v>
      </c>
      <c r="AH42" s="3">
        <v>0</v>
      </c>
      <c r="AI42" s="3">
        <v>0</v>
      </c>
      <c r="AJ42" s="3">
        <v>0</v>
      </c>
      <c r="AK42" s="3">
        <v>30</v>
      </c>
      <c r="AL42" s="3" t="s">
        <v>31</v>
      </c>
      <c r="AM42" s="3" t="s">
        <v>32</v>
      </c>
      <c r="AN42" s="3" t="s">
        <v>2282</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row>
    <row r="43" spans="1:67" ht="15.75" customHeight="1" x14ac:dyDescent="0.2">
      <c r="A43" s="3">
        <f t="shared" si="0"/>
        <v>2041</v>
      </c>
      <c r="B43" s="3" t="s">
        <v>2234</v>
      </c>
      <c r="C43" s="3" t="s">
        <v>2234</v>
      </c>
      <c r="D43" s="27" t="s">
        <v>2233</v>
      </c>
      <c r="E43" s="5" t="s">
        <v>2262</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0</v>
      </c>
      <c r="AG43" s="3">
        <v>0</v>
      </c>
      <c r="AH43" s="3">
        <v>0</v>
      </c>
      <c r="AI43" s="3">
        <v>0</v>
      </c>
      <c r="AJ43" s="3">
        <v>0</v>
      </c>
      <c r="AK43" s="3">
        <v>30</v>
      </c>
      <c r="AL43" s="3" t="s">
        <v>31</v>
      </c>
      <c r="AM43" s="3" t="s">
        <v>32</v>
      </c>
      <c r="AN43" s="3" t="s">
        <v>2282</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row>
    <row r="44" spans="1:67" ht="15.75" customHeight="1" x14ac:dyDescent="0.2">
      <c r="A44" s="3">
        <f t="shared" si="0"/>
        <v>2042</v>
      </c>
      <c r="B44" s="3" t="s">
        <v>1543</v>
      </c>
      <c r="C44" s="3" t="s">
        <v>2237</v>
      </c>
      <c r="D44" s="27" t="s">
        <v>2238</v>
      </c>
      <c r="E44" s="5" t="s">
        <v>2239</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120</v>
      </c>
      <c r="Z44" s="3">
        <v>0</v>
      </c>
      <c r="AA44" s="3">
        <v>0</v>
      </c>
      <c r="AB44" s="3">
        <v>0</v>
      </c>
      <c r="AC44" s="3">
        <v>0</v>
      </c>
      <c r="AD44" s="3">
        <v>0</v>
      </c>
      <c r="AE44" s="3">
        <v>0</v>
      </c>
      <c r="AF44" s="3">
        <v>0</v>
      </c>
      <c r="AG44" s="3">
        <v>0</v>
      </c>
      <c r="AH44" s="3">
        <v>0</v>
      </c>
      <c r="AI44" s="3">
        <v>0</v>
      </c>
      <c r="AJ44" s="3">
        <v>0</v>
      </c>
      <c r="AK44" s="3">
        <v>30</v>
      </c>
      <c r="AL44" s="3" t="s">
        <v>31</v>
      </c>
      <c r="AM44" s="3" t="s">
        <v>32</v>
      </c>
      <c r="AN44" s="3" t="s">
        <v>2282</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row>
    <row r="45" spans="1:67" ht="15.75" customHeight="1" x14ac:dyDescent="0.2">
      <c r="A45" s="3">
        <f t="shared" si="0"/>
        <v>2043</v>
      </c>
      <c r="B45" s="3" t="s">
        <v>1542</v>
      </c>
      <c r="C45" s="3" t="s">
        <v>2259</v>
      </c>
      <c r="D45" s="27" t="s">
        <v>2240</v>
      </c>
      <c r="E45" s="5" t="s">
        <v>2265</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200</v>
      </c>
      <c r="Z45" s="3">
        <v>0</v>
      </c>
      <c r="AA45" s="3">
        <v>0</v>
      </c>
      <c r="AB45" s="3">
        <v>0</v>
      </c>
      <c r="AC45" s="3">
        <v>0</v>
      </c>
      <c r="AD45" s="3">
        <v>0</v>
      </c>
      <c r="AE45" s="3">
        <v>0</v>
      </c>
      <c r="AF45" s="3">
        <v>0</v>
      </c>
      <c r="AG45" s="3">
        <v>0</v>
      </c>
      <c r="AH45" s="3">
        <v>0</v>
      </c>
      <c r="AI45" s="3">
        <v>0</v>
      </c>
      <c r="AJ45" s="3">
        <v>0</v>
      </c>
      <c r="AK45" s="3">
        <v>30</v>
      </c>
      <c r="AL45" s="3" t="s">
        <v>31</v>
      </c>
      <c r="AM45" s="3" t="s">
        <v>1426</v>
      </c>
      <c r="AN45" s="3" t="s">
        <v>2283</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row>
    <row r="46" spans="1:67" ht="15.75" customHeight="1" x14ac:dyDescent="0.2">
      <c r="A46" s="3">
        <f t="shared" si="0"/>
        <v>2044</v>
      </c>
      <c r="B46" s="3" t="s">
        <v>3072</v>
      </c>
      <c r="C46" s="3" t="s">
        <v>3072</v>
      </c>
      <c r="D46" s="27" t="s">
        <v>3106</v>
      </c>
      <c r="E46" s="5" t="s">
        <v>3073</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0</v>
      </c>
      <c r="AG46" s="3">
        <v>0</v>
      </c>
      <c r="AH46" s="3">
        <v>0</v>
      </c>
      <c r="AI46" s="3">
        <v>0</v>
      </c>
      <c r="AJ46" s="3">
        <v>0</v>
      </c>
      <c r="AK46" s="3">
        <v>30</v>
      </c>
      <c r="AL46" s="3" t="s">
        <v>31</v>
      </c>
      <c r="AM46" s="3" t="s">
        <v>32</v>
      </c>
      <c r="AN46" s="3" t="s">
        <v>2282</v>
      </c>
      <c r="AO46" s="3" t="s">
        <v>50</v>
      </c>
      <c r="AP46" s="3">
        <v>30</v>
      </c>
      <c r="AQ46" s="3">
        <v>1.5</v>
      </c>
      <c r="AR46">
        <v>60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row>
    <row r="47" spans="1:67" ht="15.75" customHeight="1" x14ac:dyDescent="0.2">
      <c r="A47" s="3">
        <f t="shared" si="0"/>
        <v>2045</v>
      </c>
      <c r="B47" s="3" t="s">
        <v>3107</v>
      </c>
      <c r="C47" s="3" t="s">
        <v>3075</v>
      </c>
      <c r="D47" s="27" t="s">
        <v>3074</v>
      </c>
      <c r="E47" s="5" t="s">
        <v>3076</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0</v>
      </c>
      <c r="AG47" s="3">
        <v>0</v>
      </c>
      <c r="AH47" s="3">
        <v>0</v>
      </c>
      <c r="AI47" s="3">
        <v>0</v>
      </c>
      <c r="AJ47" s="3">
        <v>0</v>
      </c>
      <c r="AK47" s="3">
        <v>30</v>
      </c>
      <c r="AL47" s="3" t="s">
        <v>31</v>
      </c>
      <c r="AM47" s="3" t="s">
        <v>32</v>
      </c>
      <c r="AN47" s="3" t="s">
        <v>2282</v>
      </c>
      <c r="AO47" s="3" t="s">
        <v>50</v>
      </c>
      <c r="AP47" s="3">
        <v>30</v>
      </c>
      <c r="AQ47" s="3">
        <v>1.5</v>
      </c>
      <c r="AR47">
        <v>60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row>
    <row r="48" spans="1:67" ht="15.75" customHeight="1" x14ac:dyDescent="0.2">
      <c r="A48" s="3">
        <f t="shared" si="0"/>
        <v>2046</v>
      </c>
      <c r="B48" s="3" t="s">
        <v>3122</v>
      </c>
      <c r="C48" s="3" t="s">
        <v>3078</v>
      </c>
      <c r="D48" s="27" t="s">
        <v>3077</v>
      </c>
      <c r="E48" s="5" t="s">
        <v>3079</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0</v>
      </c>
      <c r="AG48" s="3">
        <v>0</v>
      </c>
      <c r="AH48" s="3">
        <v>0</v>
      </c>
      <c r="AI48" s="3">
        <v>0</v>
      </c>
      <c r="AJ48" s="3">
        <v>0</v>
      </c>
      <c r="AK48" s="3">
        <v>30</v>
      </c>
      <c r="AL48" s="3" t="s">
        <v>31</v>
      </c>
      <c r="AM48" s="3" t="s">
        <v>32</v>
      </c>
      <c r="AN48" s="3" t="s">
        <v>2282</v>
      </c>
      <c r="AO48" s="3" t="s">
        <v>50</v>
      </c>
      <c r="AP48" s="3">
        <v>30</v>
      </c>
      <c r="AQ48" s="3">
        <v>1.5</v>
      </c>
      <c r="AR48">
        <v>60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row>
    <row r="49" spans="1:67" ht="15.75" customHeight="1" x14ac:dyDescent="0.2">
      <c r="A49" s="3">
        <f t="shared" si="0"/>
        <v>2047</v>
      </c>
      <c r="B49" s="3" t="s">
        <v>3123</v>
      </c>
      <c r="C49" s="3" t="s">
        <v>3081</v>
      </c>
      <c r="D49" s="27" t="s">
        <v>3080</v>
      </c>
      <c r="E49" s="5" t="s">
        <v>3082</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0</v>
      </c>
      <c r="AG49" s="3">
        <v>0</v>
      </c>
      <c r="AH49" s="3">
        <v>0</v>
      </c>
      <c r="AI49" s="3">
        <v>0</v>
      </c>
      <c r="AJ49" s="3">
        <v>0</v>
      </c>
      <c r="AK49" s="3">
        <v>30</v>
      </c>
      <c r="AL49" s="3" t="s">
        <v>31</v>
      </c>
      <c r="AM49" s="3" t="s">
        <v>32</v>
      </c>
      <c r="AN49" s="3" t="s">
        <v>2282</v>
      </c>
      <c r="AO49" s="3" t="s">
        <v>50</v>
      </c>
      <c r="AP49" s="3">
        <v>30</v>
      </c>
      <c r="AQ49" s="3">
        <v>1.5</v>
      </c>
      <c r="AR49">
        <v>60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row>
    <row r="50" spans="1:67" ht="15.75" customHeight="1" x14ac:dyDescent="0.2">
      <c r="A50" s="3">
        <f t="shared" si="0"/>
        <v>2048</v>
      </c>
      <c r="B50" s="3" t="s">
        <v>3124</v>
      </c>
      <c r="C50" s="3" t="s">
        <v>3084</v>
      </c>
      <c r="D50" s="27" t="s">
        <v>3083</v>
      </c>
      <c r="E50" s="5" t="s">
        <v>3085</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0</v>
      </c>
      <c r="AG50" s="3">
        <v>0</v>
      </c>
      <c r="AH50" s="3">
        <v>0</v>
      </c>
      <c r="AI50" s="3">
        <v>0</v>
      </c>
      <c r="AJ50" s="3">
        <v>0</v>
      </c>
      <c r="AK50" s="3">
        <v>30</v>
      </c>
      <c r="AL50" s="3" t="s">
        <v>31</v>
      </c>
      <c r="AM50" s="3" t="s">
        <v>32</v>
      </c>
      <c r="AN50" s="3" t="s">
        <v>2282</v>
      </c>
      <c r="AO50" s="3" t="s">
        <v>50</v>
      </c>
      <c r="AP50" s="3">
        <v>30</v>
      </c>
      <c r="AQ50" s="3">
        <v>1.5</v>
      </c>
      <c r="AR50">
        <v>60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row>
    <row r="51" spans="1:67" s="9" customFormat="1" ht="15.75" customHeight="1" x14ac:dyDescent="0.2">
      <c r="A51" s="7">
        <f t="shared" si="0"/>
        <v>2049</v>
      </c>
      <c r="B51" s="7" t="s">
        <v>88</v>
      </c>
      <c r="C51" s="7" t="s">
        <v>88</v>
      </c>
      <c r="D51" s="11" t="s">
        <v>89</v>
      </c>
      <c r="E51" s="11" t="s">
        <v>1005</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2001</v>
      </c>
      <c r="AO51" s="7" t="s">
        <v>1853</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row>
    <row r="52" spans="1:67" ht="15.75" customHeight="1" x14ac:dyDescent="0.2">
      <c r="A52" s="3">
        <f t="shared" si="0"/>
        <v>2050</v>
      </c>
      <c r="B52" s="3" t="s">
        <v>2789</v>
      </c>
      <c r="C52" s="3" t="s">
        <v>2789</v>
      </c>
      <c r="D52" s="27" t="s">
        <v>2788</v>
      </c>
      <c r="E52" s="5" t="s">
        <v>2790</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0</v>
      </c>
      <c r="AG52" s="3">
        <v>0</v>
      </c>
      <c r="AH52" s="3">
        <v>0</v>
      </c>
      <c r="AI52" s="3">
        <v>0</v>
      </c>
      <c r="AJ52" s="3">
        <v>0</v>
      </c>
      <c r="AK52" s="3">
        <v>30</v>
      </c>
      <c r="AL52" s="3" t="s">
        <v>157</v>
      </c>
      <c r="AM52" s="3" t="s">
        <v>2791</v>
      </c>
      <c r="AN52" s="3" t="s">
        <v>2001</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row>
    <row r="53" spans="1:67" ht="15.75" customHeight="1" x14ac:dyDescent="0.2">
      <c r="A53" s="3">
        <f t="shared" si="0"/>
        <v>2051</v>
      </c>
      <c r="B53" s="3" t="s">
        <v>2812</v>
      </c>
      <c r="C53" s="3" t="s">
        <v>2812</v>
      </c>
      <c r="D53" s="4" t="s">
        <v>2761</v>
      </c>
      <c r="E53" s="4" t="s">
        <v>2762</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0</v>
      </c>
      <c r="AF53" s="3">
        <v>0</v>
      </c>
      <c r="AG53" s="3">
        <v>0</v>
      </c>
      <c r="AH53" s="3">
        <v>0</v>
      </c>
      <c r="AI53" s="3">
        <v>0</v>
      </c>
      <c r="AJ53" s="3">
        <v>0</v>
      </c>
      <c r="AK53" s="3">
        <v>30</v>
      </c>
      <c r="AL53" s="3" t="s">
        <v>31</v>
      </c>
      <c r="AM53" s="3" t="s">
        <v>90</v>
      </c>
      <c r="AN53" s="3" t="s">
        <v>2001</v>
      </c>
      <c r="AO53" s="3" t="s">
        <v>50</v>
      </c>
      <c r="AP53" s="3">
        <v>30</v>
      </c>
      <c r="AQ53" s="3">
        <v>1.4</v>
      </c>
      <c r="AR53">
        <v>1200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row>
    <row r="54" spans="1:67" ht="15.75" customHeight="1" x14ac:dyDescent="0.2">
      <c r="A54" s="3">
        <f t="shared" si="0"/>
        <v>2052</v>
      </c>
      <c r="B54" s="3" t="s">
        <v>2813</v>
      </c>
      <c r="C54" s="3" t="s">
        <v>2813</v>
      </c>
      <c r="D54" s="4" t="s">
        <v>2811</v>
      </c>
      <c r="E54" s="4" t="s">
        <v>2814</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0</v>
      </c>
      <c r="AG54" s="3">
        <v>0</v>
      </c>
      <c r="AH54" s="3">
        <v>0</v>
      </c>
      <c r="AI54" s="3">
        <v>0</v>
      </c>
      <c r="AJ54" s="3">
        <v>0</v>
      </c>
      <c r="AK54" s="3">
        <v>30</v>
      </c>
      <c r="AL54" s="3" t="s">
        <v>31</v>
      </c>
      <c r="AM54" s="3" t="s">
        <v>2791</v>
      </c>
      <c r="AN54" s="3" t="s">
        <v>2001</v>
      </c>
      <c r="AO54" s="3" t="s">
        <v>51</v>
      </c>
      <c r="AP54" s="3">
        <v>30</v>
      </c>
      <c r="AQ54" s="3">
        <v>1</v>
      </c>
      <c r="AR54">
        <v>1200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row>
    <row r="55" spans="1:67" ht="15.75" customHeight="1" x14ac:dyDescent="0.2">
      <c r="A55" s="3">
        <f t="shared" si="0"/>
        <v>2053</v>
      </c>
      <c r="B55" s="3" t="s">
        <v>2929</v>
      </c>
      <c r="C55" s="3" t="s">
        <v>2929</v>
      </c>
      <c r="D55" s="4" t="s">
        <v>2926</v>
      </c>
      <c r="E55" s="4" t="s">
        <v>2927</v>
      </c>
      <c r="F55" s="3">
        <v>1</v>
      </c>
      <c r="G55" s="3">
        <v>300</v>
      </c>
      <c r="H55" s="3">
        <v>0</v>
      </c>
      <c r="I55" s="3">
        <v>50</v>
      </c>
      <c r="J55" s="3">
        <v>0</v>
      </c>
      <c r="K55" s="3">
        <v>1</v>
      </c>
      <c r="L55" s="3">
        <v>0</v>
      </c>
      <c r="M55" s="3">
        <v>50</v>
      </c>
      <c r="N55" s="3">
        <v>30</v>
      </c>
      <c r="O55" s="3">
        <v>0</v>
      </c>
      <c r="P55" s="3">
        <v>0</v>
      </c>
      <c r="Q55" s="3">
        <v>0</v>
      </c>
      <c r="R55" s="3">
        <v>50</v>
      </c>
      <c r="S55" s="3">
        <v>30</v>
      </c>
      <c r="T55" s="3">
        <v>0</v>
      </c>
      <c r="U55" s="3">
        <v>0</v>
      </c>
      <c r="V55" s="3">
        <v>0</v>
      </c>
      <c r="W55" s="3">
        <v>0</v>
      </c>
      <c r="X55" s="3">
        <v>0</v>
      </c>
      <c r="Y55" s="3">
        <v>50</v>
      </c>
      <c r="Z55" s="3">
        <v>0</v>
      </c>
      <c r="AA55" s="3">
        <v>0</v>
      </c>
      <c r="AB55" s="3">
        <v>0</v>
      </c>
      <c r="AC55" s="3">
        <v>0</v>
      </c>
      <c r="AD55" s="3">
        <v>0</v>
      </c>
      <c r="AE55" s="3">
        <v>0</v>
      </c>
      <c r="AF55" s="3">
        <v>0</v>
      </c>
      <c r="AG55" s="3">
        <v>0</v>
      </c>
      <c r="AH55" s="3">
        <v>0</v>
      </c>
      <c r="AI55" s="3">
        <v>0</v>
      </c>
      <c r="AJ55" s="3">
        <v>0</v>
      </c>
      <c r="AK55" s="3">
        <v>0</v>
      </c>
      <c r="AL55" s="3" t="s">
        <v>31</v>
      </c>
      <c r="AM55" s="3" t="s">
        <v>2791</v>
      </c>
      <c r="AN55" s="3" t="s">
        <v>2938</v>
      </c>
      <c r="AO55" s="3" t="s">
        <v>51</v>
      </c>
      <c r="AP55" s="3">
        <v>30</v>
      </c>
      <c r="AQ55" s="3">
        <v>1</v>
      </c>
      <c r="AR55">
        <v>2000</v>
      </c>
      <c r="AS55">
        <v>10000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0</v>
      </c>
      <c r="BO55">
        <v>0</v>
      </c>
    </row>
    <row r="56" spans="1:67" ht="15.75" customHeight="1" x14ac:dyDescent="0.2">
      <c r="A56" s="3">
        <f t="shared" si="0"/>
        <v>2054</v>
      </c>
      <c r="B56" s="3" t="s">
        <v>2928</v>
      </c>
      <c r="C56" s="3" t="s">
        <v>2928</v>
      </c>
      <c r="D56" s="4" t="s">
        <v>2939</v>
      </c>
      <c r="E56" s="4" t="s">
        <v>2930</v>
      </c>
      <c r="F56" s="3">
        <v>1</v>
      </c>
      <c r="G56" s="3">
        <v>300</v>
      </c>
      <c r="H56" s="3">
        <v>0</v>
      </c>
      <c r="I56" s="3">
        <v>50</v>
      </c>
      <c r="J56" s="3">
        <v>0</v>
      </c>
      <c r="K56" s="3">
        <v>1</v>
      </c>
      <c r="L56" s="3">
        <v>0</v>
      </c>
      <c r="M56" s="3">
        <v>50</v>
      </c>
      <c r="N56" s="3">
        <v>30</v>
      </c>
      <c r="O56" s="3">
        <v>0</v>
      </c>
      <c r="P56" s="3">
        <v>0</v>
      </c>
      <c r="Q56" s="3">
        <v>0</v>
      </c>
      <c r="R56" s="3">
        <v>50</v>
      </c>
      <c r="S56" s="3">
        <v>30</v>
      </c>
      <c r="T56" s="3">
        <v>0</v>
      </c>
      <c r="U56" s="3">
        <v>0</v>
      </c>
      <c r="V56" s="3">
        <v>0</v>
      </c>
      <c r="W56" s="3">
        <v>0</v>
      </c>
      <c r="X56" s="3">
        <v>0</v>
      </c>
      <c r="Y56" s="3">
        <v>50</v>
      </c>
      <c r="Z56" s="3">
        <v>0</v>
      </c>
      <c r="AA56" s="3">
        <v>0</v>
      </c>
      <c r="AB56" s="3">
        <v>0</v>
      </c>
      <c r="AC56" s="3">
        <v>0</v>
      </c>
      <c r="AD56" s="3">
        <v>0</v>
      </c>
      <c r="AE56" s="3">
        <v>0</v>
      </c>
      <c r="AF56" s="3">
        <v>0</v>
      </c>
      <c r="AG56" s="3">
        <v>0</v>
      </c>
      <c r="AH56" s="3">
        <v>0</v>
      </c>
      <c r="AI56" s="3">
        <v>0</v>
      </c>
      <c r="AJ56" s="3">
        <v>0</v>
      </c>
      <c r="AK56" s="3">
        <v>0</v>
      </c>
      <c r="AL56" s="3" t="s">
        <v>31</v>
      </c>
      <c r="AM56" s="3" t="s">
        <v>2791</v>
      </c>
      <c r="AN56" s="3" t="s">
        <v>2938</v>
      </c>
      <c r="AO56" s="3" t="s">
        <v>51</v>
      </c>
      <c r="AP56" s="3">
        <v>30</v>
      </c>
      <c r="AQ56" s="3">
        <v>1</v>
      </c>
      <c r="AR56">
        <v>2000</v>
      </c>
      <c r="AS56">
        <v>10000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0</v>
      </c>
      <c r="BO56">
        <v>0</v>
      </c>
    </row>
    <row r="57" spans="1:67" ht="15.75" customHeight="1" x14ac:dyDescent="0.2">
      <c r="A57" s="3">
        <f t="shared" si="0"/>
        <v>2055</v>
      </c>
      <c r="B57" s="3" t="s">
        <v>2932</v>
      </c>
      <c r="C57" s="3" t="s">
        <v>2932</v>
      </c>
      <c r="D57" s="4" t="s">
        <v>2931</v>
      </c>
      <c r="E57" s="4" t="s">
        <v>3401</v>
      </c>
      <c r="F57" s="3">
        <v>1</v>
      </c>
      <c r="G57" s="3">
        <v>300</v>
      </c>
      <c r="H57" s="3">
        <v>0</v>
      </c>
      <c r="I57" s="3">
        <v>50</v>
      </c>
      <c r="J57" s="3">
        <v>0</v>
      </c>
      <c r="K57" s="3">
        <v>1</v>
      </c>
      <c r="L57" s="3">
        <v>0</v>
      </c>
      <c r="M57" s="3">
        <v>50</v>
      </c>
      <c r="N57" s="3">
        <v>30</v>
      </c>
      <c r="O57" s="3">
        <v>0</v>
      </c>
      <c r="P57" s="3">
        <v>0</v>
      </c>
      <c r="Q57" s="3">
        <v>0</v>
      </c>
      <c r="R57" s="3">
        <v>50</v>
      </c>
      <c r="S57" s="3">
        <v>30</v>
      </c>
      <c r="T57" s="3">
        <v>0</v>
      </c>
      <c r="U57" s="3">
        <v>0</v>
      </c>
      <c r="V57" s="3">
        <v>0</v>
      </c>
      <c r="W57" s="3">
        <v>0</v>
      </c>
      <c r="X57" s="3">
        <v>0</v>
      </c>
      <c r="Y57" s="3">
        <v>50</v>
      </c>
      <c r="Z57" s="3">
        <v>0</v>
      </c>
      <c r="AA57" s="3">
        <v>0</v>
      </c>
      <c r="AB57" s="3">
        <v>0</v>
      </c>
      <c r="AC57" s="3">
        <v>0</v>
      </c>
      <c r="AD57" s="3">
        <v>0</v>
      </c>
      <c r="AE57" s="3">
        <v>0</v>
      </c>
      <c r="AF57" s="3">
        <v>0</v>
      </c>
      <c r="AG57" s="3">
        <v>0</v>
      </c>
      <c r="AH57" s="3">
        <v>0</v>
      </c>
      <c r="AI57" s="3">
        <v>0</v>
      </c>
      <c r="AJ57" s="3">
        <v>0</v>
      </c>
      <c r="AK57" s="3">
        <v>0</v>
      </c>
      <c r="AL57" s="3" t="s">
        <v>31</v>
      </c>
      <c r="AM57" s="3" t="s">
        <v>2791</v>
      </c>
      <c r="AN57" s="3" t="s">
        <v>2938</v>
      </c>
      <c r="AO57" s="3" t="s">
        <v>51</v>
      </c>
      <c r="AP57" s="3">
        <v>30</v>
      </c>
      <c r="AQ57" s="3">
        <v>1</v>
      </c>
      <c r="AR57">
        <v>2000</v>
      </c>
      <c r="AS57">
        <v>10000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0</v>
      </c>
      <c r="BO57">
        <v>0</v>
      </c>
    </row>
    <row r="58" spans="1:67" ht="15.75" customHeight="1" x14ac:dyDescent="0.2">
      <c r="A58" s="3">
        <f t="shared" si="0"/>
        <v>2056</v>
      </c>
      <c r="B58" s="3" t="s">
        <v>250</v>
      </c>
      <c r="C58" s="3" t="s">
        <v>250</v>
      </c>
      <c r="D58" s="4" t="s">
        <v>193</v>
      </c>
      <c r="E58" s="4" t="s">
        <v>2772</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50</v>
      </c>
      <c r="Z58" s="3">
        <v>0</v>
      </c>
      <c r="AA58" s="3">
        <v>0</v>
      </c>
      <c r="AB58" s="3">
        <v>0</v>
      </c>
      <c r="AC58" s="3">
        <v>0</v>
      </c>
      <c r="AD58" s="3">
        <v>0</v>
      </c>
      <c r="AE58" s="3">
        <v>0</v>
      </c>
      <c r="AF58" s="3">
        <v>0</v>
      </c>
      <c r="AG58" s="3">
        <v>0</v>
      </c>
      <c r="AH58" s="3">
        <v>0</v>
      </c>
      <c r="AI58" s="3">
        <v>0</v>
      </c>
      <c r="AJ58" s="3">
        <v>0</v>
      </c>
      <c r="AK58" s="3">
        <v>0</v>
      </c>
      <c r="AL58" s="3" t="s">
        <v>31</v>
      </c>
      <c r="AM58" s="3" t="s">
        <v>90</v>
      </c>
      <c r="AN58" s="3" t="s">
        <v>2943</v>
      </c>
      <c r="AO58" s="3" t="s">
        <v>1853</v>
      </c>
      <c r="AP58" s="3">
        <v>30</v>
      </c>
      <c r="AQ58" s="3">
        <v>2.5</v>
      </c>
      <c r="AR58">
        <v>2000</v>
      </c>
      <c r="AS58">
        <v>10000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row>
    <row r="59" spans="1:67" s="43" customFormat="1" ht="15.75" customHeight="1" x14ac:dyDescent="0.2">
      <c r="A59" s="40">
        <f t="shared" si="0"/>
        <v>2057</v>
      </c>
      <c r="B59" s="40" t="s">
        <v>3112</v>
      </c>
      <c r="C59" s="40" t="s">
        <v>3112</v>
      </c>
      <c r="D59" s="45" t="s">
        <v>3113</v>
      </c>
      <c r="E59" s="45" t="s">
        <v>3111</v>
      </c>
      <c r="F59" s="40">
        <v>1</v>
      </c>
      <c r="G59" s="40">
        <v>300</v>
      </c>
      <c r="H59" s="40">
        <v>0</v>
      </c>
      <c r="I59" s="40">
        <v>50</v>
      </c>
      <c r="J59" s="40">
        <v>0</v>
      </c>
      <c r="K59" s="40">
        <v>1</v>
      </c>
      <c r="L59" s="40">
        <v>0</v>
      </c>
      <c r="M59" s="40">
        <v>50</v>
      </c>
      <c r="N59" s="40">
        <v>30</v>
      </c>
      <c r="O59" s="40">
        <v>0</v>
      </c>
      <c r="P59" s="40">
        <v>0</v>
      </c>
      <c r="Q59" s="40">
        <v>0</v>
      </c>
      <c r="R59" s="40">
        <v>50</v>
      </c>
      <c r="S59" s="40">
        <v>30</v>
      </c>
      <c r="T59" s="40">
        <v>0</v>
      </c>
      <c r="U59" s="40">
        <v>0</v>
      </c>
      <c r="V59" s="40">
        <v>0</v>
      </c>
      <c r="W59" s="40">
        <v>0</v>
      </c>
      <c r="X59" s="40">
        <v>0</v>
      </c>
      <c r="Y59" s="40">
        <v>50</v>
      </c>
      <c r="Z59" s="40">
        <v>0</v>
      </c>
      <c r="AA59" s="40">
        <v>0</v>
      </c>
      <c r="AB59" s="40">
        <v>0</v>
      </c>
      <c r="AC59" s="40">
        <v>0</v>
      </c>
      <c r="AD59" s="40">
        <v>0</v>
      </c>
      <c r="AE59" s="40">
        <v>0</v>
      </c>
      <c r="AF59" s="40">
        <v>0</v>
      </c>
      <c r="AG59" s="40">
        <v>0</v>
      </c>
      <c r="AH59" s="40">
        <v>0</v>
      </c>
      <c r="AI59" s="40">
        <v>0</v>
      </c>
      <c r="AJ59" s="40">
        <v>0</v>
      </c>
      <c r="AK59" s="40">
        <v>0</v>
      </c>
      <c r="AL59" s="40" t="s">
        <v>31</v>
      </c>
      <c r="AM59" s="40" t="s">
        <v>90</v>
      </c>
      <c r="AN59" s="40" t="s">
        <v>2943</v>
      </c>
      <c r="AO59" s="40" t="s">
        <v>50</v>
      </c>
      <c r="AP59" s="40">
        <v>30</v>
      </c>
      <c r="AQ59" s="40">
        <v>2.5</v>
      </c>
      <c r="AR59" s="43">
        <v>2000</v>
      </c>
      <c r="AS59" s="43">
        <v>10000</v>
      </c>
      <c r="AT59" s="44" t="s">
        <v>50</v>
      </c>
      <c r="AU59" s="44" t="s">
        <v>50</v>
      </c>
      <c r="AV59" s="44" t="s">
        <v>50</v>
      </c>
      <c r="AW59" s="44" t="s">
        <v>50</v>
      </c>
      <c r="AX59" s="44" t="s">
        <v>50</v>
      </c>
      <c r="AY59" s="44" t="s">
        <v>50</v>
      </c>
      <c r="AZ59" s="44" t="s">
        <v>50</v>
      </c>
      <c r="BA59" s="44" t="s">
        <v>50</v>
      </c>
      <c r="BB59" s="44" t="s">
        <v>50</v>
      </c>
      <c r="BC59" s="44" t="s">
        <v>50</v>
      </c>
      <c r="BD59" s="44" t="s">
        <v>50</v>
      </c>
      <c r="BE59" s="44" t="s">
        <v>50</v>
      </c>
      <c r="BF59" s="44" t="s">
        <v>50</v>
      </c>
      <c r="BG59" s="44" t="s">
        <v>50</v>
      </c>
      <c r="BH59" s="44" t="s">
        <v>50</v>
      </c>
      <c r="BI59" s="43">
        <v>1</v>
      </c>
      <c r="BJ59" s="43">
        <v>755</v>
      </c>
      <c r="BK59" s="43">
        <v>4</v>
      </c>
      <c r="BL59" s="43">
        <v>30</v>
      </c>
      <c r="BM59" s="43">
        <v>0</v>
      </c>
      <c r="BN59" s="43">
        <v>0</v>
      </c>
      <c r="BO59" s="43">
        <v>0</v>
      </c>
    </row>
    <row r="60" spans="1:67" s="43" customFormat="1" ht="15.75" customHeight="1" x14ac:dyDescent="0.2">
      <c r="A60" s="40">
        <f t="shared" si="0"/>
        <v>2058</v>
      </c>
      <c r="B60" s="40" t="s">
        <v>250</v>
      </c>
      <c r="C60" s="40" t="s">
        <v>3114</v>
      </c>
      <c r="D60" s="45" t="s">
        <v>3063</v>
      </c>
      <c r="E60" s="45" t="s">
        <v>3115</v>
      </c>
      <c r="F60" s="40">
        <v>1</v>
      </c>
      <c r="G60" s="40">
        <v>300</v>
      </c>
      <c r="H60" s="40">
        <v>0</v>
      </c>
      <c r="I60" s="40">
        <v>50</v>
      </c>
      <c r="J60" s="40">
        <v>0</v>
      </c>
      <c r="K60" s="40">
        <v>1</v>
      </c>
      <c r="L60" s="40">
        <v>0</v>
      </c>
      <c r="M60" s="40">
        <v>50</v>
      </c>
      <c r="N60" s="40">
        <v>30</v>
      </c>
      <c r="O60" s="40">
        <v>0</v>
      </c>
      <c r="P60" s="40">
        <v>0</v>
      </c>
      <c r="Q60" s="40">
        <v>0</v>
      </c>
      <c r="R60" s="40">
        <v>50</v>
      </c>
      <c r="S60" s="40">
        <v>30</v>
      </c>
      <c r="T60" s="40">
        <v>0</v>
      </c>
      <c r="U60" s="40">
        <v>0</v>
      </c>
      <c r="V60" s="40">
        <v>0</v>
      </c>
      <c r="W60" s="40">
        <v>0</v>
      </c>
      <c r="X60" s="40">
        <v>0</v>
      </c>
      <c r="Y60" s="40">
        <v>50</v>
      </c>
      <c r="Z60" s="40">
        <v>0</v>
      </c>
      <c r="AA60" s="40">
        <v>0</v>
      </c>
      <c r="AB60" s="40">
        <v>0</v>
      </c>
      <c r="AC60" s="40">
        <v>0</v>
      </c>
      <c r="AD60" s="40">
        <v>0</v>
      </c>
      <c r="AE60" s="40">
        <v>0</v>
      </c>
      <c r="AF60" s="40">
        <v>0</v>
      </c>
      <c r="AG60" s="40">
        <v>0</v>
      </c>
      <c r="AH60" s="40">
        <v>0</v>
      </c>
      <c r="AI60" s="40">
        <v>0</v>
      </c>
      <c r="AJ60" s="40">
        <v>0</v>
      </c>
      <c r="AK60" s="40">
        <v>0</v>
      </c>
      <c r="AL60" s="40" t="s">
        <v>31</v>
      </c>
      <c r="AM60" s="40" t="s">
        <v>90</v>
      </c>
      <c r="AN60" s="40" t="s">
        <v>2943</v>
      </c>
      <c r="AO60" s="40" t="s">
        <v>50</v>
      </c>
      <c r="AP60" s="40">
        <v>30</v>
      </c>
      <c r="AQ60" s="40">
        <v>2.5</v>
      </c>
      <c r="AR60" s="43">
        <v>2000</v>
      </c>
      <c r="AS60" s="43">
        <v>10000</v>
      </c>
      <c r="AT60" s="44" t="s">
        <v>50</v>
      </c>
      <c r="AU60" s="44" t="s">
        <v>50</v>
      </c>
      <c r="AV60" s="44" t="s">
        <v>50</v>
      </c>
      <c r="AW60" s="44" t="s">
        <v>50</v>
      </c>
      <c r="AX60" s="44" t="s">
        <v>50</v>
      </c>
      <c r="AY60" s="44" t="s">
        <v>50</v>
      </c>
      <c r="AZ60" s="44" t="s">
        <v>50</v>
      </c>
      <c r="BA60" s="44" t="s">
        <v>50</v>
      </c>
      <c r="BB60" s="44" t="s">
        <v>50</v>
      </c>
      <c r="BC60" s="44" t="s">
        <v>50</v>
      </c>
      <c r="BD60" s="44" t="s">
        <v>50</v>
      </c>
      <c r="BE60" s="44" t="s">
        <v>50</v>
      </c>
      <c r="BF60" s="44" t="s">
        <v>50</v>
      </c>
      <c r="BG60" s="44" t="s">
        <v>50</v>
      </c>
      <c r="BH60" s="44" t="s">
        <v>50</v>
      </c>
      <c r="BI60" s="43">
        <v>1</v>
      </c>
      <c r="BJ60" s="43">
        <v>756</v>
      </c>
      <c r="BK60" s="43">
        <v>4</v>
      </c>
      <c r="BL60" s="43">
        <v>30</v>
      </c>
      <c r="BM60" s="43">
        <v>0</v>
      </c>
      <c r="BN60" s="43">
        <v>0</v>
      </c>
      <c r="BO60" s="43">
        <v>0</v>
      </c>
    </row>
    <row r="61" spans="1:67" s="43" customFormat="1" ht="15.75" customHeight="1" x14ac:dyDescent="0.2">
      <c r="A61" s="40">
        <f t="shared" si="0"/>
        <v>2059</v>
      </c>
      <c r="B61" s="40" t="s">
        <v>250</v>
      </c>
      <c r="C61" s="40" t="s">
        <v>3062</v>
      </c>
      <c r="D61" s="45" t="s">
        <v>3060</v>
      </c>
      <c r="E61" s="45" t="s">
        <v>3061</v>
      </c>
      <c r="F61" s="40">
        <v>1</v>
      </c>
      <c r="G61" s="40">
        <v>300</v>
      </c>
      <c r="H61" s="40">
        <v>0</v>
      </c>
      <c r="I61" s="40">
        <v>50</v>
      </c>
      <c r="J61" s="40">
        <v>0</v>
      </c>
      <c r="K61" s="40">
        <v>1</v>
      </c>
      <c r="L61" s="40">
        <v>0</v>
      </c>
      <c r="M61" s="40">
        <v>50</v>
      </c>
      <c r="N61" s="40">
        <v>30</v>
      </c>
      <c r="O61" s="40">
        <v>0</v>
      </c>
      <c r="P61" s="40">
        <v>0</v>
      </c>
      <c r="Q61" s="40">
        <v>0</v>
      </c>
      <c r="R61" s="40">
        <v>50</v>
      </c>
      <c r="S61" s="40">
        <v>30</v>
      </c>
      <c r="T61" s="40">
        <v>0</v>
      </c>
      <c r="U61" s="40">
        <v>0</v>
      </c>
      <c r="V61" s="40">
        <v>0</v>
      </c>
      <c r="W61" s="40">
        <v>0</v>
      </c>
      <c r="X61" s="40">
        <v>0</v>
      </c>
      <c r="Y61" s="40">
        <v>50</v>
      </c>
      <c r="Z61" s="40">
        <v>0</v>
      </c>
      <c r="AA61" s="40">
        <v>0</v>
      </c>
      <c r="AB61" s="40">
        <v>0</v>
      </c>
      <c r="AC61" s="40">
        <v>0</v>
      </c>
      <c r="AD61" s="40">
        <v>0</v>
      </c>
      <c r="AE61" s="40">
        <v>0</v>
      </c>
      <c r="AF61" s="40">
        <v>0</v>
      </c>
      <c r="AG61" s="40">
        <v>0</v>
      </c>
      <c r="AH61" s="40">
        <v>0</v>
      </c>
      <c r="AI61" s="40">
        <v>0</v>
      </c>
      <c r="AJ61" s="40">
        <v>0</v>
      </c>
      <c r="AK61" s="40">
        <v>0</v>
      </c>
      <c r="AL61" s="40" t="s">
        <v>31</v>
      </c>
      <c r="AM61" s="40" t="s">
        <v>90</v>
      </c>
      <c r="AN61" s="40" t="s">
        <v>2943</v>
      </c>
      <c r="AO61" s="40" t="s">
        <v>50</v>
      </c>
      <c r="AP61" s="40">
        <v>30</v>
      </c>
      <c r="AQ61" s="40">
        <v>2.5</v>
      </c>
      <c r="AR61" s="43">
        <v>2000</v>
      </c>
      <c r="AS61" s="43">
        <v>10000</v>
      </c>
      <c r="AT61" s="44" t="s">
        <v>50</v>
      </c>
      <c r="AU61" s="44" t="s">
        <v>50</v>
      </c>
      <c r="AV61" s="44" t="s">
        <v>50</v>
      </c>
      <c r="AW61" s="44" t="s">
        <v>50</v>
      </c>
      <c r="AX61" s="44" t="s">
        <v>50</v>
      </c>
      <c r="AY61" s="44" t="s">
        <v>50</v>
      </c>
      <c r="AZ61" s="44" t="s">
        <v>50</v>
      </c>
      <c r="BA61" s="44" t="s">
        <v>50</v>
      </c>
      <c r="BB61" s="44" t="s">
        <v>50</v>
      </c>
      <c r="BC61" s="44" t="s">
        <v>50</v>
      </c>
      <c r="BD61" s="44" t="s">
        <v>50</v>
      </c>
      <c r="BE61" s="44" t="s">
        <v>50</v>
      </c>
      <c r="BF61" s="44" t="s">
        <v>50</v>
      </c>
      <c r="BG61" s="44" t="s">
        <v>50</v>
      </c>
      <c r="BH61" s="44" t="s">
        <v>50</v>
      </c>
      <c r="BI61" s="43">
        <v>1</v>
      </c>
      <c r="BJ61" s="43">
        <v>757</v>
      </c>
      <c r="BK61" s="43">
        <v>4</v>
      </c>
      <c r="BL61" s="43">
        <v>30</v>
      </c>
      <c r="BM61" s="43">
        <v>0</v>
      </c>
      <c r="BN61" s="43">
        <v>0</v>
      </c>
      <c r="BO61" s="43">
        <v>0</v>
      </c>
    </row>
    <row r="62" spans="1:67" ht="15.75" customHeight="1" x14ac:dyDescent="0.2">
      <c r="A62" s="3">
        <f t="shared" si="0"/>
        <v>2060</v>
      </c>
      <c r="B62" s="3" t="s">
        <v>3125</v>
      </c>
      <c r="C62" s="3" t="s">
        <v>1917</v>
      </c>
      <c r="D62" s="27" t="s">
        <v>1918</v>
      </c>
      <c r="E62" s="5" t="s">
        <v>1919</v>
      </c>
      <c r="F62" s="3">
        <v>0</v>
      </c>
      <c r="G62" s="3">
        <v>300</v>
      </c>
      <c r="H62" s="3">
        <v>0</v>
      </c>
      <c r="I62" s="3">
        <v>20</v>
      </c>
      <c r="J62" s="3">
        <v>0</v>
      </c>
      <c r="K62" s="3">
        <v>1</v>
      </c>
      <c r="L62" s="3">
        <v>0</v>
      </c>
      <c r="M62" s="3">
        <v>0</v>
      </c>
      <c r="N62" s="3">
        <v>0</v>
      </c>
      <c r="O62" s="3">
        <v>0</v>
      </c>
      <c r="P62" s="3">
        <v>0</v>
      </c>
      <c r="Q62" s="3">
        <v>0</v>
      </c>
      <c r="R62" s="3">
        <v>0</v>
      </c>
      <c r="S62" s="3">
        <v>0</v>
      </c>
      <c r="T62" s="3">
        <v>0</v>
      </c>
      <c r="U62" s="3">
        <v>0</v>
      </c>
      <c r="V62" s="3">
        <v>0</v>
      </c>
      <c r="W62" s="3">
        <v>0</v>
      </c>
      <c r="X62" s="3">
        <v>0</v>
      </c>
      <c r="Y62" s="3">
        <v>50</v>
      </c>
      <c r="Z62" s="3">
        <v>0</v>
      </c>
      <c r="AA62" s="3">
        <v>0</v>
      </c>
      <c r="AB62" s="3">
        <v>0</v>
      </c>
      <c r="AC62" s="3">
        <v>0</v>
      </c>
      <c r="AD62" s="3">
        <v>0</v>
      </c>
      <c r="AE62" s="3">
        <v>0</v>
      </c>
      <c r="AF62" s="3">
        <v>0</v>
      </c>
      <c r="AG62" s="3">
        <v>0</v>
      </c>
      <c r="AH62" s="3">
        <v>0</v>
      </c>
      <c r="AI62" s="3">
        <v>0</v>
      </c>
      <c r="AJ62" s="3">
        <v>0</v>
      </c>
      <c r="AK62" s="3">
        <v>30</v>
      </c>
      <c r="AL62" s="3" t="s">
        <v>157</v>
      </c>
      <c r="AM62" s="3" t="s">
        <v>90</v>
      </c>
      <c r="AN62" s="3" t="s">
        <v>2001</v>
      </c>
      <c r="AO62" s="3" t="s">
        <v>50</v>
      </c>
      <c r="AP62" s="3">
        <v>30</v>
      </c>
      <c r="AQ62" s="3">
        <v>0.5</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0</v>
      </c>
      <c r="BN62">
        <v>0</v>
      </c>
      <c r="BO62">
        <v>0</v>
      </c>
    </row>
    <row r="63" spans="1:67" s="23" customFormat="1" ht="15.75" customHeight="1" x14ac:dyDescent="0.2">
      <c r="A63" s="21">
        <f t="shared" si="0"/>
        <v>2061</v>
      </c>
      <c r="B63" s="21" t="s">
        <v>305</v>
      </c>
      <c r="C63" s="21" t="s">
        <v>2345</v>
      </c>
      <c r="D63" s="22" t="s">
        <v>2346</v>
      </c>
      <c r="E63" s="22" t="s">
        <v>2292</v>
      </c>
      <c r="F63" s="21">
        <v>0</v>
      </c>
      <c r="G63" s="21">
        <v>300</v>
      </c>
      <c r="H63" s="21">
        <v>0</v>
      </c>
      <c r="I63" s="21">
        <v>20</v>
      </c>
      <c r="J63" s="21">
        <v>150</v>
      </c>
      <c r="K63" s="21">
        <v>1</v>
      </c>
      <c r="L63" s="21">
        <v>0</v>
      </c>
      <c r="M63" s="21">
        <v>0</v>
      </c>
      <c r="N63" s="21">
        <v>0</v>
      </c>
      <c r="O63" s="21">
        <v>0</v>
      </c>
      <c r="P63" s="21">
        <v>0</v>
      </c>
      <c r="Q63" s="21">
        <v>0</v>
      </c>
      <c r="R63" s="21">
        <v>0</v>
      </c>
      <c r="S63" s="21">
        <v>0</v>
      </c>
      <c r="T63" s="21">
        <v>0</v>
      </c>
      <c r="U63" s="21">
        <v>0</v>
      </c>
      <c r="V63" s="21">
        <v>0</v>
      </c>
      <c r="W63" s="21">
        <v>0</v>
      </c>
      <c r="X63" s="21">
        <v>0</v>
      </c>
      <c r="Y63" s="21">
        <v>0</v>
      </c>
      <c r="Z63" s="21">
        <v>0</v>
      </c>
      <c r="AA63" s="21">
        <v>0</v>
      </c>
      <c r="AB63" s="21">
        <v>0</v>
      </c>
      <c r="AC63" s="21">
        <v>0</v>
      </c>
      <c r="AD63" s="21">
        <v>0</v>
      </c>
      <c r="AE63" s="21">
        <v>0</v>
      </c>
      <c r="AF63" s="21">
        <v>0</v>
      </c>
      <c r="AG63" s="21">
        <v>0</v>
      </c>
      <c r="AH63" s="21">
        <v>0</v>
      </c>
      <c r="AI63" s="21">
        <v>0</v>
      </c>
      <c r="AJ63" s="21">
        <v>0</v>
      </c>
      <c r="AK63" s="21">
        <v>30</v>
      </c>
      <c r="AL63" s="21" t="s">
        <v>31</v>
      </c>
      <c r="AM63" s="21" t="s">
        <v>1855</v>
      </c>
      <c r="AN63" s="21" t="s">
        <v>2019</v>
      </c>
      <c r="AO63" s="21" t="s">
        <v>50</v>
      </c>
      <c r="AP63" s="21">
        <v>30</v>
      </c>
      <c r="AQ63" s="21">
        <v>20</v>
      </c>
      <c r="AR63" s="23">
        <v>1500</v>
      </c>
      <c r="AS63" s="23">
        <v>1200</v>
      </c>
      <c r="AT63" s="24" t="s">
        <v>50</v>
      </c>
      <c r="AU63" s="24" t="s">
        <v>50</v>
      </c>
      <c r="AV63" s="24" t="s">
        <v>50</v>
      </c>
      <c r="AW63" s="24" t="s">
        <v>50</v>
      </c>
      <c r="AX63" s="24" t="s">
        <v>50</v>
      </c>
      <c r="AY63" s="24" t="s">
        <v>50</v>
      </c>
      <c r="AZ63" s="24" t="s">
        <v>50</v>
      </c>
      <c r="BA63" s="24" t="s">
        <v>50</v>
      </c>
      <c r="BB63" s="24" t="s">
        <v>50</v>
      </c>
      <c r="BC63" s="24" t="s">
        <v>50</v>
      </c>
      <c r="BD63" s="24" t="s">
        <v>50</v>
      </c>
      <c r="BE63" s="24" t="s">
        <v>50</v>
      </c>
      <c r="BF63" s="24" t="s">
        <v>50</v>
      </c>
      <c r="BG63" s="24" t="s">
        <v>50</v>
      </c>
      <c r="BH63" s="24" t="s">
        <v>50</v>
      </c>
      <c r="BI63" s="23">
        <v>0</v>
      </c>
      <c r="BJ63" s="23">
        <v>0</v>
      </c>
      <c r="BK63" s="23">
        <v>1</v>
      </c>
      <c r="BL63" s="23">
        <v>30</v>
      </c>
      <c r="BM63">
        <v>0</v>
      </c>
      <c r="BN63">
        <v>0</v>
      </c>
      <c r="BO63" s="23">
        <v>0</v>
      </c>
    </row>
    <row r="64" spans="1:67" ht="15.75" customHeight="1" x14ac:dyDescent="0.2">
      <c r="A64" s="3">
        <f t="shared" si="0"/>
        <v>2062</v>
      </c>
      <c r="B64" s="3" t="s">
        <v>372</v>
      </c>
      <c r="C64" s="3" t="s">
        <v>372</v>
      </c>
      <c r="D64" s="27" t="s">
        <v>370</v>
      </c>
      <c r="E64" s="5" t="s">
        <v>371</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0</v>
      </c>
      <c r="AG64" s="3">
        <v>0</v>
      </c>
      <c r="AH64" s="3">
        <v>0</v>
      </c>
      <c r="AI64" s="3">
        <v>0</v>
      </c>
      <c r="AJ64" s="3">
        <v>0</v>
      </c>
      <c r="AK64" s="3">
        <v>30</v>
      </c>
      <c r="AL64" s="3" t="s">
        <v>31</v>
      </c>
      <c r="AM64" s="3" t="s">
        <v>569</v>
      </c>
      <c r="AN64" s="3" t="s">
        <v>2003</v>
      </c>
      <c r="AO64" s="3" t="s">
        <v>1853</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row>
    <row r="65" spans="1:67" ht="15.75" customHeight="1" x14ac:dyDescent="0.2">
      <c r="A65" s="3">
        <f t="shared" si="0"/>
        <v>2063</v>
      </c>
      <c r="B65" s="3" t="s">
        <v>570</v>
      </c>
      <c r="C65" s="3" t="s">
        <v>570</v>
      </c>
      <c r="D65" s="27" t="s">
        <v>370</v>
      </c>
      <c r="E65" s="5" t="s">
        <v>371</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0</v>
      </c>
      <c r="AG65" s="3">
        <v>0</v>
      </c>
      <c r="AH65" s="3">
        <v>0</v>
      </c>
      <c r="AI65" s="3">
        <v>0</v>
      </c>
      <c r="AJ65" s="3">
        <v>0</v>
      </c>
      <c r="AK65" s="3">
        <v>30</v>
      </c>
      <c r="AL65" s="3" t="s">
        <v>31</v>
      </c>
      <c r="AM65" s="3" t="s">
        <v>569</v>
      </c>
      <c r="AN65" s="3" t="s">
        <v>2003</v>
      </c>
      <c r="AO65" s="3" t="s">
        <v>1853</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row>
    <row r="66" spans="1:67" ht="15.75" customHeight="1" x14ac:dyDescent="0.2">
      <c r="A66" s="3">
        <f t="shared" si="0"/>
        <v>2064</v>
      </c>
      <c r="B66" s="3" t="s">
        <v>1129</v>
      </c>
      <c r="C66" s="3" t="s">
        <v>1066</v>
      </c>
      <c r="D66" s="27" t="s">
        <v>1067</v>
      </c>
      <c r="E66" s="5" t="s">
        <v>1068</v>
      </c>
      <c r="F66" s="3">
        <v>0</v>
      </c>
      <c r="G66" s="3">
        <v>300</v>
      </c>
      <c r="H66" s="3">
        <v>0</v>
      </c>
      <c r="I66" s="3">
        <v>20</v>
      </c>
      <c r="J66" s="3">
        <v>0</v>
      </c>
      <c r="K66" s="3">
        <v>1</v>
      </c>
      <c r="L66" s="3">
        <v>0</v>
      </c>
      <c r="M66" s="3">
        <v>0</v>
      </c>
      <c r="N66" s="3">
        <v>0</v>
      </c>
      <c r="O66" s="3">
        <v>0</v>
      </c>
      <c r="P66" s="3">
        <v>0</v>
      </c>
      <c r="Q66" s="3">
        <v>0</v>
      </c>
      <c r="R66" s="3">
        <v>0</v>
      </c>
      <c r="S66" s="3">
        <v>0</v>
      </c>
      <c r="T66" s="3">
        <v>0</v>
      </c>
      <c r="U66" s="3">
        <v>0</v>
      </c>
      <c r="V66" s="3">
        <v>0</v>
      </c>
      <c r="W66" s="3">
        <v>0</v>
      </c>
      <c r="X66" s="3">
        <v>0</v>
      </c>
      <c r="Y66" s="3">
        <v>70</v>
      </c>
      <c r="Z66" s="3">
        <v>0</v>
      </c>
      <c r="AA66" s="3">
        <v>0</v>
      </c>
      <c r="AB66" s="3">
        <v>0</v>
      </c>
      <c r="AC66" s="3">
        <v>0</v>
      </c>
      <c r="AD66" s="3">
        <v>0</v>
      </c>
      <c r="AE66" s="3">
        <v>0</v>
      </c>
      <c r="AF66" s="3">
        <v>0</v>
      </c>
      <c r="AG66" s="3">
        <v>0</v>
      </c>
      <c r="AH66" s="3">
        <v>0</v>
      </c>
      <c r="AI66" s="3">
        <v>0</v>
      </c>
      <c r="AJ66" s="3">
        <v>0</v>
      </c>
      <c r="AK66" s="3">
        <v>30</v>
      </c>
      <c r="AL66" s="3" t="s">
        <v>31</v>
      </c>
      <c r="AM66" s="3" t="s">
        <v>569</v>
      </c>
      <c r="AN66" s="3" t="s">
        <v>2003</v>
      </c>
      <c r="AO66" s="3" t="s">
        <v>1853</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0</v>
      </c>
    </row>
    <row r="67" spans="1:67" ht="15.75" customHeight="1" x14ac:dyDescent="0.2">
      <c r="A67" s="3">
        <f t="shared" ref="A67:A130" si="1">ROW()+1998</f>
        <v>2065</v>
      </c>
      <c r="B67" s="3" t="s">
        <v>1131</v>
      </c>
      <c r="C67" s="3" t="s">
        <v>482</v>
      </c>
      <c r="D67" s="27" t="s">
        <v>483</v>
      </c>
      <c r="E67" s="5" t="s">
        <v>867</v>
      </c>
      <c r="F67" s="3">
        <v>0</v>
      </c>
      <c r="G67" s="3">
        <v>300</v>
      </c>
      <c r="H67" s="3">
        <v>0</v>
      </c>
      <c r="I67" s="3">
        <v>20</v>
      </c>
      <c r="J67" s="3">
        <v>0</v>
      </c>
      <c r="K67" s="3">
        <v>1</v>
      </c>
      <c r="L67" s="3">
        <v>0</v>
      </c>
      <c r="M67" s="3">
        <v>0</v>
      </c>
      <c r="N67" s="3">
        <v>0</v>
      </c>
      <c r="O67" s="3">
        <v>0</v>
      </c>
      <c r="P67" s="3">
        <v>0</v>
      </c>
      <c r="Q67" s="3">
        <v>0</v>
      </c>
      <c r="R67" s="3">
        <v>0</v>
      </c>
      <c r="S67" s="3">
        <v>0</v>
      </c>
      <c r="T67" s="3">
        <v>0</v>
      </c>
      <c r="U67" s="3">
        <v>0</v>
      </c>
      <c r="V67" s="3">
        <v>0</v>
      </c>
      <c r="W67" s="3">
        <v>0</v>
      </c>
      <c r="X67" s="3">
        <v>0</v>
      </c>
      <c r="Y67" s="3">
        <v>50</v>
      </c>
      <c r="Z67" s="3">
        <v>0</v>
      </c>
      <c r="AA67" s="3">
        <v>0</v>
      </c>
      <c r="AB67" s="3">
        <v>0</v>
      </c>
      <c r="AC67" s="3">
        <v>0</v>
      </c>
      <c r="AD67" s="3">
        <v>0</v>
      </c>
      <c r="AE67" s="3">
        <v>0</v>
      </c>
      <c r="AF67" s="3">
        <v>0</v>
      </c>
      <c r="AG67" s="3">
        <v>0</v>
      </c>
      <c r="AH67" s="3">
        <v>0</v>
      </c>
      <c r="AI67" s="3">
        <v>0</v>
      </c>
      <c r="AJ67" s="3">
        <v>0</v>
      </c>
      <c r="AK67" s="3">
        <v>30</v>
      </c>
      <c r="AL67" s="3" t="s">
        <v>31</v>
      </c>
      <c r="AM67" s="3" t="s">
        <v>569</v>
      </c>
      <c r="AN67" s="3" t="s">
        <v>2003</v>
      </c>
      <c r="AO67" s="3" t="s">
        <v>1853</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row>
    <row r="68" spans="1:67" ht="15.75" customHeight="1" x14ac:dyDescent="0.2">
      <c r="A68" s="3">
        <f t="shared" si="1"/>
        <v>2066</v>
      </c>
      <c r="B68" s="3" t="s">
        <v>1313</v>
      </c>
      <c r="C68" s="3" t="s">
        <v>1309</v>
      </c>
      <c r="D68" s="27" t="s">
        <v>1312</v>
      </c>
      <c r="E68" s="5" t="s">
        <v>1310</v>
      </c>
      <c r="F68" s="3">
        <v>0</v>
      </c>
      <c r="G68" s="3">
        <v>300</v>
      </c>
      <c r="H68" s="3">
        <v>0</v>
      </c>
      <c r="I68" s="3">
        <v>20</v>
      </c>
      <c r="J68" s="3">
        <v>0</v>
      </c>
      <c r="K68" s="3">
        <v>1</v>
      </c>
      <c r="L68" s="3">
        <v>0</v>
      </c>
      <c r="M68" s="3">
        <v>0</v>
      </c>
      <c r="N68" s="3">
        <v>0</v>
      </c>
      <c r="O68" s="3">
        <v>0</v>
      </c>
      <c r="P68" s="3">
        <v>0</v>
      </c>
      <c r="Q68" s="3">
        <v>0</v>
      </c>
      <c r="R68" s="3">
        <v>0</v>
      </c>
      <c r="S68" s="3">
        <v>0</v>
      </c>
      <c r="T68" s="3">
        <v>0</v>
      </c>
      <c r="U68" s="3">
        <v>0</v>
      </c>
      <c r="V68" s="3">
        <v>0</v>
      </c>
      <c r="W68" s="3">
        <v>0</v>
      </c>
      <c r="X68" s="3">
        <v>0</v>
      </c>
      <c r="Y68" s="3">
        <v>60</v>
      </c>
      <c r="Z68" s="3">
        <v>0</v>
      </c>
      <c r="AA68" s="3">
        <v>0</v>
      </c>
      <c r="AB68" s="3">
        <v>0</v>
      </c>
      <c r="AC68" s="3">
        <v>0</v>
      </c>
      <c r="AD68" s="3">
        <v>0</v>
      </c>
      <c r="AE68" s="3">
        <v>0</v>
      </c>
      <c r="AF68" s="3">
        <v>0</v>
      </c>
      <c r="AG68" s="3">
        <v>0</v>
      </c>
      <c r="AH68" s="3">
        <v>0</v>
      </c>
      <c r="AI68" s="3">
        <v>0</v>
      </c>
      <c r="AJ68" s="3">
        <v>0</v>
      </c>
      <c r="AK68" s="3">
        <v>30</v>
      </c>
      <c r="AL68" s="3" t="s">
        <v>31</v>
      </c>
      <c r="AM68" s="3" t="s">
        <v>569</v>
      </c>
      <c r="AN68" s="3" t="s">
        <v>2003</v>
      </c>
      <c r="AO68" s="3" t="s">
        <v>1853</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row>
    <row r="69" spans="1:67" ht="15.75" customHeight="1" x14ac:dyDescent="0.2">
      <c r="A69" s="3">
        <f t="shared" si="1"/>
        <v>2067</v>
      </c>
      <c r="B69" s="3" t="s">
        <v>1130</v>
      </c>
      <c r="C69" s="3" t="s">
        <v>868</v>
      </c>
      <c r="D69" s="27" t="s">
        <v>869</v>
      </c>
      <c r="E69" s="5" t="s">
        <v>870</v>
      </c>
      <c r="F69" s="3">
        <v>0</v>
      </c>
      <c r="G69" s="3">
        <v>300</v>
      </c>
      <c r="H69" s="3">
        <v>0</v>
      </c>
      <c r="I69" s="3">
        <v>20</v>
      </c>
      <c r="J69" s="3">
        <v>0</v>
      </c>
      <c r="K69" s="3">
        <v>1</v>
      </c>
      <c r="L69" s="3">
        <v>0</v>
      </c>
      <c r="M69" s="3">
        <v>0</v>
      </c>
      <c r="N69" s="3">
        <v>0</v>
      </c>
      <c r="O69" s="3">
        <v>0</v>
      </c>
      <c r="P69" s="3">
        <v>0</v>
      </c>
      <c r="Q69" s="3">
        <v>0</v>
      </c>
      <c r="R69" s="3">
        <v>0</v>
      </c>
      <c r="S69" s="3">
        <v>0</v>
      </c>
      <c r="T69" s="3">
        <v>0</v>
      </c>
      <c r="U69" s="3">
        <v>0</v>
      </c>
      <c r="V69" s="3">
        <v>0</v>
      </c>
      <c r="W69" s="3">
        <v>0</v>
      </c>
      <c r="X69" s="3">
        <v>0</v>
      </c>
      <c r="Y69" s="3">
        <v>60</v>
      </c>
      <c r="Z69" s="3">
        <v>0</v>
      </c>
      <c r="AA69" s="3">
        <v>0</v>
      </c>
      <c r="AB69" s="3">
        <v>0</v>
      </c>
      <c r="AC69" s="3">
        <v>0</v>
      </c>
      <c r="AD69" s="3">
        <v>0</v>
      </c>
      <c r="AE69" s="3">
        <v>0</v>
      </c>
      <c r="AF69" s="3">
        <v>0</v>
      </c>
      <c r="AG69" s="3">
        <v>0</v>
      </c>
      <c r="AH69" s="3">
        <v>0</v>
      </c>
      <c r="AI69" s="3">
        <v>0</v>
      </c>
      <c r="AJ69" s="3">
        <v>0</v>
      </c>
      <c r="AK69" s="3">
        <v>30</v>
      </c>
      <c r="AL69" s="3" t="s">
        <v>31</v>
      </c>
      <c r="AM69" s="3" t="s">
        <v>569</v>
      </c>
      <c r="AN69" s="3" t="s">
        <v>2003</v>
      </c>
      <c r="AO69" s="3" t="s">
        <v>1853</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row>
    <row r="70" spans="1:67" ht="15.75" customHeight="1" x14ac:dyDescent="0.2">
      <c r="A70" s="3">
        <f t="shared" si="1"/>
        <v>2068</v>
      </c>
      <c r="B70" s="3" t="s">
        <v>1132</v>
      </c>
      <c r="C70" s="3" t="s">
        <v>1223</v>
      </c>
      <c r="D70" s="27" t="s">
        <v>1224</v>
      </c>
      <c r="E70" s="5" t="s">
        <v>1225</v>
      </c>
      <c r="F70" s="3">
        <v>0</v>
      </c>
      <c r="G70" s="3">
        <v>300</v>
      </c>
      <c r="H70" s="3">
        <v>0</v>
      </c>
      <c r="I70" s="3">
        <v>20</v>
      </c>
      <c r="J70" s="3">
        <v>0</v>
      </c>
      <c r="K70" s="3">
        <v>1</v>
      </c>
      <c r="L70" s="3">
        <v>0</v>
      </c>
      <c r="M70" s="3">
        <v>0</v>
      </c>
      <c r="N70" s="3">
        <v>0</v>
      </c>
      <c r="O70" s="3">
        <v>0</v>
      </c>
      <c r="P70" s="3">
        <v>0</v>
      </c>
      <c r="Q70" s="3">
        <v>0</v>
      </c>
      <c r="R70" s="3">
        <v>0</v>
      </c>
      <c r="S70" s="3">
        <v>0</v>
      </c>
      <c r="T70" s="3">
        <v>0</v>
      </c>
      <c r="U70" s="3">
        <v>0</v>
      </c>
      <c r="V70" s="3">
        <v>0</v>
      </c>
      <c r="W70" s="3">
        <v>0</v>
      </c>
      <c r="X70" s="3">
        <v>0</v>
      </c>
      <c r="Y70" s="3">
        <v>60</v>
      </c>
      <c r="Z70" s="3">
        <v>0</v>
      </c>
      <c r="AA70" s="3">
        <v>0</v>
      </c>
      <c r="AB70" s="3">
        <v>0</v>
      </c>
      <c r="AC70" s="3">
        <v>0</v>
      </c>
      <c r="AD70" s="3">
        <v>0</v>
      </c>
      <c r="AE70" s="3">
        <v>0</v>
      </c>
      <c r="AF70" s="3">
        <v>0</v>
      </c>
      <c r="AG70" s="3">
        <v>0</v>
      </c>
      <c r="AH70" s="3">
        <v>0</v>
      </c>
      <c r="AI70" s="3">
        <v>0</v>
      </c>
      <c r="AJ70" s="3">
        <v>0</v>
      </c>
      <c r="AK70" s="3">
        <v>30</v>
      </c>
      <c r="AL70" s="3" t="s">
        <v>31</v>
      </c>
      <c r="AM70" s="3" t="s">
        <v>569</v>
      </c>
      <c r="AN70" s="3" t="s">
        <v>2003</v>
      </c>
      <c r="AO70" s="3" t="s">
        <v>1853</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row>
    <row r="71" spans="1:67" ht="15.75" customHeight="1" x14ac:dyDescent="0.2">
      <c r="A71" s="3">
        <f t="shared" si="1"/>
        <v>2069</v>
      </c>
      <c r="B71" s="3" t="s">
        <v>1296</v>
      </c>
      <c r="C71" s="3" t="s">
        <v>1217</v>
      </c>
      <c r="D71" s="27" t="s">
        <v>1215</v>
      </c>
      <c r="E71" s="5" t="s">
        <v>1216</v>
      </c>
      <c r="F71" s="3">
        <v>0</v>
      </c>
      <c r="G71" s="3">
        <v>300</v>
      </c>
      <c r="H71" s="3">
        <v>0</v>
      </c>
      <c r="I71" s="3">
        <v>20</v>
      </c>
      <c r="J71" s="3">
        <v>0</v>
      </c>
      <c r="K71" s="3">
        <v>1</v>
      </c>
      <c r="L71" s="3">
        <v>0</v>
      </c>
      <c r="M71" s="3">
        <v>0</v>
      </c>
      <c r="N71" s="3">
        <v>0</v>
      </c>
      <c r="O71" s="3">
        <v>0</v>
      </c>
      <c r="P71" s="3">
        <v>0</v>
      </c>
      <c r="Q71" s="3">
        <v>0</v>
      </c>
      <c r="R71" s="3">
        <v>0</v>
      </c>
      <c r="S71" s="3">
        <v>0</v>
      </c>
      <c r="T71" s="3">
        <v>0</v>
      </c>
      <c r="U71" s="3">
        <v>0</v>
      </c>
      <c r="V71" s="3">
        <v>0</v>
      </c>
      <c r="W71" s="3">
        <v>0</v>
      </c>
      <c r="X71" s="3">
        <v>0</v>
      </c>
      <c r="Y71" s="3">
        <v>60</v>
      </c>
      <c r="Z71" s="3">
        <v>0</v>
      </c>
      <c r="AA71" s="3">
        <v>0</v>
      </c>
      <c r="AB71" s="3">
        <v>0</v>
      </c>
      <c r="AC71" s="3">
        <v>0</v>
      </c>
      <c r="AD71" s="3">
        <v>0</v>
      </c>
      <c r="AE71" s="3">
        <v>0</v>
      </c>
      <c r="AF71" s="3">
        <v>0</v>
      </c>
      <c r="AG71" s="3">
        <v>0</v>
      </c>
      <c r="AH71" s="3">
        <v>0</v>
      </c>
      <c r="AI71" s="3">
        <v>0</v>
      </c>
      <c r="AJ71" s="3">
        <v>0</v>
      </c>
      <c r="AK71" s="3">
        <v>30</v>
      </c>
      <c r="AL71" s="3" t="s">
        <v>31</v>
      </c>
      <c r="AM71" s="3" t="s">
        <v>569</v>
      </c>
      <c r="AN71" s="3" t="s">
        <v>2003</v>
      </c>
      <c r="AO71" s="3" t="s">
        <v>1853</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row>
    <row r="72" spans="1:67" ht="15.75" customHeight="1" x14ac:dyDescent="0.2">
      <c r="A72" s="3">
        <f t="shared" si="1"/>
        <v>2070</v>
      </c>
      <c r="B72" s="3" t="s">
        <v>1176</v>
      </c>
      <c r="C72" s="3" t="s">
        <v>1155</v>
      </c>
      <c r="D72" s="27" t="s">
        <v>1153</v>
      </c>
      <c r="E72" s="5" t="s">
        <v>1154</v>
      </c>
      <c r="F72" s="3">
        <v>0</v>
      </c>
      <c r="G72" s="3">
        <v>300</v>
      </c>
      <c r="H72" s="3">
        <v>0</v>
      </c>
      <c r="I72" s="3">
        <v>20</v>
      </c>
      <c r="J72" s="3">
        <v>0</v>
      </c>
      <c r="K72" s="3">
        <v>1</v>
      </c>
      <c r="L72" s="3">
        <v>0</v>
      </c>
      <c r="M72" s="3">
        <v>0</v>
      </c>
      <c r="N72" s="3">
        <v>0</v>
      </c>
      <c r="O72" s="3">
        <v>0</v>
      </c>
      <c r="P72" s="3">
        <v>0</v>
      </c>
      <c r="Q72" s="3">
        <v>0</v>
      </c>
      <c r="R72" s="3">
        <v>0</v>
      </c>
      <c r="S72" s="3">
        <v>0</v>
      </c>
      <c r="T72" s="3">
        <v>0</v>
      </c>
      <c r="U72" s="3">
        <v>0</v>
      </c>
      <c r="V72" s="3">
        <v>0</v>
      </c>
      <c r="W72" s="3">
        <v>0</v>
      </c>
      <c r="X72" s="3">
        <v>0</v>
      </c>
      <c r="Y72" s="3">
        <v>60</v>
      </c>
      <c r="Z72" s="3">
        <v>0</v>
      </c>
      <c r="AA72" s="3">
        <v>0</v>
      </c>
      <c r="AB72" s="3">
        <v>0</v>
      </c>
      <c r="AC72" s="3">
        <v>0</v>
      </c>
      <c r="AD72" s="3">
        <v>0</v>
      </c>
      <c r="AE72" s="3">
        <v>0</v>
      </c>
      <c r="AF72" s="3">
        <v>0</v>
      </c>
      <c r="AG72" s="3">
        <v>0</v>
      </c>
      <c r="AH72" s="3">
        <v>0</v>
      </c>
      <c r="AI72" s="3">
        <v>0</v>
      </c>
      <c r="AJ72" s="3">
        <v>0</v>
      </c>
      <c r="AK72" s="3">
        <v>30</v>
      </c>
      <c r="AL72" s="3" t="s">
        <v>31</v>
      </c>
      <c r="AM72" s="3" t="s">
        <v>569</v>
      </c>
      <c r="AN72" s="3" t="s">
        <v>2003</v>
      </c>
      <c r="AO72" s="3" t="s">
        <v>1853</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row>
    <row r="73" spans="1:67" ht="15.75" customHeight="1" x14ac:dyDescent="0.2">
      <c r="A73" s="3">
        <f t="shared" si="1"/>
        <v>2071</v>
      </c>
      <c r="B73" s="3" t="s">
        <v>3095</v>
      </c>
      <c r="C73" s="3" t="s">
        <v>3095</v>
      </c>
      <c r="D73" s="27" t="s">
        <v>3096</v>
      </c>
      <c r="E73" s="5" t="s">
        <v>3133</v>
      </c>
      <c r="F73" s="3">
        <v>0</v>
      </c>
      <c r="G73" s="3">
        <v>300</v>
      </c>
      <c r="H73" s="3">
        <v>0</v>
      </c>
      <c r="I73" s="3">
        <v>20</v>
      </c>
      <c r="J73" s="3">
        <v>0</v>
      </c>
      <c r="K73" s="3">
        <v>1</v>
      </c>
      <c r="L73" s="3">
        <v>0</v>
      </c>
      <c r="M73" s="3">
        <v>0</v>
      </c>
      <c r="N73" s="3">
        <v>0</v>
      </c>
      <c r="O73" s="3">
        <v>0</v>
      </c>
      <c r="P73" s="3">
        <v>0</v>
      </c>
      <c r="Q73" s="3">
        <v>0</v>
      </c>
      <c r="R73" s="3">
        <v>0</v>
      </c>
      <c r="S73" s="3">
        <v>0</v>
      </c>
      <c r="T73" s="3">
        <v>0</v>
      </c>
      <c r="U73" s="3">
        <v>0</v>
      </c>
      <c r="V73" s="3">
        <v>0</v>
      </c>
      <c r="W73" s="3">
        <v>0</v>
      </c>
      <c r="X73" s="3">
        <v>0</v>
      </c>
      <c r="Y73" s="3">
        <v>100</v>
      </c>
      <c r="Z73" s="3">
        <v>0</v>
      </c>
      <c r="AA73" s="3">
        <v>0</v>
      </c>
      <c r="AB73" s="3">
        <v>0</v>
      </c>
      <c r="AC73" s="3">
        <v>0</v>
      </c>
      <c r="AD73" s="3">
        <v>0</v>
      </c>
      <c r="AE73" s="3">
        <v>0</v>
      </c>
      <c r="AF73" s="3">
        <v>0</v>
      </c>
      <c r="AG73" s="3">
        <v>0</v>
      </c>
      <c r="AH73" s="3">
        <v>0</v>
      </c>
      <c r="AI73" s="3">
        <v>0</v>
      </c>
      <c r="AJ73" s="3">
        <v>0</v>
      </c>
      <c r="AK73" s="3">
        <v>30</v>
      </c>
      <c r="AL73" s="3" t="s">
        <v>31</v>
      </c>
      <c r="AM73" s="3" t="s">
        <v>569</v>
      </c>
      <c r="AN73" s="3" t="s">
        <v>3126</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row>
    <row r="74" spans="1:67" ht="15.75" customHeight="1" x14ac:dyDescent="0.2">
      <c r="A74" s="3">
        <f t="shared" si="1"/>
        <v>2072</v>
      </c>
      <c r="B74" s="3" t="s">
        <v>3097</v>
      </c>
      <c r="C74" s="3" t="s">
        <v>3097</v>
      </c>
      <c r="D74" s="27" t="s">
        <v>3098</v>
      </c>
      <c r="E74" s="5" t="s">
        <v>3099</v>
      </c>
      <c r="F74" s="3">
        <v>0</v>
      </c>
      <c r="G74" s="3">
        <v>300</v>
      </c>
      <c r="H74" s="3">
        <v>0</v>
      </c>
      <c r="I74" s="3">
        <v>20</v>
      </c>
      <c r="J74" s="3">
        <v>0</v>
      </c>
      <c r="K74" s="3">
        <v>1</v>
      </c>
      <c r="L74" s="3">
        <v>0</v>
      </c>
      <c r="M74" s="3">
        <v>0</v>
      </c>
      <c r="N74" s="3">
        <v>0</v>
      </c>
      <c r="O74" s="3">
        <v>0</v>
      </c>
      <c r="P74" s="3">
        <v>0</v>
      </c>
      <c r="Q74" s="3">
        <v>0</v>
      </c>
      <c r="R74" s="3">
        <v>0</v>
      </c>
      <c r="S74" s="3">
        <v>0</v>
      </c>
      <c r="T74" s="3">
        <v>0</v>
      </c>
      <c r="U74" s="3">
        <v>0</v>
      </c>
      <c r="V74" s="3">
        <v>0</v>
      </c>
      <c r="W74" s="3">
        <v>0</v>
      </c>
      <c r="X74" s="3">
        <v>0</v>
      </c>
      <c r="Y74" s="3">
        <v>100</v>
      </c>
      <c r="Z74" s="3">
        <v>0</v>
      </c>
      <c r="AA74" s="3">
        <v>0</v>
      </c>
      <c r="AB74" s="3">
        <v>0</v>
      </c>
      <c r="AC74" s="3">
        <v>0</v>
      </c>
      <c r="AD74" s="3">
        <v>0</v>
      </c>
      <c r="AE74" s="3">
        <v>0</v>
      </c>
      <c r="AF74" s="3">
        <v>0</v>
      </c>
      <c r="AG74" s="3">
        <v>0</v>
      </c>
      <c r="AH74" s="3">
        <v>0</v>
      </c>
      <c r="AI74" s="3">
        <v>0</v>
      </c>
      <c r="AJ74" s="3">
        <v>0</v>
      </c>
      <c r="AK74" s="3">
        <v>30</v>
      </c>
      <c r="AL74" s="3" t="s">
        <v>31</v>
      </c>
      <c r="AM74" s="3" t="s">
        <v>569</v>
      </c>
      <c r="AN74" s="3" t="s">
        <v>3126</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row>
    <row r="75" spans="1:67" ht="15.75" customHeight="1" x14ac:dyDescent="0.2">
      <c r="A75" s="3">
        <f t="shared" si="1"/>
        <v>2073</v>
      </c>
      <c r="B75" s="3" t="s">
        <v>3100</v>
      </c>
      <c r="C75" s="3" t="s">
        <v>3100</v>
      </c>
      <c r="D75" s="27" t="s">
        <v>3101</v>
      </c>
      <c r="E75" s="5" t="s">
        <v>3102</v>
      </c>
      <c r="F75" s="3">
        <v>0</v>
      </c>
      <c r="G75" s="3">
        <v>300</v>
      </c>
      <c r="H75" s="3">
        <v>0</v>
      </c>
      <c r="I75" s="3">
        <v>20</v>
      </c>
      <c r="J75" s="3">
        <v>0</v>
      </c>
      <c r="K75" s="3">
        <v>1</v>
      </c>
      <c r="L75" s="3">
        <v>0</v>
      </c>
      <c r="M75" s="3">
        <v>0</v>
      </c>
      <c r="N75" s="3">
        <v>0</v>
      </c>
      <c r="O75" s="3">
        <v>0</v>
      </c>
      <c r="P75" s="3">
        <v>0</v>
      </c>
      <c r="Q75" s="3">
        <v>0</v>
      </c>
      <c r="R75" s="3">
        <v>0</v>
      </c>
      <c r="S75" s="3">
        <v>0</v>
      </c>
      <c r="T75" s="3">
        <v>0</v>
      </c>
      <c r="U75" s="3">
        <v>0</v>
      </c>
      <c r="V75" s="3">
        <v>0</v>
      </c>
      <c r="W75" s="3">
        <v>0</v>
      </c>
      <c r="X75" s="3">
        <v>0</v>
      </c>
      <c r="Y75" s="3">
        <v>100</v>
      </c>
      <c r="Z75" s="3">
        <v>0</v>
      </c>
      <c r="AA75" s="3">
        <v>0</v>
      </c>
      <c r="AB75" s="3">
        <v>0</v>
      </c>
      <c r="AC75" s="3">
        <v>0</v>
      </c>
      <c r="AD75" s="3">
        <v>0</v>
      </c>
      <c r="AE75" s="3">
        <v>0</v>
      </c>
      <c r="AF75" s="3">
        <v>0</v>
      </c>
      <c r="AG75" s="3">
        <v>0</v>
      </c>
      <c r="AH75" s="3">
        <v>0</v>
      </c>
      <c r="AI75" s="3">
        <v>0</v>
      </c>
      <c r="AJ75" s="3">
        <v>0</v>
      </c>
      <c r="AK75" s="3">
        <v>30</v>
      </c>
      <c r="AL75" s="3" t="s">
        <v>31</v>
      </c>
      <c r="AM75" s="3" t="s">
        <v>569</v>
      </c>
      <c r="AN75" s="3" t="s">
        <v>3126</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row>
    <row r="76" spans="1:67" s="23" customFormat="1" ht="15.75" customHeight="1" x14ac:dyDescent="0.2">
      <c r="A76" s="21">
        <f t="shared" si="1"/>
        <v>2074</v>
      </c>
      <c r="B76" s="21" t="s">
        <v>305</v>
      </c>
      <c r="C76" s="21" t="s">
        <v>2341</v>
      </c>
      <c r="D76" s="22" t="s">
        <v>2342</v>
      </c>
      <c r="E76" s="22" t="s">
        <v>2292</v>
      </c>
      <c r="F76" s="21">
        <v>0</v>
      </c>
      <c r="G76" s="21">
        <v>300</v>
      </c>
      <c r="H76" s="21">
        <v>0</v>
      </c>
      <c r="I76" s="21">
        <v>20</v>
      </c>
      <c r="J76" s="21">
        <v>150</v>
      </c>
      <c r="K76" s="21">
        <v>1</v>
      </c>
      <c r="L76" s="21">
        <v>0</v>
      </c>
      <c r="M76" s="21">
        <v>0</v>
      </c>
      <c r="N76" s="21">
        <v>0</v>
      </c>
      <c r="O76" s="21">
        <v>0</v>
      </c>
      <c r="P76" s="21">
        <v>0</v>
      </c>
      <c r="Q76" s="21">
        <v>0</v>
      </c>
      <c r="R76" s="21">
        <v>0</v>
      </c>
      <c r="S76" s="21">
        <v>0</v>
      </c>
      <c r="T76" s="21">
        <v>0</v>
      </c>
      <c r="U76" s="21">
        <v>0</v>
      </c>
      <c r="V76" s="21">
        <v>0</v>
      </c>
      <c r="W76" s="21">
        <v>0</v>
      </c>
      <c r="X76" s="21">
        <v>0</v>
      </c>
      <c r="Y76" s="21">
        <v>0</v>
      </c>
      <c r="Z76" s="21">
        <v>0</v>
      </c>
      <c r="AA76" s="21">
        <v>0</v>
      </c>
      <c r="AB76" s="21">
        <v>0</v>
      </c>
      <c r="AC76" s="21">
        <v>0</v>
      </c>
      <c r="AD76" s="21">
        <v>0</v>
      </c>
      <c r="AE76" s="21">
        <v>0</v>
      </c>
      <c r="AF76" s="21">
        <v>0</v>
      </c>
      <c r="AG76" s="21">
        <v>0</v>
      </c>
      <c r="AH76" s="21">
        <v>0</v>
      </c>
      <c r="AI76" s="21">
        <v>0</v>
      </c>
      <c r="AJ76" s="21">
        <v>0</v>
      </c>
      <c r="AK76" s="21">
        <v>30</v>
      </c>
      <c r="AL76" s="21" t="s">
        <v>31</v>
      </c>
      <c r="AM76" s="21" t="s">
        <v>1855</v>
      </c>
      <c r="AN76" s="21" t="s">
        <v>2019</v>
      </c>
      <c r="AO76" s="21" t="s">
        <v>50</v>
      </c>
      <c r="AP76" s="21">
        <v>30</v>
      </c>
      <c r="AQ76" s="21">
        <v>20</v>
      </c>
      <c r="AR76" s="23">
        <v>1500</v>
      </c>
      <c r="AS76" s="23">
        <v>1200</v>
      </c>
      <c r="AT76" s="24" t="s">
        <v>50</v>
      </c>
      <c r="AU76" s="24" t="s">
        <v>50</v>
      </c>
      <c r="AV76" s="24" t="s">
        <v>50</v>
      </c>
      <c r="AW76" s="24" t="s">
        <v>50</v>
      </c>
      <c r="AX76" s="24" t="s">
        <v>50</v>
      </c>
      <c r="AY76" s="24" t="s">
        <v>50</v>
      </c>
      <c r="AZ76" s="24" t="s">
        <v>50</v>
      </c>
      <c r="BA76" s="24" t="s">
        <v>50</v>
      </c>
      <c r="BB76" s="24" t="s">
        <v>50</v>
      </c>
      <c r="BC76" s="24" t="s">
        <v>50</v>
      </c>
      <c r="BD76" s="24" t="s">
        <v>50</v>
      </c>
      <c r="BE76" s="24" t="s">
        <v>50</v>
      </c>
      <c r="BF76" s="24" t="s">
        <v>50</v>
      </c>
      <c r="BG76" s="24" t="s">
        <v>50</v>
      </c>
      <c r="BH76" s="24" t="s">
        <v>50</v>
      </c>
      <c r="BI76" s="23">
        <v>0</v>
      </c>
      <c r="BJ76" s="23">
        <v>0</v>
      </c>
      <c r="BK76" s="23">
        <v>1</v>
      </c>
      <c r="BL76" s="23">
        <v>30</v>
      </c>
      <c r="BM76">
        <v>0</v>
      </c>
      <c r="BN76">
        <v>0</v>
      </c>
      <c r="BO76" s="23">
        <v>0</v>
      </c>
    </row>
    <row r="77" spans="1:67" ht="15.75" customHeight="1" x14ac:dyDescent="0.2">
      <c r="A77" s="3">
        <f t="shared" si="1"/>
        <v>2075</v>
      </c>
      <c r="B77" s="3" t="s">
        <v>939</v>
      </c>
      <c r="C77" s="3" t="s">
        <v>436</v>
      </c>
      <c r="D77" s="27" t="s">
        <v>711</v>
      </c>
      <c r="E77" s="5" t="s">
        <v>742</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0</v>
      </c>
      <c r="AI77" s="3">
        <v>0</v>
      </c>
      <c r="AJ77" s="3">
        <v>0</v>
      </c>
      <c r="AK77" s="3">
        <v>0</v>
      </c>
      <c r="AL77" s="3" t="s">
        <v>31</v>
      </c>
      <c r="AM77" s="3" t="s">
        <v>1856</v>
      </c>
      <c r="AN77" s="3" t="s">
        <v>2004</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row>
    <row r="78" spans="1:67" ht="15.75" customHeight="1" x14ac:dyDescent="0.2">
      <c r="A78" s="3">
        <f t="shared" si="1"/>
        <v>2076</v>
      </c>
      <c r="B78" s="3" t="s">
        <v>436</v>
      </c>
      <c r="C78" s="3" t="s">
        <v>643</v>
      </c>
      <c r="D78" s="27" t="s">
        <v>940</v>
      </c>
      <c r="E78" s="5" t="s">
        <v>743</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0</v>
      </c>
      <c r="AG78" s="3">
        <v>0</v>
      </c>
      <c r="AH78" s="3">
        <v>0</v>
      </c>
      <c r="AI78" s="3">
        <v>0</v>
      </c>
      <c r="AJ78" s="3">
        <v>0</v>
      </c>
      <c r="AK78" s="3">
        <v>0</v>
      </c>
      <c r="AL78" s="3" t="s">
        <v>31</v>
      </c>
      <c r="AM78" s="3" t="s">
        <v>571</v>
      </c>
      <c r="AN78" s="3" t="s">
        <v>2005</v>
      </c>
      <c r="AO78" s="3" t="s">
        <v>1853</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row>
    <row r="79" spans="1:67" s="9" customFormat="1" ht="15.75" customHeight="1" x14ac:dyDescent="0.2">
      <c r="A79" s="3">
        <f t="shared" si="1"/>
        <v>2077</v>
      </c>
      <c r="B79" s="7" t="s">
        <v>1151</v>
      </c>
      <c r="C79" s="7" t="s">
        <v>1149</v>
      </c>
      <c r="D79" s="28" t="s">
        <v>1148</v>
      </c>
      <c r="E79" s="8" t="s">
        <v>1150</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571</v>
      </c>
      <c r="AN79" s="7" t="s">
        <v>2005</v>
      </c>
      <c r="AO79" s="7" t="s">
        <v>1853</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v>0</v>
      </c>
      <c r="BN79">
        <v>0</v>
      </c>
      <c r="BO79" s="9">
        <v>0</v>
      </c>
    </row>
    <row r="80" spans="1:67" ht="15.75" customHeight="1" x14ac:dyDescent="0.2">
      <c r="A80" s="3">
        <f t="shared" si="1"/>
        <v>2078</v>
      </c>
      <c r="B80" s="3" t="s">
        <v>1115</v>
      </c>
      <c r="C80" s="3" t="s">
        <v>720</v>
      </c>
      <c r="D80" s="27" t="s">
        <v>722</v>
      </c>
      <c r="E80" s="5" t="s">
        <v>728</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0</v>
      </c>
      <c r="AG80" s="3">
        <v>0</v>
      </c>
      <c r="AH80" s="3">
        <v>0</v>
      </c>
      <c r="AI80" s="3">
        <v>0</v>
      </c>
      <c r="AJ80" s="3">
        <v>0</v>
      </c>
      <c r="AK80" s="3">
        <v>0</v>
      </c>
      <c r="AL80" s="3" t="s">
        <v>31</v>
      </c>
      <c r="AM80" s="3" t="s">
        <v>571</v>
      </c>
      <c r="AN80" s="3" t="s">
        <v>2005</v>
      </c>
      <c r="AO80" s="3" t="s">
        <v>1853</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row>
    <row r="81" spans="1:67" ht="15.75" customHeight="1" x14ac:dyDescent="0.2">
      <c r="A81" s="3">
        <f t="shared" si="1"/>
        <v>2079</v>
      </c>
      <c r="B81" s="3" t="s">
        <v>1172</v>
      </c>
      <c r="C81" s="3" t="s">
        <v>726</v>
      </c>
      <c r="D81" s="27" t="s">
        <v>725</v>
      </c>
      <c r="E81" s="5" t="s">
        <v>727</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0</v>
      </c>
      <c r="AG81" s="3">
        <v>0</v>
      </c>
      <c r="AH81" s="3">
        <v>0</v>
      </c>
      <c r="AI81" s="3">
        <v>0</v>
      </c>
      <c r="AJ81" s="3">
        <v>0</v>
      </c>
      <c r="AK81" s="3">
        <v>0</v>
      </c>
      <c r="AL81" s="3" t="s">
        <v>31</v>
      </c>
      <c r="AM81" s="3" t="s">
        <v>571</v>
      </c>
      <c r="AN81" s="3" t="s">
        <v>2005</v>
      </c>
      <c r="AO81" s="3" t="s">
        <v>1853</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row>
    <row r="82" spans="1:67" ht="15.75" customHeight="1" x14ac:dyDescent="0.2">
      <c r="A82" s="3">
        <f t="shared" si="1"/>
        <v>2080</v>
      </c>
      <c r="B82" s="3" t="s">
        <v>1114</v>
      </c>
      <c r="C82" s="3" t="s">
        <v>714</v>
      </c>
      <c r="D82" s="27" t="s">
        <v>850</v>
      </c>
      <c r="E82" s="5" t="s">
        <v>717</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0</v>
      </c>
      <c r="AG82" s="3">
        <v>0</v>
      </c>
      <c r="AH82" s="3">
        <v>0</v>
      </c>
      <c r="AI82" s="3">
        <v>0</v>
      </c>
      <c r="AJ82" s="3">
        <v>0</v>
      </c>
      <c r="AK82" s="3">
        <v>0</v>
      </c>
      <c r="AL82" s="3" t="s">
        <v>31</v>
      </c>
      <c r="AM82" s="3" t="s">
        <v>571</v>
      </c>
      <c r="AN82" s="3" t="s">
        <v>2005</v>
      </c>
      <c r="AO82" s="3" t="s">
        <v>1853</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row>
    <row r="83" spans="1:67" ht="15.75" customHeight="1" x14ac:dyDescent="0.2">
      <c r="A83" s="3">
        <f t="shared" si="1"/>
        <v>2081</v>
      </c>
      <c r="B83" s="3" t="s">
        <v>1116</v>
      </c>
      <c r="C83" s="3" t="s">
        <v>719</v>
      </c>
      <c r="D83" s="27" t="s">
        <v>718</v>
      </c>
      <c r="E83" s="5" t="s">
        <v>723</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0</v>
      </c>
      <c r="AG83" s="3">
        <v>0</v>
      </c>
      <c r="AH83" s="3">
        <v>0</v>
      </c>
      <c r="AI83" s="3">
        <v>0</v>
      </c>
      <c r="AJ83" s="3">
        <v>0</v>
      </c>
      <c r="AK83" s="3">
        <v>0</v>
      </c>
      <c r="AL83" s="3" t="s">
        <v>31</v>
      </c>
      <c r="AM83" s="3" t="s">
        <v>571</v>
      </c>
      <c r="AN83" s="3" t="s">
        <v>2005</v>
      </c>
      <c r="AO83" s="3" t="s">
        <v>1853</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row>
    <row r="84" spans="1:67" ht="15.75" customHeight="1" x14ac:dyDescent="0.2">
      <c r="A84" s="3">
        <f t="shared" si="1"/>
        <v>2082</v>
      </c>
      <c r="B84" s="3" t="s">
        <v>1094</v>
      </c>
      <c r="C84" s="3" t="s">
        <v>1092</v>
      </c>
      <c r="D84" s="27" t="s">
        <v>1357</v>
      </c>
      <c r="E84" s="5" t="s">
        <v>1093</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0</v>
      </c>
      <c r="AG84" s="3">
        <v>0</v>
      </c>
      <c r="AH84" s="3">
        <v>0</v>
      </c>
      <c r="AI84" s="3">
        <v>0</v>
      </c>
      <c r="AJ84" s="3">
        <v>0</v>
      </c>
      <c r="AK84" s="3">
        <v>0</v>
      </c>
      <c r="AL84" s="3" t="s">
        <v>31</v>
      </c>
      <c r="AM84" s="3" t="s">
        <v>571</v>
      </c>
      <c r="AN84" s="3" t="s">
        <v>2005</v>
      </c>
      <c r="AO84" s="3" t="s">
        <v>1853</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row>
    <row r="85" spans="1:67" ht="15.75" customHeight="1" x14ac:dyDescent="0.2">
      <c r="A85" s="3">
        <f t="shared" si="1"/>
        <v>2083</v>
      </c>
      <c r="B85" s="3" t="s">
        <v>1117</v>
      </c>
      <c r="C85" s="3" t="s">
        <v>1037</v>
      </c>
      <c r="D85" s="27" t="s">
        <v>1036</v>
      </c>
      <c r="E85" s="5" t="s">
        <v>1038</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0</v>
      </c>
      <c r="AG85" s="3">
        <v>0</v>
      </c>
      <c r="AH85" s="3">
        <v>0</v>
      </c>
      <c r="AI85" s="3">
        <v>0</v>
      </c>
      <c r="AJ85" s="3">
        <v>0</v>
      </c>
      <c r="AK85" s="3">
        <v>0</v>
      </c>
      <c r="AL85" s="3" t="s">
        <v>31</v>
      </c>
      <c r="AM85" s="3" t="s">
        <v>571</v>
      </c>
      <c r="AN85" s="3" t="s">
        <v>2005</v>
      </c>
      <c r="AO85" s="3" t="s">
        <v>1853</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row>
    <row r="86" spans="1:67" ht="15.75" customHeight="1" x14ac:dyDescent="0.2">
      <c r="A86" s="3">
        <f t="shared" si="1"/>
        <v>2084</v>
      </c>
      <c r="B86" s="3" t="s">
        <v>1177</v>
      </c>
      <c r="C86" s="3" t="s">
        <v>1039</v>
      </c>
      <c r="D86" s="27" t="s">
        <v>721</v>
      </c>
      <c r="E86" s="5" t="s">
        <v>1040</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0</v>
      </c>
      <c r="AG86" s="3">
        <v>0</v>
      </c>
      <c r="AH86" s="3">
        <v>0</v>
      </c>
      <c r="AI86" s="3">
        <v>0</v>
      </c>
      <c r="AJ86" s="3">
        <v>0</v>
      </c>
      <c r="AK86" s="3">
        <v>0</v>
      </c>
      <c r="AL86" s="3" t="s">
        <v>31</v>
      </c>
      <c r="AM86" s="3" t="s">
        <v>571</v>
      </c>
      <c r="AN86" s="3" t="s">
        <v>2005</v>
      </c>
      <c r="AO86" s="3" t="s">
        <v>1853</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row>
    <row r="87" spans="1:67" s="9" customFormat="1" ht="15.75" customHeight="1" x14ac:dyDescent="0.2">
      <c r="A87" s="3">
        <f t="shared" si="1"/>
        <v>2085</v>
      </c>
      <c r="B87" s="7" t="s">
        <v>436</v>
      </c>
      <c r="C87" s="7" t="s">
        <v>730</v>
      </c>
      <c r="D87" s="28" t="s">
        <v>729</v>
      </c>
      <c r="E87" s="8" t="s">
        <v>731</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571</v>
      </c>
      <c r="AN87" s="7" t="s">
        <v>2005</v>
      </c>
      <c r="AO87" s="7" t="s">
        <v>1853</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v>0</v>
      </c>
      <c r="BN87">
        <v>0</v>
      </c>
      <c r="BO87" s="9">
        <v>0</v>
      </c>
    </row>
    <row r="88" spans="1:67" ht="15.75" customHeight="1" x14ac:dyDescent="0.2">
      <c r="A88" s="3">
        <f t="shared" si="1"/>
        <v>2086</v>
      </c>
      <c r="B88" s="3" t="s">
        <v>1273</v>
      </c>
      <c r="C88" s="3" t="s">
        <v>715</v>
      </c>
      <c r="D88" s="27" t="s">
        <v>716</v>
      </c>
      <c r="E88" s="5" t="s">
        <v>741</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0</v>
      </c>
      <c r="AG88" s="3">
        <v>0</v>
      </c>
      <c r="AH88" s="3">
        <v>0</v>
      </c>
      <c r="AI88" s="3">
        <v>0</v>
      </c>
      <c r="AJ88" s="3">
        <v>0</v>
      </c>
      <c r="AK88" s="3">
        <v>0</v>
      </c>
      <c r="AL88" s="3" t="s">
        <v>31</v>
      </c>
      <c r="AM88" s="3" t="s">
        <v>571</v>
      </c>
      <c r="AN88" s="3" t="s">
        <v>2005</v>
      </c>
      <c r="AO88" s="3" t="s">
        <v>1853</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0</v>
      </c>
    </row>
    <row r="89" spans="1:67" s="9" customFormat="1" ht="15.75" customHeight="1" x14ac:dyDescent="0.2">
      <c r="A89" s="3">
        <f t="shared" si="1"/>
        <v>2087</v>
      </c>
      <c r="B89" s="7" t="s">
        <v>436</v>
      </c>
      <c r="C89" s="7" t="s">
        <v>712</v>
      </c>
      <c r="D89" s="28" t="s">
        <v>713</v>
      </c>
      <c r="E89" s="8" t="s">
        <v>724</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571</v>
      </c>
      <c r="AN89" s="7" t="s">
        <v>2005</v>
      </c>
      <c r="AO89" s="7" t="s">
        <v>1853</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v>0</v>
      </c>
      <c r="BN89">
        <v>0</v>
      </c>
      <c r="BO89" s="9">
        <v>0</v>
      </c>
    </row>
    <row r="90" spans="1:67" s="9" customFormat="1" ht="15.75" customHeight="1" x14ac:dyDescent="0.2">
      <c r="A90" s="3">
        <f t="shared" si="1"/>
        <v>2088</v>
      </c>
      <c r="B90" s="7" t="s">
        <v>436</v>
      </c>
      <c r="C90" s="7" t="s">
        <v>803</v>
      </c>
      <c r="D90" s="28" t="s">
        <v>802</v>
      </c>
      <c r="E90" s="8" t="s">
        <v>806</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571</v>
      </c>
      <c r="AN90" s="7" t="s">
        <v>2005</v>
      </c>
      <c r="AO90" s="7" t="s">
        <v>1853</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v>0</v>
      </c>
      <c r="BN90">
        <v>0</v>
      </c>
      <c r="BO90" s="9">
        <v>0</v>
      </c>
    </row>
    <row r="91" spans="1:67" s="9" customFormat="1" ht="15.75" customHeight="1" x14ac:dyDescent="0.2">
      <c r="A91" s="3">
        <f t="shared" si="1"/>
        <v>2089</v>
      </c>
      <c r="B91" s="7" t="s">
        <v>436</v>
      </c>
      <c r="C91" s="7" t="s">
        <v>735</v>
      </c>
      <c r="D91" s="28" t="s">
        <v>734</v>
      </c>
      <c r="E91" s="8" t="s">
        <v>736</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571</v>
      </c>
      <c r="AN91" s="7" t="s">
        <v>2005</v>
      </c>
      <c r="AO91" s="7" t="s">
        <v>1853</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v>0</v>
      </c>
      <c r="BN91">
        <v>0</v>
      </c>
      <c r="BO91" s="9">
        <v>0</v>
      </c>
    </row>
    <row r="92" spans="1:67" s="9" customFormat="1" ht="15.75" customHeight="1" x14ac:dyDescent="0.2">
      <c r="A92" s="3">
        <f t="shared" si="1"/>
        <v>2090</v>
      </c>
      <c r="B92" s="7" t="s">
        <v>436</v>
      </c>
      <c r="C92" s="7" t="s">
        <v>805</v>
      </c>
      <c r="D92" s="28" t="s">
        <v>804</v>
      </c>
      <c r="E92" s="8" t="s">
        <v>807</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571</v>
      </c>
      <c r="AN92" s="7" t="s">
        <v>2005</v>
      </c>
      <c r="AO92" s="7" t="s">
        <v>1853</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v>0</v>
      </c>
      <c r="BN92">
        <v>0</v>
      </c>
      <c r="BO92" s="9">
        <v>0</v>
      </c>
    </row>
    <row r="93" spans="1:67" ht="15.75" customHeight="1" x14ac:dyDescent="0.2">
      <c r="A93" s="3">
        <f t="shared" si="1"/>
        <v>2091</v>
      </c>
      <c r="B93" s="3" t="s">
        <v>1173</v>
      </c>
      <c r="C93" s="3" t="s">
        <v>786</v>
      </c>
      <c r="D93" s="27" t="s">
        <v>738</v>
      </c>
      <c r="E93" s="5" t="s">
        <v>739</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0</v>
      </c>
      <c r="AG93" s="3">
        <v>0</v>
      </c>
      <c r="AH93" s="3">
        <v>0</v>
      </c>
      <c r="AI93" s="3">
        <v>0</v>
      </c>
      <c r="AJ93" s="3">
        <v>0</v>
      </c>
      <c r="AK93" s="3">
        <v>0</v>
      </c>
      <c r="AL93" s="3" t="s">
        <v>31</v>
      </c>
      <c r="AM93" s="3" t="s">
        <v>571</v>
      </c>
      <c r="AN93" s="3" t="s">
        <v>2005</v>
      </c>
      <c r="AO93" s="3" t="s">
        <v>1853</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row>
    <row r="94" spans="1:67" s="9" customFormat="1" ht="15.75" customHeight="1" x14ac:dyDescent="0.2">
      <c r="A94" s="3">
        <f t="shared" si="1"/>
        <v>2092</v>
      </c>
      <c r="B94" s="7" t="s">
        <v>436</v>
      </c>
      <c r="C94" s="7" t="s">
        <v>787</v>
      </c>
      <c r="D94" s="28" t="s">
        <v>740</v>
      </c>
      <c r="E94" s="8" t="s">
        <v>811</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571</v>
      </c>
      <c r="AN94" s="7" t="s">
        <v>2005</v>
      </c>
      <c r="AO94" s="7" t="s">
        <v>1853</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v>0</v>
      </c>
      <c r="BN94">
        <v>0</v>
      </c>
      <c r="BO94" s="9">
        <v>0</v>
      </c>
    </row>
    <row r="95" spans="1:67" ht="15.75" customHeight="1" x14ac:dyDescent="0.2">
      <c r="A95" s="3">
        <f t="shared" si="1"/>
        <v>2093</v>
      </c>
      <c r="B95" s="3" t="s">
        <v>1123</v>
      </c>
      <c r="C95" s="3" t="s">
        <v>756</v>
      </c>
      <c r="D95" s="27" t="s">
        <v>755</v>
      </c>
      <c r="E95" s="5" t="s">
        <v>757</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0</v>
      </c>
      <c r="AG95" s="3">
        <v>0</v>
      </c>
      <c r="AH95" s="3">
        <v>0</v>
      </c>
      <c r="AI95" s="3">
        <v>0</v>
      </c>
      <c r="AJ95" s="3">
        <v>0</v>
      </c>
      <c r="AK95" s="3">
        <v>0</v>
      </c>
      <c r="AL95" s="3" t="s">
        <v>31</v>
      </c>
      <c r="AM95" s="3" t="s">
        <v>571</v>
      </c>
      <c r="AN95" s="3" t="s">
        <v>2005</v>
      </c>
      <c r="AO95" s="3" t="s">
        <v>1853</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row>
    <row r="96" spans="1:67" s="9" customFormat="1" ht="15.75" customHeight="1" x14ac:dyDescent="0.2">
      <c r="A96" s="3">
        <f t="shared" si="1"/>
        <v>2094</v>
      </c>
      <c r="B96" s="7" t="s">
        <v>436</v>
      </c>
      <c r="C96" s="7" t="s">
        <v>809</v>
      </c>
      <c r="D96" s="28" t="s">
        <v>808</v>
      </c>
      <c r="E96" s="8" t="s">
        <v>810</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571</v>
      </c>
      <c r="AN96" s="7" t="s">
        <v>2005</v>
      </c>
      <c r="AO96" s="7" t="s">
        <v>1853</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v>0</v>
      </c>
      <c r="BN96">
        <v>0</v>
      </c>
      <c r="BO96" s="9">
        <v>0</v>
      </c>
    </row>
    <row r="97" spans="1:67" s="9" customFormat="1" ht="15.75" customHeight="1" x14ac:dyDescent="0.2">
      <c r="A97" s="3">
        <f t="shared" si="1"/>
        <v>2095</v>
      </c>
      <c r="B97" s="7" t="s">
        <v>436</v>
      </c>
      <c r="C97" s="7" t="s">
        <v>760</v>
      </c>
      <c r="D97" s="28" t="s">
        <v>758</v>
      </c>
      <c r="E97" s="8" t="s">
        <v>759</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571</v>
      </c>
      <c r="AN97" s="7" t="s">
        <v>2005</v>
      </c>
      <c r="AO97" s="7" t="s">
        <v>1853</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v>0</v>
      </c>
      <c r="BN97">
        <v>0</v>
      </c>
      <c r="BO97" s="9">
        <v>0</v>
      </c>
    </row>
    <row r="98" spans="1:67" s="9" customFormat="1" ht="15.75" customHeight="1" x14ac:dyDescent="0.2">
      <c r="A98" s="3">
        <f t="shared" si="1"/>
        <v>2096</v>
      </c>
      <c r="B98" s="7" t="s">
        <v>436</v>
      </c>
      <c r="C98" s="7" t="s">
        <v>762</v>
      </c>
      <c r="D98" s="28" t="s">
        <v>761</v>
      </c>
      <c r="E98" s="8" t="s">
        <v>763</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571</v>
      </c>
      <c r="AN98" s="7" t="s">
        <v>2005</v>
      </c>
      <c r="AO98" s="7" t="s">
        <v>1853</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v>0</v>
      </c>
      <c r="BN98">
        <v>0</v>
      </c>
      <c r="BO98" s="9">
        <v>0</v>
      </c>
    </row>
    <row r="99" spans="1:67" ht="15.75" customHeight="1" x14ac:dyDescent="0.2">
      <c r="A99" s="3">
        <f t="shared" si="1"/>
        <v>2097</v>
      </c>
      <c r="B99" s="3" t="s">
        <v>1118</v>
      </c>
      <c r="C99" s="3" t="s">
        <v>765</v>
      </c>
      <c r="D99" s="27" t="s">
        <v>764</v>
      </c>
      <c r="E99" s="5" t="s">
        <v>812</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0</v>
      </c>
      <c r="AG99" s="3">
        <v>0</v>
      </c>
      <c r="AH99" s="3">
        <v>0</v>
      </c>
      <c r="AI99" s="3">
        <v>0</v>
      </c>
      <c r="AJ99" s="3">
        <v>0</v>
      </c>
      <c r="AK99" s="3">
        <v>0</v>
      </c>
      <c r="AL99" s="3" t="s">
        <v>31</v>
      </c>
      <c r="AM99" s="3" t="s">
        <v>571</v>
      </c>
      <c r="AN99" s="3" t="s">
        <v>2005</v>
      </c>
      <c r="AO99" s="3" t="s">
        <v>1853</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row>
    <row r="100" spans="1:67" s="9" customFormat="1" ht="15.75" customHeight="1" x14ac:dyDescent="0.2">
      <c r="A100" s="3">
        <f t="shared" si="1"/>
        <v>2098</v>
      </c>
      <c r="B100" s="7" t="s">
        <v>436</v>
      </c>
      <c r="C100" s="7" t="s">
        <v>767</v>
      </c>
      <c r="D100" s="28" t="s">
        <v>766</v>
      </c>
      <c r="E100" s="8" t="s">
        <v>813</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571</v>
      </c>
      <c r="AN100" s="7" t="s">
        <v>2005</v>
      </c>
      <c r="AO100" s="7" t="s">
        <v>1853</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v>0</v>
      </c>
      <c r="BN100">
        <v>0</v>
      </c>
      <c r="BO100" s="9">
        <v>0</v>
      </c>
    </row>
    <row r="101" spans="1:67" s="9" customFormat="1" ht="15.75" customHeight="1" x14ac:dyDescent="0.2">
      <c r="A101" s="3">
        <f t="shared" si="1"/>
        <v>2099</v>
      </c>
      <c r="B101" s="7" t="s">
        <v>436</v>
      </c>
      <c r="C101" s="7" t="s">
        <v>769</v>
      </c>
      <c r="D101" s="28" t="s">
        <v>768</v>
      </c>
      <c r="E101" s="8" t="s">
        <v>770</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571</v>
      </c>
      <c r="AN101" s="7" t="s">
        <v>2005</v>
      </c>
      <c r="AO101" s="7" t="s">
        <v>1853</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v>0</v>
      </c>
      <c r="BN101">
        <v>0</v>
      </c>
      <c r="BO101" s="9">
        <v>0</v>
      </c>
    </row>
    <row r="102" spans="1:67" ht="15.75" customHeight="1" x14ac:dyDescent="0.2">
      <c r="A102" s="3">
        <f t="shared" si="1"/>
        <v>2100</v>
      </c>
      <c r="B102" s="3" t="s">
        <v>1174</v>
      </c>
      <c r="C102" s="3" t="s">
        <v>771</v>
      </c>
      <c r="D102" s="27" t="s">
        <v>772</v>
      </c>
      <c r="E102" s="5" t="s">
        <v>773</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0</v>
      </c>
      <c r="AG102" s="3">
        <v>0</v>
      </c>
      <c r="AH102" s="3">
        <v>0</v>
      </c>
      <c r="AI102" s="3">
        <v>0</v>
      </c>
      <c r="AJ102" s="3">
        <v>0</v>
      </c>
      <c r="AK102" s="3">
        <v>0</v>
      </c>
      <c r="AL102" s="3" t="s">
        <v>31</v>
      </c>
      <c r="AM102" s="3" t="s">
        <v>571</v>
      </c>
      <c r="AN102" s="3" t="s">
        <v>2005</v>
      </c>
      <c r="AO102" s="3" t="s">
        <v>1853</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row>
    <row r="103" spans="1:67" s="9" customFormat="1" ht="15.75" customHeight="1" x14ac:dyDescent="0.2">
      <c r="A103" s="3">
        <f t="shared" si="1"/>
        <v>2101</v>
      </c>
      <c r="B103" s="7" t="s">
        <v>436</v>
      </c>
      <c r="C103" s="7" t="s">
        <v>775</v>
      </c>
      <c r="D103" s="28" t="s">
        <v>774</v>
      </c>
      <c r="E103" s="8" t="s">
        <v>776</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571</v>
      </c>
      <c r="AN103" s="7" t="s">
        <v>2005</v>
      </c>
      <c r="AO103" s="7" t="s">
        <v>1853</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v>0</v>
      </c>
      <c r="BN103">
        <v>0</v>
      </c>
      <c r="BO103" s="9">
        <v>0</v>
      </c>
    </row>
    <row r="104" spans="1:67" s="9" customFormat="1" ht="15.75" customHeight="1" x14ac:dyDescent="0.2">
      <c r="A104" s="3">
        <f t="shared" si="1"/>
        <v>2102</v>
      </c>
      <c r="B104" s="7" t="s">
        <v>436</v>
      </c>
      <c r="C104" s="7" t="s">
        <v>778</v>
      </c>
      <c r="D104" s="28" t="s">
        <v>777</v>
      </c>
      <c r="E104" s="8" t="s">
        <v>779</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571</v>
      </c>
      <c r="AN104" s="7" t="s">
        <v>2005</v>
      </c>
      <c r="AO104" s="7" t="s">
        <v>1853</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v>0</v>
      </c>
      <c r="BN104">
        <v>0</v>
      </c>
      <c r="BO104" s="9">
        <v>0</v>
      </c>
    </row>
    <row r="105" spans="1:67" ht="15.75" customHeight="1" x14ac:dyDescent="0.2">
      <c r="A105" s="3">
        <f t="shared" si="1"/>
        <v>2103</v>
      </c>
      <c r="B105" s="3" t="s">
        <v>1408</v>
      </c>
      <c r="C105" s="3" t="s">
        <v>1368</v>
      </c>
      <c r="D105" s="27" t="s">
        <v>1369</v>
      </c>
      <c r="E105" s="5" t="s">
        <v>1370</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0</v>
      </c>
      <c r="AG105" s="3">
        <v>0</v>
      </c>
      <c r="AH105" s="3">
        <v>0</v>
      </c>
      <c r="AI105" s="3">
        <v>0</v>
      </c>
      <c r="AJ105" s="3">
        <v>0</v>
      </c>
      <c r="AK105" s="3">
        <v>0</v>
      </c>
      <c r="AL105" s="3" t="s">
        <v>31</v>
      </c>
      <c r="AM105" s="3" t="s">
        <v>571</v>
      </c>
      <c r="AN105" s="3" t="s">
        <v>2005</v>
      </c>
      <c r="AO105" s="3" t="s">
        <v>1853</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0</v>
      </c>
    </row>
    <row r="106" spans="1:67" ht="15.75" customHeight="1" x14ac:dyDescent="0.2">
      <c r="A106" s="3">
        <f t="shared" si="1"/>
        <v>2104</v>
      </c>
      <c r="B106" s="3" t="s">
        <v>1269</v>
      </c>
      <c r="C106" s="3" t="s">
        <v>732</v>
      </c>
      <c r="D106" s="27" t="s">
        <v>1362</v>
      </c>
      <c r="E106" s="5" t="s">
        <v>1363</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0</v>
      </c>
      <c r="AG106" s="3">
        <v>0</v>
      </c>
      <c r="AH106" s="3">
        <v>0</v>
      </c>
      <c r="AI106" s="3">
        <v>0</v>
      </c>
      <c r="AJ106" s="3">
        <v>0</v>
      </c>
      <c r="AK106" s="3">
        <v>0</v>
      </c>
      <c r="AL106" s="3" t="s">
        <v>31</v>
      </c>
      <c r="AM106" s="3" t="s">
        <v>571</v>
      </c>
      <c r="AN106" s="3" t="s">
        <v>2005</v>
      </c>
      <c r="AO106" s="3" t="s">
        <v>1853</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0</v>
      </c>
    </row>
    <row r="107" spans="1:67" ht="15.75" customHeight="1" x14ac:dyDescent="0.2">
      <c r="A107" s="3">
        <f t="shared" si="1"/>
        <v>2105</v>
      </c>
      <c r="B107" s="3" t="s">
        <v>1270</v>
      </c>
      <c r="C107" s="3" t="s">
        <v>814</v>
      </c>
      <c r="D107" s="27" t="s">
        <v>815</v>
      </c>
      <c r="E107" s="5" t="s">
        <v>816</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0</v>
      </c>
      <c r="AG107" s="3">
        <v>0</v>
      </c>
      <c r="AH107" s="3">
        <v>0</v>
      </c>
      <c r="AI107" s="3">
        <v>0</v>
      </c>
      <c r="AJ107" s="3">
        <v>0</v>
      </c>
      <c r="AK107" s="3">
        <v>0</v>
      </c>
      <c r="AL107" s="3" t="s">
        <v>31</v>
      </c>
      <c r="AM107" s="3" t="s">
        <v>571</v>
      </c>
      <c r="AN107" s="3" t="s">
        <v>2005</v>
      </c>
      <c r="AO107" s="3" t="s">
        <v>1853</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0</v>
      </c>
    </row>
    <row r="108" spans="1:67" ht="15.75" customHeight="1" x14ac:dyDescent="0.2">
      <c r="A108" s="3">
        <f t="shared" si="1"/>
        <v>2106</v>
      </c>
      <c r="B108" s="3" t="s">
        <v>1271</v>
      </c>
      <c r="C108" s="3" t="s">
        <v>733</v>
      </c>
      <c r="D108" s="27" t="s">
        <v>1361</v>
      </c>
      <c r="E108" s="5" t="s">
        <v>1364</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0</v>
      </c>
      <c r="AG108" s="3">
        <v>0</v>
      </c>
      <c r="AH108" s="3">
        <v>0</v>
      </c>
      <c r="AI108" s="3">
        <v>0</v>
      </c>
      <c r="AJ108" s="3">
        <v>0</v>
      </c>
      <c r="AK108" s="3">
        <v>0</v>
      </c>
      <c r="AL108" s="3" t="s">
        <v>31</v>
      </c>
      <c r="AM108" s="3" t="s">
        <v>571</v>
      </c>
      <c r="AN108" s="3" t="s">
        <v>2005</v>
      </c>
      <c r="AO108" s="3" t="s">
        <v>1853</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0</v>
      </c>
    </row>
    <row r="109" spans="1:67" ht="15.75" customHeight="1" x14ac:dyDescent="0.2">
      <c r="A109" s="3">
        <f t="shared" si="1"/>
        <v>2107</v>
      </c>
      <c r="B109" s="3" t="s">
        <v>1272</v>
      </c>
      <c r="C109" s="3" t="s">
        <v>817</v>
      </c>
      <c r="D109" s="27" t="s">
        <v>818</v>
      </c>
      <c r="E109" s="5" t="s">
        <v>819</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0</v>
      </c>
      <c r="AG109" s="3">
        <v>0</v>
      </c>
      <c r="AH109" s="3">
        <v>0</v>
      </c>
      <c r="AI109" s="3">
        <v>0</v>
      </c>
      <c r="AJ109" s="3">
        <v>0</v>
      </c>
      <c r="AK109" s="3">
        <v>0</v>
      </c>
      <c r="AL109" s="3" t="s">
        <v>31</v>
      </c>
      <c r="AM109" s="3" t="s">
        <v>571</v>
      </c>
      <c r="AN109" s="3" t="s">
        <v>2005</v>
      </c>
      <c r="AO109" s="3" t="s">
        <v>1853</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0</v>
      </c>
    </row>
    <row r="110" spans="1:67" ht="15.75" customHeight="1" x14ac:dyDescent="0.2">
      <c r="A110" s="3">
        <f t="shared" si="1"/>
        <v>2108</v>
      </c>
      <c r="B110" s="3" t="s">
        <v>1175</v>
      </c>
      <c r="C110" s="3" t="s">
        <v>750</v>
      </c>
      <c r="D110" s="27" t="s">
        <v>749</v>
      </c>
      <c r="E110" s="5" t="s">
        <v>751</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0</v>
      </c>
      <c r="AF110" s="3">
        <v>0</v>
      </c>
      <c r="AG110" s="3">
        <v>0</v>
      </c>
      <c r="AH110" s="3">
        <v>0</v>
      </c>
      <c r="AI110" s="3">
        <v>0</v>
      </c>
      <c r="AJ110" s="3">
        <v>0</v>
      </c>
      <c r="AK110" s="3">
        <v>0</v>
      </c>
      <c r="AL110" s="3" t="s">
        <v>31</v>
      </c>
      <c r="AM110" s="3" t="s">
        <v>571</v>
      </c>
      <c r="AN110" s="3" t="s">
        <v>2005</v>
      </c>
      <c r="AO110" s="3" t="s">
        <v>1853</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row>
    <row r="111" spans="1:67" s="9" customFormat="1" ht="15.75" customHeight="1" x14ac:dyDescent="0.2">
      <c r="A111" s="3">
        <f t="shared" si="1"/>
        <v>2109</v>
      </c>
      <c r="B111" s="7" t="s">
        <v>436</v>
      </c>
      <c r="C111" s="7" t="s">
        <v>752</v>
      </c>
      <c r="D111" s="28" t="s">
        <v>753</v>
      </c>
      <c r="E111" s="8" t="s">
        <v>754</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571</v>
      </c>
      <c r="AN111" s="7" t="s">
        <v>2005</v>
      </c>
      <c r="AO111" s="7" t="s">
        <v>1853</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v>0</v>
      </c>
      <c r="BN111">
        <v>0</v>
      </c>
      <c r="BO111" s="9">
        <v>0</v>
      </c>
    </row>
    <row r="112" spans="1:67" ht="15.75" customHeight="1" x14ac:dyDescent="0.2">
      <c r="A112" s="3">
        <f t="shared" si="1"/>
        <v>2110</v>
      </c>
      <c r="B112" s="3" t="s">
        <v>1408</v>
      </c>
      <c r="C112" s="3" t="s">
        <v>3232</v>
      </c>
      <c r="D112" s="27" t="s">
        <v>3233</v>
      </c>
      <c r="E112" s="5" t="s">
        <v>3234</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571</v>
      </c>
      <c r="AN112" s="3" t="s">
        <v>2005</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0</v>
      </c>
      <c r="BN112">
        <v>0</v>
      </c>
      <c r="BO112">
        <v>0</v>
      </c>
    </row>
    <row r="113" spans="1:67" s="23" customFormat="1" ht="15.75" customHeight="1" x14ac:dyDescent="0.2">
      <c r="A113" s="21">
        <f t="shared" si="1"/>
        <v>2111</v>
      </c>
      <c r="B113" s="21" t="s">
        <v>305</v>
      </c>
      <c r="C113" s="21" t="s">
        <v>2343</v>
      </c>
      <c r="D113" s="22" t="s">
        <v>2344</v>
      </c>
      <c r="E113" s="22" t="s">
        <v>2292</v>
      </c>
      <c r="F113" s="21">
        <v>0</v>
      </c>
      <c r="G113" s="21">
        <v>300</v>
      </c>
      <c r="H113" s="21">
        <v>0</v>
      </c>
      <c r="I113" s="21">
        <v>20</v>
      </c>
      <c r="J113" s="21">
        <v>150</v>
      </c>
      <c r="K113" s="21">
        <v>1</v>
      </c>
      <c r="L113" s="21">
        <v>0</v>
      </c>
      <c r="M113" s="21">
        <v>0</v>
      </c>
      <c r="N113" s="21">
        <v>0</v>
      </c>
      <c r="O113" s="21">
        <v>0</v>
      </c>
      <c r="P113" s="21">
        <v>0</v>
      </c>
      <c r="Q113" s="21">
        <v>0</v>
      </c>
      <c r="R113" s="21">
        <v>0</v>
      </c>
      <c r="S113" s="21">
        <v>0</v>
      </c>
      <c r="T113" s="21">
        <v>0</v>
      </c>
      <c r="U113" s="21">
        <v>0</v>
      </c>
      <c r="V113" s="21">
        <v>0</v>
      </c>
      <c r="W113" s="21">
        <v>0</v>
      </c>
      <c r="X113" s="21">
        <v>0</v>
      </c>
      <c r="Y113" s="21">
        <v>0</v>
      </c>
      <c r="Z113" s="21">
        <v>0</v>
      </c>
      <c r="AA113" s="21">
        <v>0</v>
      </c>
      <c r="AB113" s="21">
        <v>0</v>
      </c>
      <c r="AC113" s="21">
        <v>0</v>
      </c>
      <c r="AD113" s="21">
        <v>0</v>
      </c>
      <c r="AE113" s="21">
        <v>0</v>
      </c>
      <c r="AF113" s="21">
        <v>0</v>
      </c>
      <c r="AG113" s="21">
        <v>0</v>
      </c>
      <c r="AH113" s="21">
        <v>0</v>
      </c>
      <c r="AI113" s="21">
        <v>0</v>
      </c>
      <c r="AJ113" s="21">
        <v>0</v>
      </c>
      <c r="AK113" s="21">
        <v>0</v>
      </c>
      <c r="AL113" s="21" t="s">
        <v>31</v>
      </c>
      <c r="AM113" s="21" t="s">
        <v>1855</v>
      </c>
      <c r="AN113" s="21" t="s">
        <v>2019</v>
      </c>
      <c r="AO113" s="21" t="s">
        <v>50</v>
      </c>
      <c r="AP113" s="21">
        <v>30</v>
      </c>
      <c r="AQ113" s="21">
        <v>20</v>
      </c>
      <c r="AR113" s="23">
        <v>1500</v>
      </c>
      <c r="AS113" s="23">
        <v>1200</v>
      </c>
      <c r="AT113" s="24" t="s">
        <v>50</v>
      </c>
      <c r="AU113" s="24" t="s">
        <v>50</v>
      </c>
      <c r="AV113" s="24" t="s">
        <v>50</v>
      </c>
      <c r="AW113" s="24" t="s">
        <v>50</v>
      </c>
      <c r="AX113" s="24" t="s">
        <v>50</v>
      </c>
      <c r="AY113" s="24" t="s">
        <v>50</v>
      </c>
      <c r="AZ113" s="24" t="s">
        <v>50</v>
      </c>
      <c r="BA113" s="24" t="s">
        <v>50</v>
      </c>
      <c r="BB113" s="24" t="s">
        <v>50</v>
      </c>
      <c r="BC113" s="24" t="s">
        <v>50</v>
      </c>
      <c r="BD113" s="24" t="s">
        <v>50</v>
      </c>
      <c r="BE113" s="24" t="s">
        <v>50</v>
      </c>
      <c r="BF113" s="24" t="s">
        <v>50</v>
      </c>
      <c r="BG113" s="24" t="s">
        <v>50</v>
      </c>
      <c r="BH113" s="24" t="s">
        <v>50</v>
      </c>
      <c r="BI113" s="23">
        <v>0</v>
      </c>
      <c r="BJ113" s="23">
        <v>0</v>
      </c>
      <c r="BK113" s="23">
        <v>1</v>
      </c>
      <c r="BL113" s="23">
        <v>30</v>
      </c>
      <c r="BM113">
        <v>0</v>
      </c>
      <c r="BN113">
        <v>0</v>
      </c>
      <c r="BO113" s="23">
        <v>0</v>
      </c>
    </row>
    <row r="114" spans="1:67" s="18" customFormat="1" ht="15.75" customHeight="1" x14ac:dyDescent="0.2">
      <c r="A114" s="16">
        <f t="shared" si="1"/>
        <v>2112</v>
      </c>
      <c r="B114" s="16" t="s">
        <v>1545</v>
      </c>
      <c r="C114" s="16" t="s">
        <v>1545</v>
      </c>
      <c r="D114" s="29" t="s">
        <v>1544</v>
      </c>
      <c r="E114" s="17" t="s">
        <v>1546</v>
      </c>
      <c r="F114" s="16">
        <v>0</v>
      </c>
      <c r="G114" s="16">
        <v>300</v>
      </c>
      <c r="H114" s="16">
        <v>0</v>
      </c>
      <c r="I114" s="16">
        <v>20</v>
      </c>
      <c r="J114" s="16">
        <v>0</v>
      </c>
      <c r="K114" s="16">
        <v>1</v>
      </c>
      <c r="L114" s="16">
        <v>0</v>
      </c>
      <c r="M114" s="16">
        <v>0</v>
      </c>
      <c r="N114" s="16">
        <v>0</v>
      </c>
      <c r="O114" s="16">
        <v>0</v>
      </c>
      <c r="P114" s="16">
        <v>0</v>
      </c>
      <c r="Q114" s="16">
        <v>0</v>
      </c>
      <c r="R114" s="16">
        <v>0</v>
      </c>
      <c r="S114" s="16">
        <v>0</v>
      </c>
      <c r="T114" s="16">
        <v>0</v>
      </c>
      <c r="U114" s="16">
        <v>0</v>
      </c>
      <c r="V114" s="16">
        <v>0</v>
      </c>
      <c r="W114" s="16">
        <v>0</v>
      </c>
      <c r="X114" s="16">
        <v>0</v>
      </c>
      <c r="Y114" s="16">
        <v>90</v>
      </c>
      <c r="Z114" s="16">
        <v>0</v>
      </c>
      <c r="AA114" s="16">
        <v>0</v>
      </c>
      <c r="AB114" s="16">
        <v>0</v>
      </c>
      <c r="AC114" s="16">
        <v>0</v>
      </c>
      <c r="AD114" s="16">
        <v>0</v>
      </c>
      <c r="AE114" s="16">
        <v>0</v>
      </c>
      <c r="AF114" s="16">
        <v>0</v>
      </c>
      <c r="AG114" s="16">
        <v>0</v>
      </c>
      <c r="AH114" s="16">
        <v>0</v>
      </c>
      <c r="AI114" s="16">
        <v>0</v>
      </c>
      <c r="AJ114" s="16">
        <v>0</v>
      </c>
      <c r="AK114" s="16">
        <v>0</v>
      </c>
      <c r="AL114" s="16" t="s">
        <v>31</v>
      </c>
      <c r="AM114" s="16" t="s">
        <v>1547</v>
      </c>
      <c r="AN114" s="16" t="s">
        <v>3127</v>
      </c>
      <c r="AO114" s="16" t="s">
        <v>1853</v>
      </c>
      <c r="AP114" s="16">
        <v>30</v>
      </c>
      <c r="AQ114" s="16">
        <v>2.5</v>
      </c>
      <c r="AR114" s="18">
        <v>1000</v>
      </c>
      <c r="AS114" s="18">
        <v>10</v>
      </c>
      <c r="AT114" s="19" t="s">
        <v>50</v>
      </c>
      <c r="AU114" s="19" t="s">
        <v>50</v>
      </c>
      <c r="AV114" s="19" t="s">
        <v>50</v>
      </c>
      <c r="AW114" s="19" t="s">
        <v>50</v>
      </c>
      <c r="AX114" s="19" t="s">
        <v>50</v>
      </c>
      <c r="AY114" s="19" t="s">
        <v>50</v>
      </c>
      <c r="AZ114" s="19" t="s">
        <v>50</v>
      </c>
      <c r="BA114" s="19" t="s">
        <v>50</v>
      </c>
      <c r="BB114" s="19" t="s">
        <v>50</v>
      </c>
      <c r="BC114" s="19" t="s">
        <v>50</v>
      </c>
      <c r="BD114" s="19" t="s">
        <v>50</v>
      </c>
      <c r="BE114" s="19" t="s">
        <v>50</v>
      </c>
      <c r="BF114" s="19" t="s">
        <v>50</v>
      </c>
      <c r="BG114" s="19" t="s">
        <v>50</v>
      </c>
      <c r="BH114" s="19" t="s">
        <v>50</v>
      </c>
      <c r="BI114" s="18">
        <v>1</v>
      </c>
      <c r="BJ114" s="18">
        <v>160</v>
      </c>
      <c r="BK114" s="18">
        <v>3</v>
      </c>
      <c r="BL114" s="18">
        <v>30</v>
      </c>
      <c r="BM114" s="18">
        <v>0</v>
      </c>
      <c r="BN114" s="18">
        <v>0</v>
      </c>
      <c r="BO114" s="18">
        <v>0</v>
      </c>
    </row>
    <row r="115" spans="1:67" s="23" customFormat="1" ht="15.75" customHeight="1" x14ac:dyDescent="0.2">
      <c r="A115" s="21">
        <f t="shared" si="1"/>
        <v>2113</v>
      </c>
      <c r="B115" s="21" t="s">
        <v>305</v>
      </c>
      <c r="C115" s="21" t="s">
        <v>2363</v>
      </c>
      <c r="D115" s="22" t="s">
        <v>2364</v>
      </c>
      <c r="E115" s="22" t="s">
        <v>2292</v>
      </c>
      <c r="F115" s="21">
        <v>0</v>
      </c>
      <c r="G115" s="21">
        <v>300</v>
      </c>
      <c r="H115" s="21">
        <v>0</v>
      </c>
      <c r="I115" s="21">
        <v>20</v>
      </c>
      <c r="J115" s="21">
        <v>150</v>
      </c>
      <c r="K115" s="21">
        <v>1</v>
      </c>
      <c r="L115" s="21">
        <v>0</v>
      </c>
      <c r="M115" s="21">
        <v>0</v>
      </c>
      <c r="N115" s="21">
        <v>0</v>
      </c>
      <c r="O115" s="21">
        <v>0</v>
      </c>
      <c r="P115" s="21">
        <v>0</v>
      </c>
      <c r="Q115" s="21">
        <v>0</v>
      </c>
      <c r="R115" s="21">
        <v>0</v>
      </c>
      <c r="S115" s="21">
        <v>0</v>
      </c>
      <c r="T115" s="21">
        <v>0</v>
      </c>
      <c r="U115" s="21">
        <v>0</v>
      </c>
      <c r="V115" s="21">
        <v>0</v>
      </c>
      <c r="W115" s="21">
        <v>0</v>
      </c>
      <c r="X115" s="21">
        <v>0</v>
      </c>
      <c r="Y115" s="21">
        <v>0</v>
      </c>
      <c r="Z115" s="21">
        <v>0</v>
      </c>
      <c r="AA115" s="21">
        <v>0</v>
      </c>
      <c r="AB115" s="21">
        <v>0</v>
      </c>
      <c r="AC115" s="21">
        <v>0</v>
      </c>
      <c r="AD115" s="21">
        <v>0</v>
      </c>
      <c r="AE115" s="21">
        <v>0</v>
      </c>
      <c r="AF115" s="21">
        <v>0</v>
      </c>
      <c r="AG115" s="21">
        <v>0</v>
      </c>
      <c r="AH115" s="21">
        <v>0</v>
      </c>
      <c r="AI115" s="21">
        <v>0</v>
      </c>
      <c r="AJ115" s="21">
        <v>0</v>
      </c>
      <c r="AK115" s="21">
        <v>0</v>
      </c>
      <c r="AL115" s="21" t="s">
        <v>31</v>
      </c>
      <c r="AM115" s="21" t="s">
        <v>1855</v>
      </c>
      <c r="AN115" s="21" t="s">
        <v>2019</v>
      </c>
      <c r="AO115" s="21" t="s">
        <v>50</v>
      </c>
      <c r="AP115" s="21">
        <v>30</v>
      </c>
      <c r="AQ115" s="21">
        <v>20</v>
      </c>
      <c r="AR115" s="23">
        <v>1500</v>
      </c>
      <c r="AS115" s="23">
        <v>1200</v>
      </c>
      <c r="AT115" s="24" t="s">
        <v>50</v>
      </c>
      <c r="AU115" s="24" t="s">
        <v>50</v>
      </c>
      <c r="AV115" s="24" t="s">
        <v>50</v>
      </c>
      <c r="AW115" s="24" t="s">
        <v>50</v>
      </c>
      <c r="AX115" s="24" t="s">
        <v>50</v>
      </c>
      <c r="AY115" s="24" t="s">
        <v>50</v>
      </c>
      <c r="AZ115" s="24" t="s">
        <v>50</v>
      </c>
      <c r="BA115" s="24" t="s">
        <v>50</v>
      </c>
      <c r="BB115" s="24" t="s">
        <v>50</v>
      </c>
      <c r="BC115" s="24" t="s">
        <v>50</v>
      </c>
      <c r="BD115" s="24" t="s">
        <v>50</v>
      </c>
      <c r="BE115" s="24" t="s">
        <v>50</v>
      </c>
      <c r="BF115" s="24" t="s">
        <v>50</v>
      </c>
      <c r="BG115" s="24" t="s">
        <v>50</v>
      </c>
      <c r="BH115" s="24" t="s">
        <v>50</v>
      </c>
      <c r="BI115" s="23">
        <v>0</v>
      </c>
      <c r="BJ115" s="23">
        <v>0</v>
      </c>
      <c r="BK115" s="23">
        <v>1</v>
      </c>
      <c r="BL115" s="23">
        <v>30</v>
      </c>
      <c r="BM115">
        <v>0</v>
      </c>
      <c r="BN115">
        <v>0</v>
      </c>
      <c r="BO115" s="23">
        <v>0</v>
      </c>
    </row>
    <row r="116" spans="1:67" ht="15.75" customHeight="1" x14ac:dyDescent="0.2">
      <c r="A116" s="3">
        <f t="shared" si="1"/>
        <v>2114</v>
      </c>
      <c r="B116" s="3" t="s">
        <v>1133</v>
      </c>
      <c r="C116" s="3" t="s">
        <v>1133</v>
      </c>
      <c r="D116" s="27" t="s">
        <v>1373</v>
      </c>
      <c r="E116" s="5" t="s">
        <v>1372</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0</v>
      </c>
      <c r="AF116" s="3">
        <v>0</v>
      </c>
      <c r="AG116" s="3">
        <v>0</v>
      </c>
      <c r="AH116" s="3">
        <v>0</v>
      </c>
      <c r="AI116" s="3">
        <v>0</v>
      </c>
      <c r="AJ116" s="3">
        <v>0</v>
      </c>
      <c r="AK116" s="3">
        <v>0</v>
      </c>
      <c r="AL116" s="3" t="s">
        <v>31</v>
      </c>
      <c r="AM116" s="3" t="s">
        <v>1025</v>
      </c>
      <c r="AN116" s="3" t="s">
        <v>2007</v>
      </c>
      <c r="AO116" s="3" t="s">
        <v>1033</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1350</v>
      </c>
      <c r="BE116" s="6" t="s">
        <v>50</v>
      </c>
      <c r="BF116" s="6" t="s">
        <v>50</v>
      </c>
      <c r="BG116" s="6" t="s">
        <v>50</v>
      </c>
      <c r="BH116" s="6" t="s">
        <v>50</v>
      </c>
      <c r="BI116">
        <v>1</v>
      </c>
      <c r="BJ116">
        <v>720</v>
      </c>
      <c r="BK116">
        <v>2</v>
      </c>
      <c r="BL116">
        <v>30</v>
      </c>
      <c r="BM116">
        <v>0</v>
      </c>
      <c r="BN116">
        <v>0</v>
      </c>
      <c r="BO116">
        <v>0</v>
      </c>
    </row>
    <row r="117" spans="1:67" s="43" customFormat="1" ht="15.75" customHeight="1" x14ac:dyDescent="0.2">
      <c r="A117" s="40">
        <f t="shared" si="1"/>
        <v>2115</v>
      </c>
      <c r="B117" s="40" t="s">
        <v>1133</v>
      </c>
      <c r="C117" s="40" t="s">
        <v>2954</v>
      </c>
      <c r="D117" s="41" t="s">
        <v>3148</v>
      </c>
      <c r="E117" s="42" t="s">
        <v>2955</v>
      </c>
      <c r="F117" s="40">
        <v>1</v>
      </c>
      <c r="G117" s="40">
        <v>300</v>
      </c>
      <c r="H117" s="40">
        <v>0</v>
      </c>
      <c r="I117" s="40">
        <v>20</v>
      </c>
      <c r="J117" s="40">
        <v>0</v>
      </c>
      <c r="K117" s="40">
        <v>1</v>
      </c>
      <c r="L117" s="40">
        <v>0</v>
      </c>
      <c r="M117" s="40">
        <v>0</v>
      </c>
      <c r="N117" s="40">
        <v>0</v>
      </c>
      <c r="O117" s="40">
        <v>0</v>
      </c>
      <c r="P117" s="40">
        <v>20</v>
      </c>
      <c r="Q117" s="40">
        <v>0</v>
      </c>
      <c r="R117" s="40">
        <v>0</v>
      </c>
      <c r="S117" s="40">
        <v>0</v>
      </c>
      <c r="T117" s="40">
        <v>0</v>
      </c>
      <c r="U117" s="40">
        <v>0</v>
      </c>
      <c r="V117" s="40">
        <v>0</v>
      </c>
      <c r="W117" s="40">
        <v>0</v>
      </c>
      <c r="X117" s="40">
        <v>0</v>
      </c>
      <c r="Y117" s="40">
        <v>70</v>
      </c>
      <c r="Z117" s="40">
        <v>0</v>
      </c>
      <c r="AA117" s="40">
        <v>0</v>
      </c>
      <c r="AB117" s="40">
        <v>0</v>
      </c>
      <c r="AC117" s="40">
        <v>0</v>
      </c>
      <c r="AD117" s="40">
        <v>0</v>
      </c>
      <c r="AE117" s="40">
        <v>0</v>
      </c>
      <c r="AF117" s="40">
        <v>0</v>
      </c>
      <c r="AG117" s="40">
        <v>0</v>
      </c>
      <c r="AH117" s="40">
        <v>0</v>
      </c>
      <c r="AI117" s="40">
        <v>0</v>
      </c>
      <c r="AJ117" s="40">
        <v>0</v>
      </c>
      <c r="AK117" s="40">
        <v>0</v>
      </c>
      <c r="AL117" s="40" t="s">
        <v>31</v>
      </c>
      <c r="AM117" s="40" t="s">
        <v>1025</v>
      </c>
      <c r="AN117" s="40" t="s">
        <v>3128</v>
      </c>
      <c r="AO117" s="40" t="s">
        <v>1033</v>
      </c>
      <c r="AP117" s="40">
        <v>30</v>
      </c>
      <c r="AQ117" s="40">
        <v>1.4</v>
      </c>
      <c r="AR117" s="43">
        <v>300</v>
      </c>
      <c r="AS117" s="43">
        <v>10</v>
      </c>
      <c r="AT117" s="44" t="s">
        <v>50</v>
      </c>
      <c r="AU117" s="44" t="s">
        <v>50</v>
      </c>
      <c r="AV117" s="44" t="s">
        <v>50</v>
      </c>
      <c r="AW117" s="44" t="s">
        <v>50</v>
      </c>
      <c r="AX117" s="44" t="s">
        <v>50</v>
      </c>
      <c r="AY117" s="44" t="s">
        <v>50</v>
      </c>
      <c r="AZ117" s="44" t="s">
        <v>50</v>
      </c>
      <c r="BA117" s="44" t="s">
        <v>50</v>
      </c>
      <c r="BB117" s="44" t="s">
        <v>50</v>
      </c>
      <c r="BC117" s="44" t="s">
        <v>50</v>
      </c>
      <c r="BD117" s="44" t="s">
        <v>1350</v>
      </c>
      <c r="BE117" s="44" t="s">
        <v>50</v>
      </c>
      <c r="BF117" s="44" t="s">
        <v>50</v>
      </c>
      <c r="BG117" s="44" t="s">
        <v>50</v>
      </c>
      <c r="BH117" s="44" t="s">
        <v>50</v>
      </c>
      <c r="BI117" s="43">
        <v>1</v>
      </c>
      <c r="BJ117" s="43">
        <v>722</v>
      </c>
      <c r="BK117" s="43">
        <v>2</v>
      </c>
      <c r="BL117" s="43">
        <v>30</v>
      </c>
      <c r="BM117" s="43">
        <v>0</v>
      </c>
      <c r="BN117" s="43">
        <v>0</v>
      </c>
      <c r="BO117" s="43">
        <v>0</v>
      </c>
    </row>
    <row r="118" spans="1:67" ht="15.75" customHeight="1" x14ac:dyDescent="0.2">
      <c r="A118" s="3">
        <f t="shared" si="1"/>
        <v>2116</v>
      </c>
      <c r="B118" s="3" t="s">
        <v>1024</v>
      </c>
      <c r="C118" s="3" t="s">
        <v>1024</v>
      </c>
      <c r="D118" s="27" t="s">
        <v>3156</v>
      </c>
      <c r="E118" s="5" t="s">
        <v>1495</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0</v>
      </c>
      <c r="AF118" s="3">
        <v>0</v>
      </c>
      <c r="AG118" s="3">
        <v>0</v>
      </c>
      <c r="AH118" s="3">
        <v>0</v>
      </c>
      <c r="AI118" s="3">
        <v>0</v>
      </c>
      <c r="AJ118" s="3">
        <v>0</v>
      </c>
      <c r="AK118" s="3">
        <v>0</v>
      </c>
      <c r="AL118" s="3" t="s">
        <v>31</v>
      </c>
      <c r="AM118" s="3" t="s">
        <v>1025</v>
      </c>
      <c r="AN118" s="3" t="s">
        <v>2007</v>
      </c>
      <c r="AO118" s="3" t="s">
        <v>50</v>
      </c>
      <c r="AP118" s="3">
        <v>30</v>
      </c>
      <c r="AQ118" s="3">
        <v>1.1000000000000001</v>
      </c>
      <c r="AR118">
        <v>800</v>
      </c>
      <c r="AS118">
        <v>10</v>
      </c>
      <c r="AT118" s="6" t="s">
        <v>50</v>
      </c>
      <c r="AU118" s="6" t="s">
        <v>50</v>
      </c>
      <c r="AV118" s="6" t="s">
        <v>50</v>
      </c>
      <c r="AW118" s="6" t="s">
        <v>50</v>
      </c>
      <c r="AX118" s="6" t="s">
        <v>50</v>
      </c>
      <c r="AY118" s="6" t="s">
        <v>50</v>
      </c>
      <c r="AZ118" s="6" t="s">
        <v>50</v>
      </c>
      <c r="BA118" s="6" t="s">
        <v>50</v>
      </c>
      <c r="BB118" s="6" t="s">
        <v>50</v>
      </c>
      <c r="BC118" s="6" t="s">
        <v>50</v>
      </c>
      <c r="BD118" s="6" t="s">
        <v>1351</v>
      </c>
      <c r="BE118" s="6" t="s">
        <v>50</v>
      </c>
      <c r="BF118" s="6" t="s">
        <v>50</v>
      </c>
      <c r="BG118" s="6" t="s">
        <v>50</v>
      </c>
      <c r="BH118" s="6" t="s">
        <v>50</v>
      </c>
      <c r="BI118">
        <v>1</v>
      </c>
      <c r="BJ118">
        <v>721</v>
      </c>
      <c r="BK118">
        <v>3</v>
      </c>
      <c r="BL118">
        <v>30</v>
      </c>
      <c r="BM118">
        <v>0</v>
      </c>
      <c r="BN118">
        <v>0</v>
      </c>
      <c r="BO118">
        <v>0</v>
      </c>
    </row>
    <row r="119" spans="1:67" ht="15.75" customHeight="1" x14ac:dyDescent="0.2">
      <c r="A119" s="3">
        <f t="shared" si="1"/>
        <v>2117</v>
      </c>
      <c r="B119" s="3" t="s">
        <v>2713</v>
      </c>
      <c r="C119" s="3" t="s">
        <v>2713</v>
      </c>
      <c r="D119" s="27" t="s">
        <v>2712</v>
      </c>
      <c r="E119" s="5" t="s">
        <v>2884</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0</v>
      </c>
      <c r="AF119" s="3">
        <v>0</v>
      </c>
      <c r="AG119" s="3">
        <v>0</v>
      </c>
      <c r="AH119" s="3">
        <v>0</v>
      </c>
      <c r="AI119" s="3">
        <v>0</v>
      </c>
      <c r="AJ119" s="3">
        <v>0</v>
      </c>
      <c r="AK119" s="3">
        <v>0</v>
      </c>
      <c r="AL119" s="3" t="s">
        <v>31</v>
      </c>
      <c r="AM119" s="3" t="s">
        <v>1025</v>
      </c>
      <c r="AN119" s="3" t="s">
        <v>2007</v>
      </c>
      <c r="AO119" s="3" t="s">
        <v>50</v>
      </c>
      <c r="AP119" s="3">
        <v>30</v>
      </c>
      <c r="AQ119" s="3">
        <v>1.1000000000000001</v>
      </c>
      <c r="AR119">
        <v>800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row>
    <row r="120" spans="1:67" ht="15.75" customHeight="1" x14ac:dyDescent="0.2">
      <c r="A120" s="3">
        <f t="shared" si="1"/>
        <v>2118</v>
      </c>
      <c r="B120" s="3" t="s">
        <v>2891</v>
      </c>
      <c r="C120" s="3" t="s">
        <v>2891</v>
      </c>
      <c r="D120" s="27" t="s">
        <v>3149</v>
      </c>
      <c r="E120" s="5" t="s">
        <v>2892</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0</v>
      </c>
      <c r="AF120" s="3">
        <v>0</v>
      </c>
      <c r="AG120" s="3">
        <v>0</v>
      </c>
      <c r="AH120" s="3">
        <v>0</v>
      </c>
      <c r="AI120" s="3">
        <v>0</v>
      </c>
      <c r="AJ120" s="3">
        <v>0</v>
      </c>
      <c r="AK120" s="3">
        <v>0</v>
      </c>
      <c r="AL120" s="3" t="s">
        <v>31</v>
      </c>
      <c r="AM120" s="3" t="s">
        <v>1025</v>
      </c>
      <c r="AN120" s="3" t="s">
        <v>3128</v>
      </c>
      <c r="AO120" s="3" t="s">
        <v>50</v>
      </c>
      <c r="AP120" s="3">
        <v>30</v>
      </c>
      <c r="AQ120" s="3">
        <v>1.4</v>
      </c>
      <c r="AR120">
        <v>800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0</v>
      </c>
      <c r="BN120">
        <v>0</v>
      </c>
      <c r="BO120">
        <v>0</v>
      </c>
    </row>
    <row r="121" spans="1:67" ht="15.75" customHeight="1" x14ac:dyDescent="0.2">
      <c r="A121" s="3">
        <f t="shared" si="1"/>
        <v>2119</v>
      </c>
      <c r="B121" s="3" t="s">
        <v>2818</v>
      </c>
      <c r="C121" s="3" t="s">
        <v>2818</v>
      </c>
      <c r="D121" s="27" t="s">
        <v>2752</v>
      </c>
      <c r="E121" s="5" t="s">
        <v>2753</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0</v>
      </c>
      <c r="AF121" s="3">
        <v>0</v>
      </c>
      <c r="AG121" s="3">
        <v>0</v>
      </c>
      <c r="AH121" s="3">
        <v>0</v>
      </c>
      <c r="AI121" s="3">
        <v>0</v>
      </c>
      <c r="AJ121" s="3">
        <v>0</v>
      </c>
      <c r="AK121" s="3">
        <v>0</v>
      </c>
      <c r="AL121" s="3" t="s">
        <v>31</v>
      </c>
      <c r="AM121" s="3" t="s">
        <v>1025</v>
      </c>
      <c r="AN121" s="3" t="s">
        <v>2007</v>
      </c>
      <c r="AO121" s="3" t="s">
        <v>50</v>
      </c>
      <c r="AP121" s="3">
        <v>30</v>
      </c>
      <c r="AQ121" s="3">
        <v>1.8</v>
      </c>
      <c r="AR121">
        <v>800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row>
    <row r="122" spans="1:67" ht="15.75" customHeight="1" x14ac:dyDescent="0.2">
      <c r="A122" s="3">
        <f t="shared" si="1"/>
        <v>2120</v>
      </c>
      <c r="B122" s="3" t="s">
        <v>2816</v>
      </c>
      <c r="C122" s="3" t="s">
        <v>2816</v>
      </c>
      <c r="D122" s="27" t="s">
        <v>2815</v>
      </c>
      <c r="E122" s="5" t="s">
        <v>2817</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0</v>
      </c>
      <c r="AF122" s="3">
        <v>0</v>
      </c>
      <c r="AG122" s="3">
        <v>0</v>
      </c>
      <c r="AH122" s="3">
        <v>0</v>
      </c>
      <c r="AI122" s="3">
        <v>0</v>
      </c>
      <c r="AJ122" s="3">
        <v>0</v>
      </c>
      <c r="AK122" s="3">
        <v>0</v>
      </c>
      <c r="AL122" s="3" t="s">
        <v>31</v>
      </c>
      <c r="AM122" s="3" t="s">
        <v>1025</v>
      </c>
      <c r="AN122" s="3" t="s">
        <v>2007</v>
      </c>
      <c r="AO122" s="3" t="s">
        <v>51</v>
      </c>
      <c r="AP122" s="3">
        <v>30</v>
      </c>
      <c r="AQ122" s="3">
        <v>1.1000000000000001</v>
      </c>
      <c r="AR122">
        <v>800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row>
    <row r="123" spans="1:67" s="23" customFormat="1" ht="15.75" customHeight="1" x14ac:dyDescent="0.2">
      <c r="A123" s="21">
        <f t="shared" si="1"/>
        <v>2121</v>
      </c>
      <c r="B123" s="21" t="s">
        <v>305</v>
      </c>
      <c r="C123" s="21" t="s">
        <v>2339</v>
      </c>
      <c r="D123" s="22" t="s">
        <v>2340</v>
      </c>
      <c r="E123" s="22" t="s">
        <v>2292</v>
      </c>
      <c r="F123" s="21">
        <v>0</v>
      </c>
      <c r="G123" s="21">
        <v>300</v>
      </c>
      <c r="H123" s="21">
        <v>0</v>
      </c>
      <c r="I123" s="21">
        <v>20</v>
      </c>
      <c r="J123" s="21">
        <v>150</v>
      </c>
      <c r="K123" s="21">
        <v>1</v>
      </c>
      <c r="L123" s="21">
        <v>0</v>
      </c>
      <c r="M123" s="21">
        <v>0</v>
      </c>
      <c r="N123" s="21">
        <v>0</v>
      </c>
      <c r="O123" s="21">
        <v>0</v>
      </c>
      <c r="P123" s="21">
        <v>0</v>
      </c>
      <c r="Q123" s="21">
        <v>0</v>
      </c>
      <c r="R123" s="21">
        <v>0</v>
      </c>
      <c r="S123" s="21">
        <v>0</v>
      </c>
      <c r="T123" s="21">
        <v>0</v>
      </c>
      <c r="U123" s="21">
        <v>0</v>
      </c>
      <c r="V123" s="21">
        <v>0</v>
      </c>
      <c r="W123" s="21">
        <v>0</v>
      </c>
      <c r="X123" s="21">
        <v>0</v>
      </c>
      <c r="Y123" s="21">
        <v>0</v>
      </c>
      <c r="Z123" s="21">
        <v>0</v>
      </c>
      <c r="AA123" s="21">
        <v>0</v>
      </c>
      <c r="AB123" s="21">
        <v>0</v>
      </c>
      <c r="AC123" s="21">
        <v>0</v>
      </c>
      <c r="AD123" s="21">
        <v>0</v>
      </c>
      <c r="AE123" s="21">
        <v>0</v>
      </c>
      <c r="AF123" s="21">
        <v>0</v>
      </c>
      <c r="AG123" s="21">
        <v>0</v>
      </c>
      <c r="AH123" s="21">
        <v>0</v>
      </c>
      <c r="AI123" s="21">
        <v>0</v>
      </c>
      <c r="AJ123" s="21">
        <v>0</v>
      </c>
      <c r="AK123" s="21">
        <v>0</v>
      </c>
      <c r="AL123" s="21" t="s">
        <v>31</v>
      </c>
      <c r="AM123" s="21" t="s">
        <v>1855</v>
      </c>
      <c r="AN123" s="21" t="s">
        <v>2019</v>
      </c>
      <c r="AO123" s="21" t="s">
        <v>50</v>
      </c>
      <c r="AP123" s="21">
        <v>30</v>
      </c>
      <c r="AQ123" s="21">
        <v>20</v>
      </c>
      <c r="AR123" s="23">
        <v>1500</v>
      </c>
      <c r="AS123" s="23">
        <v>1200</v>
      </c>
      <c r="AT123" s="24" t="s">
        <v>50</v>
      </c>
      <c r="AU123" s="24" t="s">
        <v>50</v>
      </c>
      <c r="AV123" s="24" t="s">
        <v>50</v>
      </c>
      <c r="AW123" s="24" t="s">
        <v>50</v>
      </c>
      <c r="AX123" s="24" t="s">
        <v>50</v>
      </c>
      <c r="AY123" s="24" t="s">
        <v>50</v>
      </c>
      <c r="AZ123" s="24" t="s">
        <v>50</v>
      </c>
      <c r="BA123" s="24" t="s">
        <v>50</v>
      </c>
      <c r="BB123" s="24" t="s">
        <v>50</v>
      </c>
      <c r="BC123" s="24" t="s">
        <v>50</v>
      </c>
      <c r="BD123" s="24" t="s">
        <v>50</v>
      </c>
      <c r="BE123" s="24" t="s">
        <v>50</v>
      </c>
      <c r="BF123" s="24" t="s">
        <v>50</v>
      </c>
      <c r="BG123" s="24" t="s">
        <v>50</v>
      </c>
      <c r="BH123" s="24" t="s">
        <v>50</v>
      </c>
      <c r="BI123" s="23">
        <v>0</v>
      </c>
      <c r="BJ123" s="23">
        <v>0</v>
      </c>
      <c r="BK123" s="23">
        <v>1</v>
      </c>
      <c r="BL123" s="23">
        <v>30</v>
      </c>
      <c r="BM123">
        <v>0</v>
      </c>
      <c r="BN123">
        <v>0</v>
      </c>
      <c r="BO123" s="23">
        <v>0</v>
      </c>
    </row>
    <row r="124" spans="1:67" ht="15.75" customHeight="1" x14ac:dyDescent="0.2">
      <c r="A124" s="3">
        <f t="shared" si="1"/>
        <v>2122</v>
      </c>
      <c r="B124" s="3" t="s">
        <v>498</v>
      </c>
      <c r="C124" s="3" t="s">
        <v>498</v>
      </c>
      <c r="D124" s="27" t="s">
        <v>497</v>
      </c>
      <c r="E124" s="5" t="s">
        <v>845</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0</v>
      </c>
      <c r="AG124" s="3">
        <v>0</v>
      </c>
      <c r="AH124" s="3">
        <v>0</v>
      </c>
      <c r="AI124" s="3">
        <v>0</v>
      </c>
      <c r="AJ124" s="3">
        <v>0</v>
      </c>
      <c r="AK124" s="3">
        <v>30</v>
      </c>
      <c r="AL124" s="3" t="s">
        <v>31</v>
      </c>
      <c r="AM124" s="3" t="s">
        <v>661</v>
      </c>
      <c r="AN124" s="3" t="s">
        <v>2008</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row>
    <row r="125" spans="1:67" ht="15.75" customHeight="1" x14ac:dyDescent="0.2">
      <c r="A125" s="3">
        <f t="shared" si="1"/>
        <v>2123</v>
      </c>
      <c r="B125" s="3" t="s">
        <v>1087</v>
      </c>
      <c r="C125" s="3" t="s">
        <v>1087</v>
      </c>
      <c r="D125" s="27" t="s">
        <v>1086</v>
      </c>
      <c r="E125" s="5" t="s">
        <v>1510</v>
      </c>
      <c r="F125" s="3">
        <v>0</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0</v>
      </c>
      <c r="AG125" s="3">
        <v>0</v>
      </c>
      <c r="AH125" s="3">
        <v>0</v>
      </c>
      <c r="AI125" s="3">
        <v>0</v>
      </c>
      <c r="AJ125" s="3">
        <v>0</v>
      </c>
      <c r="AK125" s="3">
        <v>30</v>
      </c>
      <c r="AL125" s="3" t="s">
        <v>31</v>
      </c>
      <c r="AM125" s="3" t="s">
        <v>661</v>
      </c>
      <c r="AN125" s="3" t="s">
        <v>2008</v>
      </c>
      <c r="AO125" s="3" t="s">
        <v>1853</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row>
    <row r="126" spans="1:67" ht="15.75" customHeight="1" x14ac:dyDescent="0.2">
      <c r="A126" s="3">
        <f t="shared" si="1"/>
        <v>2124</v>
      </c>
      <c r="B126" s="3" t="s">
        <v>1232</v>
      </c>
      <c r="C126" s="3" t="s">
        <v>1232</v>
      </c>
      <c r="D126" s="27" t="s">
        <v>1233</v>
      </c>
      <c r="E126" s="5" t="s">
        <v>1234</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0</v>
      </c>
      <c r="AG126" s="3">
        <v>0</v>
      </c>
      <c r="AH126" s="3">
        <v>0</v>
      </c>
      <c r="AI126" s="3">
        <v>0</v>
      </c>
      <c r="AJ126" s="3">
        <v>0</v>
      </c>
      <c r="AK126" s="3">
        <v>30</v>
      </c>
      <c r="AL126" s="3" t="s">
        <v>31</v>
      </c>
      <c r="AM126" s="3" t="s">
        <v>661</v>
      </c>
      <c r="AN126" s="3" t="s">
        <v>2008</v>
      </c>
      <c r="AO126" s="3" t="s">
        <v>1853</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row>
    <row r="127" spans="1:67" ht="15.75" customHeight="1" x14ac:dyDescent="0.2">
      <c r="A127" s="3">
        <f t="shared" si="1"/>
        <v>2125</v>
      </c>
      <c r="B127" s="3" t="s">
        <v>1135</v>
      </c>
      <c r="C127" s="3" t="s">
        <v>1135</v>
      </c>
      <c r="D127" s="27" t="s">
        <v>1134</v>
      </c>
      <c r="E127" s="5" t="s">
        <v>1374</v>
      </c>
      <c r="F127" s="3">
        <v>0</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0</v>
      </c>
      <c r="AG127" s="3">
        <v>0</v>
      </c>
      <c r="AH127" s="3">
        <v>0</v>
      </c>
      <c r="AI127" s="3">
        <v>0</v>
      </c>
      <c r="AJ127" s="3">
        <v>0</v>
      </c>
      <c r="AK127" s="3">
        <v>30</v>
      </c>
      <c r="AL127" s="3" t="s">
        <v>31</v>
      </c>
      <c r="AM127" s="3" t="s">
        <v>661</v>
      </c>
      <c r="AN127" s="3" t="s">
        <v>2008</v>
      </c>
      <c r="AO127" s="3" t="s">
        <v>1853</v>
      </c>
      <c r="AP127" s="3">
        <v>30</v>
      </c>
      <c r="AQ127" s="3">
        <v>1.9</v>
      </c>
      <c r="AR127">
        <v>2000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row>
    <row r="128" spans="1:67" ht="15.75" customHeight="1" x14ac:dyDescent="0.2">
      <c r="A128" s="3">
        <f t="shared" si="1"/>
        <v>2126</v>
      </c>
      <c r="B128" s="3" t="s">
        <v>1137</v>
      </c>
      <c r="C128" s="3" t="s">
        <v>1137</v>
      </c>
      <c r="D128" s="27" t="s">
        <v>1136</v>
      </c>
      <c r="E128" s="5" t="s">
        <v>1138</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0</v>
      </c>
      <c r="AF128" s="3">
        <v>0</v>
      </c>
      <c r="AG128" s="3">
        <v>0</v>
      </c>
      <c r="AH128" s="3">
        <v>0</v>
      </c>
      <c r="AI128" s="3">
        <v>0</v>
      </c>
      <c r="AJ128" s="3">
        <v>0</v>
      </c>
      <c r="AK128" s="3">
        <v>30</v>
      </c>
      <c r="AL128" s="3" t="s">
        <v>31</v>
      </c>
      <c r="AM128" s="3" t="s">
        <v>661</v>
      </c>
      <c r="AN128" s="3" t="s">
        <v>2008</v>
      </c>
      <c r="AO128" s="3" t="s">
        <v>1853</v>
      </c>
      <c r="AP128" s="3">
        <v>30</v>
      </c>
      <c r="AQ128" s="3">
        <v>2</v>
      </c>
      <c r="AR128">
        <v>2500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row>
    <row r="129" spans="1:67" s="23" customFormat="1" ht="15.75" customHeight="1" x14ac:dyDescent="0.2">
      <c r="A129" s="21">
        <f t="shared" si="1"/>
        <v>2127</v>
      </c>
      <c r="B129" s="21" t="s">
        <v>305</v>
      </c>
      <c r="C129" s="21" t="s">
        <v>2350</v>
      </c>
      <c r="D129" s="22" t="s">
        <v>2351</v>
      </c>
      <c r="E129" s="22" t="s">
        <v>2292</v>
      </c>
      <c r="F129" s="21">
        <v>0</v>
      </c>
      <c r="G129" s="21">
        <v>300</v>
      </c>
      <c r="H129" s="21">
        <v>0</v>
      </c>
      <c r="I129" s="21">
        <v>20</v>
      </c>
      <c r="J129" s="21">
        <v>150</v>
      </c>
      <c r="K129" s="21">
        <v>1</v>
      </c>
      <c r="L129" s="21">
        <v>0</v>
      </c>
      <c r="M129" s="21">
        <v>0</v>
      </c>
      <c r="N129" s="21">
        <v>0</v>
      </c>
      <c r="O129" s="21">
        <v>0</v>
      </c>
      <c r="P129" s="21">
        <v>0</v>
      </c>
      <c r="Q129" s="21">
        <v>0</v>
      </c>
      <c r="R129" s="21">
        <v>0</v>
      </c>
      <c r="S129" s="21">
        <v>0</v>
      </c>
      <c r="T129" s="21">
        <v>0</v>
      </c>
      <c r="U129" s="21">
        <v>0</v>
      </c>
      <c r="V129" s="21">
        <v>0</v>
      </c>
      <c r="W129" s="21">
        <v>0</v>
      </c>
      <c r="X129" s="21">
        <v>0</v>
      </c>
      <c r="Y129" s="21">
        <v>0</v>
      </c>
      <c r="Z129" s="21">
        <v>0</v>
      </c>
      <c r="AA129" s="21">
        <v>0</v>
      </c>
      <c r="AB129" s="21">
        <v>0</v>
      </c>
      <c r="AC129" s="21">
        <v>0</v>
      </c>
      <c r="AD129" s="21">
        <v>0</v>
      </c>
      <c r="AE129" s="21">
        <v>0</v>
      </c>
      <c r="AF129" s="21">
        <v>0</v>
      </c>
      <c r="AG129" s="21">
        <v>0</v>
      </c>
      <c r="AH129" s="21">
        <v>0</v>
      </c>
      <c r="AI129" s="21">
        <v>0</v>
      </c>
      <c r="AJ129" s="21">
        <v>0</v>
      </c>
      <c r="AK129" s="21">
        <v>30</v>
      </c>
      <c r="AL129" s="21" t="s">
        <v>31</v>
      </c>
      <c r="AM129" s="21" t="s">
        <v>1855</v>
      </c>
      <c r="AN129" s="21" t="s">
        <v>2019</v>
      </c>
      <c r="AO129" s="21" t="s">
        <v>50</v>
      </c>
      <c r="AP129" s="21">
        <v>30</v>
      </c>
      <c r="AQ129" s="21">
        <v>20</v>
      </c>
      <c r="AR129" s="23">
        <v>1500</v>
      </c>
      <c r="AS129" s="23">
        <v>1200</v>
      </c>
      <c r="AT129" s="24" t="s">
        <v>50</v>
      </c>
      <c r="AU129" s="24" t="s">
        <v>50</v>
      </c>
      <c r="AV129" s="24" t="s">
        <v>50</v>
      </c>
      <c r="AW129" s="24" t="s">
        <v>50</v>
      </c>
      <c r="AX129" s="24" t="s">
        <v>50</v>
      </c>
      <c r="AY129" s="24" t="s">
        <v>50</v>
      </c>
      <c r="AZ129" s="24" t="s">
        <v>50</v>
      </c>
      <c r="BA129" s="24" t="s">
        <v>50</v>
      </c>
      <c r="BB129" s="24" t="s">
        <v>50</v>
      </c>
      <c r="BC129" s="24" t="s">
        <v>50</v>
      </c>
      <c r="BD129" s="24" t="s">
        <v>50</v>
      </c>
      <c r="BE129" s="24" t="s">
        <v>50</v>
      </c>
      <c r="BF129" s="24" t="s">
        <v>50</v>
      </c>
      <c r="BG129" s="24" t="s">
        <v>50</v>
      </c>
      <c r="BH129" s="24" t="s">
        <v>50</v>
      </c>
      <c r="BI129" s="23">
        <v>0</v>
      </c>
      <c r="BJ129" s="23">
        <v>0</v>
      </c>
      <c r="BK129" s="23">
        <v>1</v>
      </c>
      <c r="BL129" s="23">
        <v>30</v>
      </c>
      <c r="BM129">
        <v>0</v>
      </c>
      <c r="BN129">
        <v>0</v>
      </c>
      <c r="BO129" s="23">
        <v>0</v>
      </c>
    </row>
    <row r="130" spans="1:67" ht="15.75" customHeight="1" x14ac:dyDescent="0.2">
      <c r="A130" s="3">
        <f t="shared" si="1"/>
        <v>2128</v>
      </c>
      <c r="B130" s="3" t="s">
        <v>235</v>
      </c>
      <c r="C130" s="3" t="s">
        <v>235</v>
      </c>
      <c r="D130" s="27"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0</v>
      </c>
      <c r="AG130" s="3">
        <v>0</v>
      </c>
      <c r="AH130" s="3">
        <v>0</v>
      </c>
      <c r="AI130" s="3">
        <v>0</v>
      </c>
      <c r="AJ130" s="3">
        <v>0</v>
      </c>
      <c r="AK130" s="3">
        <v>30</v>
      </c>
      <c r="AL130" s="3" t="s">
        <v>31</v>
      </c>
      <c r="AM130" s="3" t="s">
        <v>660</v>
      </c>
      <c r="AN130" s="3" t="s">
        <v>2011</v>
      </c>
      <c r="AO130" s="3" t="s">
        <v>1853</v>
      </c>
      <c r="AP130" s="3">
        <v>30</v>
      </c>
      <c r="AQ130" s="3">
        <v>1.4</v>
      </c>
      <c r="AR130">
        <v>800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row>
    <row r="131" spans="1:67" s="9" customFormat="1" ht="15.75" customHeight="1" x14ac:dyDescent="0.2">
      <c r="A131" s="7">
        <f t="shared" ref="A131:A194" si="2">ROW()+1998</f>
        <v>2129</v>
      </c>
      <c r="B131" s="7" t="s">
        <v>395</v>
      </c>
      <c r="C131" s="7" t="s">
        <v>394</v>
      </c>
      <c r="D131" s="28" t="s">
        <v>392</v>
      </c>
      <c r="E131" s="8" t="s">
        <v>393</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660</v>
      </c>
      <c r="AN131" s="7" t="s">
        <v>2011</v>
      </c>
      <c r="AO131" s="7" t="s">
        <v>1853</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row>
    <row r="132" spans="1:67" s="9" customFormat="1" ht="15.75" customHeight="1" x14ac:dyDescent="0.2">
      <c r="A132" s="7">
        <f t="shared" si="2"/>
        <v>2130</v>
      </c>
      <c r="B132" s="7" t="s">
        <v>235</v>
      </c>
      <c r="C132" s="7" t="s">
        <v>2347</v>
      </c>
      <c r="D132" s="28" t="s">
        <v>2348</v>
      </c>
      <c r="E132" s="8" t="s">
        <v>2349</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660</v>
      </c>
      <c r="AN132" s="7" t="s">
        <v>2011</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row>
    <row r="133" spans="1:67" s="23" customFormat="1" ht="15.75" customHeight="1" x14ac:dyDescent="0.2">
      <c r="A133" s="21">
        <f t="shared" si="2"/>
        <v>2131</v>
      </c>
      <c r="B133" s="21" t="s">
        <v>305</v>
      </c>
      <c r="C133" s="21" t="s">
        <v>2337</v>
      </c>
      <c r="D133" s="22" t="s">
        <v>2338</v>
      </c>
      <c r="E133" s="22" t="s">
        <v>2292</v>
      </c>
      <c r="F133" s="21">
        <v>0</v>
      </c>
      <c r="G133" s="21">
        <v>300</v>
      </c>
      <c r="H133" s="21">
        <v>0</v>
      </c>
      <c r="I133" s="21">
        <v>20</v>
      </c>
      <c r="J133" s="21">
        <v>150</v>
      </c>
      <c r="K133" s="21">
        <v>1</v>
      </c>
      <c r="L133" s="21">
        <v>0</v>
      </c>
      <c r="M133" s="21">
        <v>0</v>
      </c>
      <c r="N133" s="21">
        <v>0</v>
      </c>
      <c r="O133" s="21">
        <v>0</v>
      </c>
      <c r="P133" s="21">
        <v>0</v>
      </c>
      <c r="Q133" s="21">
        <v>0</v>
      </c>
      <c r="R133" s="21">
        <v>0</v>
      </c>
      <c r="S133" s="21">
        <v>0</v>
      </c>
      <c r="T133" s="21">
        <v>0</v>
      </c>
      <c r="U133" s="21">
        <v>0</v>
      </c>
      <c r="V133" s="21">
        <v>0</v>
      </c>
      <c r="W133" s="21">
        <v>0</v>
      </c>
      <c r="X133" s="21">
        <v>0</v>
      </c>
      <c r="Y133" s="21">
        <v>0</v>
      </c>
      <c r="Z133" s="21">
        <v>0</v>
      </c>
      <c r="AA133" s="21">
        <v>0</v>
      </c>
      <c r="AB133" s="21">
        <v>0</v>
      </c>
      <c r="AC133" s="21">
        <v>0</v>
      </c>
      <c r="AD133" s="21">
        <v>0</v>
      </c>
      <c r="AE133" s="21">
        <v>0</v>
      </c>
      <c r="AF133" s="21">
        <v>0</v>
      </c>
      <c r="AG133" s="21">
        <v>0</v>
      </c>
      <c r="AH133" s="21">
        <v>0</v>
      </c>
      <c r="AI133" s="21">
        <v>0</v>
      </c>
      <c r="AJ133" s="21">
        <v>0</v>
      </c>
      <c r="AK133" s="21">
        <v>30</v>
      </c>
      <c r="AL133" s="21" t="s">
        <v>31</v>
      </c>
      <c r="AM133" s="21" t="s">
        <v>1855</v>
      </c>
      <c r="AN133" s="21" t="s">
        <v>2019</v>
      </c>
      <c r="AO133" s="21" t="s">
        <v>50</v>
      </c>
      <c r="AP133" s="21">
        <v>30</v>
      </c>
      <c r="AQ133" s="21">
        <v>20</v>
      </c>
      <c r="AR133" s="23">
        <v>1500</v>
      </c>
      <c r="AS133" s="23">
        <v>1200</v>
      </c>
      <c r="AT133" s="24" t="s">
        <v>50</v>
      </c>
      <c r="AU133" s="24" t="s">
        <v>50</v>
      </c>
      <c r="AV133" s="24" t="s">
        <v>50</v>
      </c>
      <c r="AW133" s="24" t="s">
        <v>50</v>
      </c>
      <c r="AX133" s="24" t="s">
        <v>50</v>
      </c>
      <c r="AY133" s="24" t="s">
        <v>50</v>
      </c>
      <c r="AZ133" s="24" t="s">
        <v>50</v>
      </c>
      <c r="BA133" s="24" t="s">
        <v>50</v>
      </c>
      <c r="BB133" s="24" t="s">
        <v>50</v>
      </c>
      <c r="BC133" s="24" t="s">
        <v>50</v>
      </c>
      <c r="BD133" s="24" t="s">
        <v>50</v>
      </c>
      <c r="BE133" s="24" t="s">
        <v>50</v>
      </c>
      <c r="BF133" s="24" t="s">
        <v>50</v>
      </c>
      <c r="BG133" s="24" t="s">
        <v>50</v>
      </c>
      <c r="BH133" s="24" t="s">
        <v>50</v>
      </c>
      <c r="BI133" s="23">
        <v>0</v>
      </c>
      <c r="BJ133" s="23">
        <v>0</v>
      </c>
      <c r="BK133" s="23">
        <v>1</v>
      </c>
      <c r="BL133" s="23">
        <v>30</v>
      </c>
      <c r="BM133">
        <v>0</v>
      </c>
      <c r="BN133">
        <v>0</v>
      </c>
      <c r="BO133" s="23">
        <v>0</v>
      </c>
    </row>
    <row r="134" spans="1:67" ht="15.75" customHeight="1" x14ac:dyDescent="0.2">
      <c r="A134" s="3">
        <f t="shared" si="2"/>
        <v>2132</v>
      </c>
      <c r="B134" s="3" t="s">
        <v>213</v>
      </c>
      <c r="C134" s="3" t="s">
        <v>213</v>
      </c>
      <c r="D134" s="27"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50</v>
      </c>
      <c r="Z134" s="3">
        <v>0</v>
      </c>
      <c r="AA134" s="3">
        <v>0</v>
      </c>
      <c r="AB134" s="3">
        <v>0</v>
      </c>
      <c r="AC134" s="3">
        <v>0</v>
      </c>
      <c r="AD134" s="3">
        <v>0</v>
      </c>
      <c r="AE134" s="3">
        <v>0</v>
      </c>
      <c r="AF134" s="3">
        <v>0</v>
      </c>
      <c r="AG134" s="3">
        <v>0</v>
      </c>
      <c r="AH134" s="3">
        <v>0</v>
      </c>
      <c r="AI134" s="3">
        <v>0</v>
      </c>
      <c r="AJ134" s="3">
        <v>0</v>
      </c>
      <c r="AK134" s="3">
        <v>0</v>
      </c>
      <c r="AL134" s="3" t="s">
        <v>31</v>
      </c>
      <c r="AM134" s="3" t="s">
        <v>2285</v>
      </c>
      <c r="AN134" s="3" t="s">
        <v>2013</v>
      </c>
      <c r="AO134" s="3" t="s">
        <v>1853</v>
      </c>
      <c r="AP134" s="3">
        <v>30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row>
    <row r="135" spans="1:67" s="43" customFormat="1" ht="15.75" customHeight="1" x14ac:dyDescent="0.2">
      <c r="A135" s="40">
        <f t="shared" si="2"/>
        <v>2133</v>
      </c>
      <c r="B135" s="40" t="s">
        <v>2090</v>
      </c>
      <c r="C135" s="40" t="s">
        <v>2253</v>
      </c>
      <c r="D135" s="41" t="s">
        <v>2371</v>
      </c>
      <c r="E135" s="42" t="s">
        <v>2711</v>
      </c>
      <c r="F135" s="40">
        <v>0</v>
      </c>
      <c r="G135" s="40">
        <v>300</v>
      </c>
      <c r="H135" s="40">
        <v>0</v>
      </c>
      <c r="I135" s="40">
        <v>60</v>
      </c>
      <c r="J135" s="40">
        <v>0</v>
      </c>
      <c r="K135" s="40">
        <v>1</v>
      </c>
      <c r="L135" s="40">
        <v>0</v>
      </c>
      <c r="M135" s="40">
        <v>0</v>
      </c>
      <c r="N135" s="40">
        <v>0</v>
      </c>
      <c r="O135" s="40">
        <v>0</v>
      </c>
      <c r="P135" s="40">
        <v>0</v>
      </c>
      <c r="Q135" s="40">
        <v>0</v>
      </c>
      <c r="R135" s="40">
        <v>0</v>
      </c>
      <c r="S135" s="40">
        <v>0</v>
      </c>
      <c r="T135" s="40">
        <v>0</v>
      </c>
      <c r="U135" s="40">
        <v>0</v>
      </c>
      <c r="V135" s="40">
        <v>0</v>
      </c>
      <c r="W135" s="40">
        <v>0</v>
      </c>
      <c r="X135" s="40">
        <v>0</v>
      </c>
      <c r="Y135" s="40">
        <v>50</v>
      </c>
      <c r="Z135" s="40">
        <v>0</v>
      </c>
      <c r="AA135" s="40">
        <v>0</v>
      </c>
      <c r="AB135" s="40">
        <v>0</v>
      </c>
      <c r="AC135" s="40">
        <v>0</v>
      </c>
      <c r="AD135" s="40">
        <v>0</v>
      </c>
      <c r="AE135" s="40">
        <v>0</v>
      </c>
      <c r="AF135" s="40">
        <v>0</v>
      </c>
      <c r="AG135" s="40">
        <v>0</v>
      </c>
      <c r="AH135" s="40">
        <v>0</v>
      </c>
      <c r="AI135" s="40">
        <v>0</v>
      </c>
      <c r="AJ135" s="40">
        <v>0</v>
      </c>
      <c r="AK135" s="40">
        <v>0</v>
      </c>
      <c r="AL135" s="40" t="s">
        <v>31</v>
      </c>
      <c r="AM135" s="40" t="s">
        <v>2285</v>
      </c>
      <c r="AN135" s="40" t="s">
        <v>2284</v>
      </c>
      <c r="AO135" s="40" t="s">
        <v>50</v>
      </c>
      <c r="AP135" s="40">
        <v>30</v>
      </c>
      <c r="AQ135" s="40">
        <v>2.2000000000000002</v>
      </c>
      <c r="AR135" s="43">
        <v>800</v>
      </c>
      <c r="AS135" s="43">
        <v>10</v>
      </c>
      <c r="AT135" s="44" t="s">
        <v>50</v>
      </c>
      <c r="AU135" s="44" t="s">
        <v>50</v>
      </c>
      <c r="AV135" s="44" t="s">
        <v>50</v>
      </c>
      <c r="AW135" s="44" t="s">
        <v>50</v>
      </c>
      <c r="AX135" s="44" t="s">
        <v>50</v>
      </c>
      <c r="AY135" s="44" t="s">
        <v>50</v>
      </c>
      <c r="AZ135" s="44" t="s">
        <v>50</v>
      </c>
      <c r="BA135" s="44" t="s">
        <v>50</v>
      </c>
      <c r="BB135" s="44" t="s">
        <v>50</v>
      </c>
      <c r="BC135" s="44" t="s">
        <v>50</v>
      </c>
      <c r="BD135" s="44" t="s">
        <v>50</v>
      </c>
      <c r="BE135" s="44" t="s">
        <v>50</v>
      </c>
      <c r="BF135" s="44" t="s">
        <v>50</v>
      </c>
      <c r="BG135" s="44" t="s">
        <v>50</v>
      </c>
      <c r="BH135" s="44" t="s">
        <v>50</v>
      </c>
      <c r="BI135" s="43">
        <v>1</v>
      </c>
      <c r="BJ135" s="43">
        <v>746</v>
      </c>
      <c r="BK135" s="43">
        <v>4</v>
      </c>
      <c r="BL135" s="43">
        <v>30</v>
      </c>
      <c r="BM135" s="43">
        <v>1</v>
      </c>
      <c r="BN135" s="43">
        <v>0</v>
      </c>
      <c r="BO135" s="43">
        <v>0</v>
      </c>
    </row>
    <row r="136" spans="1:67" s="43" customFormat="1" ht="15.75" customHeight="1" x14ac:dyDescent="0.2">
      <c r="A136" s="40">
        <f t="shared" si="2"/>
        <v>2134</v>
      </c>
      <c r="B136" s="40" t="s">
        <v>2091</v>
      </c>
      <c r="C136" s="40" t="s">
        <v>2254</v>
      </c>
      <c r="D136" s="41" t="s">
        <v>2370</v>
      </c>
      <c r="E136" s="42" t="s">
        <v>2374</v>
      </c>
      <c r="F136" s="40">
        <v>0</v>
      </c>
      <c r="G136" s="40">
        <v>300</v>
      </c>
      <c r="H136" s="40">
        <v>0</v>
      </c>
      <c r="I136" s="40">
        <v>60</v>
      </c>
      <c r="J136" s="40">
        <v>0</v>
      </c>
      <c r="K136" s="40">
        <v>1</v>
      </c>
      <c r="L136" s="40">
        <v>0</v>
      </c>
      <c r="M136" s="40">
        <v>0</v>
      </c>
      <c r="N136" s="40">
        <v>0</v>
      </c>
      <c r="O136" s="40">
        <v>0</v>
      </c>
      <c r="P136" s="40">
        <v>0</v>
      </c>
      <c r="Q136" s="40">
        <v>0</v>
      </c>
      <c r="R136" s="40">
        <v>0</v>
      </c>
      <c r="S136" s="40">
        <v>0</v>
      </c>
      <c r="T136" s="40">
        <v>0</v>
      </c>
      <c r="U136" s="40">
        <v>0</v>
      </c>
      <c r="V136" s="40">
        <v>0</v>
      </c>
      <c r="W136" s="40">
        <v>0</v>
      </c>
      <c r="X136" s="40">
        <v>0</v>
      </c>
      <c r="Y136" s="40">
        <v>50</v>
      </c>
      <c r="Z136" s="40">
        <v>0</v>
      </c>
      <c r="AA136" s="40">
        <v>0</v>
      </c>
      <c r="AB136" s="40">
        <v>0</v>
      </c>
      <c r="AC136" s="40">
        <v>0</v>
      </c>
      <c r="AD136" s="40">
        <v>0</v>
      </c>
      <c r="AE136" s="40">
        <v>0</v>
      </c>
      <c r="AF136" s="40">
        <v>0</v>
      </c>
      <c r="AG136" s="40">
        <v>0</v>
      </c>
      <c r="AH136" s="40">
        <v>0</v>
      </c>
      <c r="AI136" s="40">
        <v>0</v>
      </c>
      <c r="AJ136" s="40">
        <v>0</v>
      </c>
      <c r="AK136" s="40">
        <v>0</v>
      </c>
      <c r="AL136" s="40" t="s">
        <v>31</v>
      </c>
      <c r="AM136" s="40" t="s">
        <v>2285</v>
      </c>
      <c r="AN136" s="40" t="s">
        <v>2284</v>
      </c>
      <c r="AO136" s="40" t="s">
        <v>50</v>
      </c>
      <c r="AP136" s="40">
        <v>30</v>
      </c>
      <c r="AQ136" s="40">
        <v>2.2000000000000002</v>
      </c>
      <c r="AR136" s="43">
        <v>800</v>
      </c>
      <c r="AS136" s="43">
        <v>10</v>
      </c>
      <c r="AT136" s="44" t="s">
        <v>50</v>
      </c>
      <c r="AU136" s="44" t="s">
        <v>50</v>
      </c>
      <c r="AV136" s="44" t="s">
        <v>50</v>
      </c>
      <c r="AW136" s="44" t="s">
        <v>50</v>
      </c>
      <c r="AX136" s="44" t="s">
        <v>50</v>
      </c>
      <c r="AY136" s="44" t="s">
        <v>50</v>
      </c>
      <c r="AZ136" s="44" t="s">
        <v>50</v>
      </c>
      <c r="BA136" s="44" t="s">
        <v>50</v>
      </c>
      <c r="BB136" s="44" t="s">
        <v>50</v>
      </c>
      <c r="BC136" s="44" t="s">
        <v>50</v>
      </c>
      <c r="BD136" s="44" t="s">
        <v>50</v>
      </c>
      <c r="BE136" s="44" t="s">
        <v>50</v>
      </c>
      <c r="BF136" s="44" t="s">
        <v>50</v>
      </c>
      <c r="BG136" s="44" t="s">
        <v>50</v>
      </c>
      <c r="BH136" s="44" t="s">
        <v>50</v>
      </c>
      <c r="BI136" s="43">
        <v>1</v>
      </c>
      <c r="BJ136" s="43">
        <v>747</v>
      </c>
      <c r="BK136" s="43">
        <v>4</v>
      </c>
      <c r="BL136" s="43">
        <v>30</v>
      </c>
      <c r="BM136" s="43">
        <v>1</v>
      </c>
      <c r="BN136" s="43">
        <v>0</v>
      </c>
      <c r="BO136" s="43">
        <v>0</v>
      </c>
    </row>
    <row r="137" spans="1:67" s="43" customFormat="1" ht="15.75" customHeight="1" x14ac:dyDescent="0.2">
      <c r="A137" s="40">
        <f t="shared" si="2"/>
        <v>2135</v>
      </c>
      <c r="B137" s="40" t="s">
        <v>2091</v>
      </c>
      <c r="C137" s="40" t="s">
        <v>2260</v>
      </c>
      <c r="D137" s="41" t="s">
        <v>2375</v>
      </c>
      <c r="E137" s="42" t="s">
        <v>2373</v>
      </c>
      <c r="F137" s="40">
        <v>0</v>
      </c>
      <c r="G137" s="40">
        <v>300</v>
      </c>
      <c r="H137" s="40">
        <v>0</v>
      </c>
      <c r="I137" s="40">
        <v>60</v>
      </c>
      <c r="J137" s="40">
        <v>0</v>
      </c>
      <c r="K137" s="40">
        <v>1</v>
      </c>
      <c r="L137" s="40">
        <v>0</v>
      </c>
      <c r="M137" s="40">
        <v>0</v>
      </c>
      <c r="N137" s="40">
        <v>0</v>
      </c>
      <c r="O137" s="40">
        <v>0</v>
      </c>
      <c r="P137" s="40">
        <v>0</v>
      </c>
      <c r="Q137" s="40">
        <v>0</v>
      </c>
      <c r="R137" s="40">
        <v>0</v>
      </c>
      <c r="S137" s="40">
        <v>0</v>
      </c>
      <c r="T137" s="40">
        <v>0</v>
      </c>
      <c r="U137" s="40">
        <v>0</v>
      </c>
      <c r="V137" s="40">
        <v>0</v>
      </c>
      <c r="W137" s="40">
        <v>0</v>
      </c>
      <c r="X137" s="40">
        <v>0</v>
      </c>
      <c r="Y137" s="40">
        <v>50</v>
      </c>
      <c r="Z137" s="40">
        <v>0</v>
      </c>
      <c r="AA137" s="40">
        <v>0</v>
      </c>
      <c r="AB137" s="40">
        <v>0</v>
      </c>
      <c r="AC137" s="40">
        <v>0</v>
      </c>
      <c r="AD137" s="40">
        <v>0</v>
      </c>
      <c r="AE137" s="40">
        <v>0</v>
      </c>
      <c r="AF137" s="40">
        <v>0</v>
      </c>
      <c r="AG137" s="40">
        <v>0</v>
      </c>
      <c r="AH137" s="40">
        <v>0</v>
      </c>
      <c r="AI137" s="40">
        <v>0</v>
      </c>
      <c r="AJ137" s="40">
        <v>0</v>
      </c>
      <c r="AK137" s="40">
        <v>0</v>
      </c>
      <c r="AL137" s="40" t="s">
        <v>31</v>
      </c>
      <c r="AM137" s="40" t="s">
        <v>2285</v>
      </c>
      <c r="AN137" s="40" t="s">
        <v>2284</v>
      </c>
      <c r="AO137" s="40" t="s">
        <v>50</v>
      </c>
      <c r="AP137" s="40">
        <v>30</v>
      </c>
      <c r="AQ137" s="40">
        <v>2.2000000000000002</v>
      </c>
      <c r="AR137" s="43">
        <v>800</v>
      </c>
      <c r="AS137" s="43">
        <v>10</v>
      </c>
      <c r="AT137" s="44" t="s">
        <v>50</v>
      </c>
      <c r="AU137" s="44" t="s">
        <v>50</v>
      </c>
      <c r="AV137" s="44" t="s">
        <v>50</v>
      </c>
      <c r="AW137" s="44" t="s">
        <v>50</v>
      </c>
      <c r="AX137" s="44" t="s">
        <v>50</v>
      </c>
      <c r="AY137" s="44" t="s">
        <v>50</v>
      </c>
      <c r="AZ137" s="44" t="s">
        <v>50</v>
      </c>
      <c r="BA137" s="44" t="s">
        <v>50</v>
      </c>
      <c r="BB137" s="44" t="s">
        <v>50</v>
      </c>
      <c r="BC137" s="44" t="s">
        <v>50</v>
      </c>
      <c r="BD137" s="44" t="s">
        <v>50</v>
      </c>
      <c r="BE137" s="44" t="s">
        <v>50</v>
      </c>
      <c r="BF137" s="44" t="s">
        <v>50</v>
      </c>
      <c r="BG137" s="44" t="s">
        <v>50</v>
      </c>
      <c r="BH137" s="44" t="s">
        <v>50</v>
      </c>
      <c r="BI137" s="43">
        <v>1</v>
      </c>
      <c r="BJ137" s="43">
        <v>748</v>
      </c>
      <c r="BK137" s="43">
        <v>4</v>
      </c>
      <c r="BL137" s="43">
        <v>30</v>
      </c>
      <c r="BM137" s="43">
        <v>1</v>
      </c>
      <c r="BN137" s="43">
        <v>0</v>
      </c>
      <c r="BO137" s="43">
        <v>0</v>
      </c>
    </row>
    <row r="138" spans="1:67" s="43" customFormat="1" ht="15.75" customHeight="1" x14ac:dyDescent="0.2">
      <c r="A138" s="40">
        <f t="shared" si="2"/>
        <v>2136</v>
      </c>
      <c r="B138" s="40" t="s">
        <v>2091</v>
      </c>
      <c r="C138" s="40" t="s">
        <v>2256</v>
      </c>
      <c r="D138" s="41" t="s">
        <v>2255</v>
      </c>
      <c r="E138" s="42" t="s">
        <v>2372</v>
      </c>
      <c r="F138" s="40">
        <v>0</v>
      </c>
      <c r="G138" s="40">
        <v>300</v>
      </c>
      <c r="H138" s="40">
        <v>0</v>
      </c>
      <c r="I138" s="40">
        <v>60</v>
      </c>
      <c r="J138" s="40">
        <v>0</v>
      </c>
      <c r="K138" s="40">
        <v>1</v>
      </c>
      <c r="L138" s="40">
        <v>0</v>
      </c>
      <c r="M138" s="40">
        <v>0</v>
      </c>
      <c r="N138" s="40">
        <v>0</v>
      </c>
      <c r="O138" s="40">
        <v>0</v>
      </c>
      <c r="P138" s="40">
        <v>0</v>
      </c>
      <c r="Q138" s="40">
        <v>0</v>
      </c>
      <c r="R138" s="40">
        <v>0</v>
      </c>
      <c r="S138" s="40">
        <v>0</v>
      </c>
      <c r="T138" s="40">
        <v>0</v>
      </c>
      <c r="U138" s="40">
        <v>0</v>
      </c>
      <c r="V138" s="40">
        <v>0</v>
      </c>
      <c r="W138" s="40">
        <v>0</v>
      </c>
      <c r="X138" s="40">
        <v>0</v>
      </c>
      <c r="Y138" s="40">
        <v>50</v>
      </c>
      <c r="Z138" s="40">
        <v>0</v>
      </c>
      <c r="AA138" s="40">
        <v>0</v>
      </c>
      <c r="AB138" s="40">
        <v>0</v>
      </c>
      <c r="AC138" s="40">
        <v>0</v>
      </c>
      <c r="AD138" s="40">
        <v>0</v>
      </c>
      <c r="AE138" s="40">
        <v>0</v>
      </c>
      <c r="AF138" s="40">
        <v>0</v>
      </c>
      <c r="AG138" s="40">
        <v>0</v>
      </c>
      <c r="AH138" s="40">
        <v>0</v>
      </c>
      <c r="AI138" s="40">
        <v>0</v>
      </c>
      <c r="AJ138" s="40">
        <v>0</v>
      </c>
      <c r="AK138" s="40">
        <v>0</v>
      </c>
      <c r="AL138" s="40" t="s">
        <v>31</v>
      </c>
      <c r="AM138" s="40" t="s">
        <v>2285</v>
      </c>
      <c r="AN138" s="40" t="s">
        <v>2284</v>
      </c>
      <c r="AO138" s="40" t="s">
        <v>50</v>
      </c>
      <c r="AP138" s="40">
        <v>30</v>
      </c>
      <c r="AQ138" s="40">
        <v>2.2000000000000002</v>
      </c>
      <c r="AR138" s="43">
        <v>800</v>
      </c>
      <c r="AS138" s="43">
        <v>10</v>
      </c>
      <c r="AT138" s="44" t="s">
        <v>50</v>
      </c>
      <c r="AU138" s="44" t="s">
        <v>50</v>
      </c>
      <c r="AV138" s="44" t="s">
        <v>50</v>
      </c>
      <c r="AW138" s="44" t="s">
        <v>50</v>
      </c>
      <c r="AX138" s="44" t="s">
        <v>50</v>
      </c>
      <c r="AY138" s="44" t="s">
        <v>50</v>
      </c>
      <c r="AZ138" s="44" t="s">
        <v>50</v>
      </c>
      <c r="BA138" s="44" t="s">
        <v>50</v>
      </c>
      <c r="BB138" s="44" t="s">
        <v>50</v>
      </c>
      <c r="BC138" s="44" t="s">
        <v>50</v>
      </c>
      <c r="BD138" s="44" t="s">
        <v>50</v>
      </c>
      <c r="BE138" s="44" t="s">
        <v>50</v>
      </c>
      <c r="BF138" s="44" t="s">
        <v>50</v>
      </c>
      <c r="BG138" s="44" t="s">
        <v>50</v>
      </c>
      <c r="BH138" s="44" t="s">
        <v>50</v>
      </c>
      <c r="BI138" s="43">
        <v>1</v>
      </c>
      <c r="BJ138" s="43">
        <v>749</v>
      </c>
      <c r="BK138" s="43">
        <v>4</v>
      </c>
      <c r="BL138" s="43">
        <v>30</v>
      </c>
      <c r="BM138" s="43">
        <v>1</v>
      </c>
      <c r="BN138" s="43">
        <v>0</v>
      </c>
      <c r="BO138" s="43">
        <v>0</v>
      </c>
    </row>
    <row r="139" spans="1:67" s="23" customFormat="1" ht="15.75" customHeight="1" x14ac:dyDescent="0.2">
      <c r="A139" s="21">
        <f t="shared" si="2"/>
        <v>2137</v>
      </c>
      <c r="B139" s="21" t="s">
        <v>305</v>
      </c>
      <c r="C139" s="21" t="s">
        <v>2335</v>
      </c>
      <c r="D139" s="22" t="s">
        <v>2336</v>
      </c>
      <c r="E139" s="22" t="s">
        <v>2292</v>
      </c>
      <c r="F139" s="21">
        <v>0</v>
      </c>
      <c r="G139" s="21">
        <v>300</v>
      </c>
      <c r="H139" s="21">
        <v>0</v>
      </c>
      <c r="I139" s="21">
        <v>20</v>
      </c>
      <c r="J139" s="21">
        <v>150</v>
      </c>
      <c r="K139" s="21">
        <v>1</v>
      </c>
      <c r="L139" s="21">
        <v>0</v>
      </c>
      <c r="M139" s="21">
        <v>0</v>
      </c>
      <c r="N139" s="21">
        <v>0</v>
      </c>
      <c r="O139" s="21">
        <v>0</v>
      </c>
      <c r="P139" s="21">
        <v>0</v>
      </c>
      <c r="Q139" s="21">
        <v>0</v>
      </c>
      <c r="R139" s="21">
        <v>0</v>
      </c>
      <c r="S139" s="21">
        <v>0</v>
      </c>
      <c r="T139" s="21">
        <v>0</v>
      </c>
      <c r="U139" s="21">
        <v>0</v>
      </c>
      <c r="V139" s="21">
        <v>0</v>
      </c>
      <c r="W139" s="21">
        <v>0</v>
      </c>
      <c r="X139" s="21">
        <v>0</v>
      </c>
      <c r="Y139" s="21">
        <v>0</v>
      </c>
      <c r="Z139" s="21">
        <v>0</v>
      </c>
      <c r="AA139" s="21">
        <v>0</v>
      </c>
      <c r="AB139" s="21">
        <v>0</v>
      </c>
      <c r="AC139" s="21">
        <v>0</v>
      </c>
      <c r="AD139" s="21">
        <v>0</v>
      </c>
      <c r="AE139" s="21">
        <v>0</v>
      </c>
      <c r="AF139" s="21">
        <v>0</v>
      </c>
      <c r="AG139" s="21">
        <v>0</v>
      </c>
      <c r="AH139" s="21">
        <v>0</v>
      </c>
      <c r="AI139" s="21">
        <v>0</v>
      </c>
      <c r="AJ139" s="21">
        <v>0</v>
      </c>
      <c r="AK139" s="21">
        <v>0</v>
      </c>
      <c r="AL139" s="21" t="s">
        <v>31</v>
      </c>
      <c r="AM139" s="21" t="s">
        <v>1855</v>
      </c>
      <c r="AN139" s="21" t="s">
        <v>2019</v>
      </c>
      <c r="AO139" s="21" t="s">
        <v>50</v>
      </c>
      <c r="AP139" s="21">
        <v>30</v>
      </c>
      <c r="AQ139" s="21">
        <v>20</v>
      </c>
      <c r="AR139" s="23">
        <v>1500</v>
      </c>
      <c r="AS139" s="23">
        <v>1200</v>
      </c>
      <c r="AT139" s="24" t="s">
        <v>50</v>
      </c>
      <c r="AU139" s="24" t="s">
        <v>50</v>
      </c>
      <c r="AV139" s="24" t="s">
        <v>50</v>
      </c>
      <c r="AW139" s="24" t="s">
        <v>50</v>
      </c>
      <c r="AX139" s="24" t="s">
        <v>50</v>
      </c>
      <c r="AY139" s="24" t="s">
        <v>50</v>
      </c>
      <c r="AZ139" s="24" t="s">
        <v>50</v>
      </c>
      <c r="BA139" s="24" t="s">
        <v>50</v>
      </c>
      <c r="BB139" s="24" t="s">
        <v>50</v>
      </c>
      <c r="BC139" s="24" t="s">
        <v>50</v>
      </c>
      <c r="BD139" s="24" t="s">
        <v>50</v>
      </c>
      <c r="BE139" s="24" t="s">
        <v>50</v>
      </c>
      <c r="BF139" s="24" t="s">
        <v>50</v>
      </c>
      <c r="BG139" s="24" t="s">
        <v>50</v>
      </c>
      <c r="BH139" s="24" t="s">
        <v>50</v>
      </c>
      <c r="BI139" s="23">
        <v>0</v>
      </c>
      <c r="BJ139" s="23">
        <v>0</v>
      </c>
      <c r="BK139" s="23">
        <v>1</v>
      </c>
      <c r="BL139" s="23">
        <v>30</v>
      </c>
      <c r="BM139">
        <v>0</v>
      </c>
      <c r="BN139">
        <v>0</v>
      </c>
      <c r="BO139" s="23">
        <v>0</v>
      </c>
    </row>
    <row r="140" spans="1:67" ht="15.75" customHeight="1" x14ac:dyDescent="0.2">
      <c r="A140" s="3">
        <f t="shared" si="2"/>
        <v>2138</v>
      </c>
      <c r="B140" s="3" t="s">
        <v>292</v>
      </c>
      <c r="C140" s="3" t="s">
        <v>292</v>
      </c>
      <c r="D140" s="27" t="s">
        <v>840</v>
      </c>
      <c r="E140" s="5" t="s">
        <v>841</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0</v>
      </c>
      <c r="AF140" s="3">
        <v>0</v>
      </c>
      <c r="AG140" s="3">
        <v>0</v>
      </c>
      <c r="AH140" s="3">
        <v>0</v>
      </c>
      <c r="AI140" s="3">
        <v>0</v>
      </c>
      <c r="AJ140" s="3">
        <v>0</v>
      </c>
      <c r="AK140" s="3">
        <v>0</v>
      </c>
      <c r="AL140" s="3" t="s">
        <v>31</v>
      </c>
      <c r="AM140" s="3" t="s">
        <v>659</v>
      </c>
      <c r="AN140" s="3" t="s">
        <v>2014</v>
      </c>
      <c r="AO140" s="3" t="s">
        <v>1853</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row>
    <row r="141" spans="1:67" ht="15.75" customHeight="1" x14ac:dyDescent="0.2">
      <c r="A141" s="3">
        <f t="shared" si="2"/>
        <v>2139</v>
      </c>
      <c r="B141" s="3" t="s">
        <v>1235</v>
      </c>
      <c r="C141" s="3" t="s">
        <v>1235</v>
      </c>
      <c r="D141" s="27" t="s">
        <v>1355</v>
      </c>
      <c r="E141" s="5" t="s">
        <v>1236</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0</v>
      </c>
      <c r="AF141" s="3">
        <v>0</v>
      </c>
      <c r="AG141" s="3">
        <v>0</v>
      </c>
      <c r="AH141" s="3">
        <v>0</v>
      </c>
      <c r="AI141" s="3">
        <v>0</v>
      </c>
      <c r="AJ141" s="3">
        <v>0</v>
      </c>
      <c r="AK141" s="3">
        <v>0</v>
      </c>
      <c r="AL141" s="3" t="s">
        <v>31</v>
      </c>
      <c r="AM141" s="3" t="s">
        <v>659</v>
      </c>
      <c r="AN141" s="3" t="s">
        <v>2014</v>
      </c>
      <c r="AO141" s="3" t="s">
        <v>1853</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row>
    <row r="142" spans="1:67" ht="15.75" customHeight="1" x14ac:dyDescent="0.2">
      <c r="A142" s="3">
        <f t="shared" si="2"/>
        <v>2140</v>
      </c>
      <c r="B142" s="3" t="s">
        <v>1238</v>
      </c>
      <c r="C142" s="3" t="s">
        <v>1238</v>
      </c>
      <c r="D142" s="27" t="s">
        <v>1356</v>
      </c>
      <c r="E142" s="5" t="s">
        <v>1237</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0</v>
      </c>
      <c r="AF142" s="3">
        <v>0</v>
      </c>
      <c r="AG142" s="3">
        <v>0</v>
      </c>
      <c r="AH142" s="3">
        <v>0</v>
      </c>
      <c r="AI142" s="3">
        <v>0</v>
      </c>
      <c r="AJ142" s="3">
        <v>0</v>
      </c>
      <c r="AK142" s="3">
        <v>0</v>
      </c>
      <c r="AL142" s="3" t="s">
        <v>31</v>
      </c>
      <c r="AM142" s="3" t="s">
        <v>659</v>
      </c>
      <c r="AN142" s="3" t="s">
        <v>2014</v>
      </c>
      <c r="AO142" s="3" t="s">
        <v>1853</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row>
    <row r="143" spans="1:67" ht="15.75" customHeight="1" x14ac:dyDescent="0.2">
      <c r="A143" s="3">
        <f t="shared" si="2"/>
        <v>2141</v>
      </c>
      <c r="B143" s="3" t="s">
        <v>2362</v>
      </c>
      <c r="C143" s="3" t="s">
        <v>2362</v>
      </c>
      <c r="D143" s="27" t="s">
        <v>2360</v>
      </c>
      <c r="E143" s="5" t="s">
        <v>2361</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0</v>
      </c>
      <c r="AF143" s="3">
        <v>0</v>
      </c>
      <c r="AG143" s="3">
        <v>0</v>
      </c>
      <c r="AH143" s="3">
        <v>0</v>
      </c>
      <c r="AI143" s="3">
        <v>0</v>
      </c>
      <c r="AJ143" s="3">
        <v>0</v>
      </c>
      <c r="AK143" s="3">
        <v>0</v>
      </c>
      <c r="AL143" s="3" t="s">
        <v>31</v>
      </c>
      <c r="AM143" s="3" t="s">
        <v>659</v>
      </c>
      <c r="AN143" s="3" t="s">
        <v>2014</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0</v>
      </c>
    </row>
    <row r="144" spans="1:67" ht="15.75" customHeight="1" x14ac:dyDescent="0.2">
      <c r="A144" s="3">
        <f t="shared" si="2"/>
        <v>2142</v>
      </c>
      <c r="B144" s="3" t="s">
        <v>3422</v>
      </c>
      <c r="C144" s="3" t="s">
        <v>407</v>
      </c>
      <c r="D144" s="27" t="s">
        <v>1091</v>
      </c>
      <c r="E144" s="5" t="s">
        <v>408</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0</v>
      </c>
      <c r="AF144" s="3">
        <v>0</v>
      </c>
      <c r="AG144" s="3">
        <v>0</v>
      </c>
      <c r="AH144" s="3">
        <v>0</v>
      </c>
      <c r="AI144" s="3">
        <v>0</v>
      </c>
      <c r="AJ144" s="3">
        <v>0</v>
      </c>
      <c r="AK144" s="3">
        <v>0</v>
      </c>
      <c r="AL144" s="3" t="s">
        <v>31</v>
      </c>
      <c r="AM144" s="3" t="s">
        <v>659</v>
      </c>
      <c r="AN144" s="3" t="s">
        <v>2014</v>
      </c>
      <c r="AO144" s="3" t="s">
        <v>1853</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row>
    <row r="145" spans="1:67" ht="15.75" customHeight="1" x14ac:dyDescent="0.2">
      <c r="A145" s="3">
        <f t="shared" si="2"/>
        <v>2143</v>
      </c>
      <c r="B145" s="3" t="s">
        <v>1090</v>
      </c>
      <c r="C145" s="3" t="s">
        <v>409</v>
      </c>
      <c r="D145" s="27" t="s">
        <v>1089</v>
      </c>
      <c r="E145" s="5" t="s">
        <v>1088</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0</v>
      </c>
      <c r="AF145" s="3">
        <v>0</v>
      </c>
      <c r="AG145" s="3">
        <v>0</v>
      </c>
      <c r="AH145" s="3">
        <v>0</v>
      </c>
      <c r="AI145" s="3">
        <v>0</v>
      </c>
      <c r="AJ145" s="3">
        <v>0</v>
      </c>
      <c r="AK145" s="3">
        <v>0</v>
      </c>
      <c r="AL145" s="3" t="s">
        <v>31</v>
      </c>
      <c r="AM145" s="3" t="s">
        <v>659</v>
      </c>
      <c r="AN145" s="3" t="s">
        <v>2014</v>
      </c>
      <c r="AO145" s="3" t="s">
        <v>1853</v>
      </c>
      <c r="AP145" s="3">
        <v>30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row>
    <row r="146" spans="1:67" ht="15.75" customHeight="1" x14ac:dyDescent="0.2">
      <c r="A146" s="3">
        <f t="shared" si="2"/>
        <v>2144</v>
      </c>
      <c r="B146" s="3" t="s">
        <v>3423</v>
      </c>
      <c r="C146" s="3" t="s">
        <v>3409</v>
      </c>
      <c r="D146" s="27" t="s">
        <v>3404</v>
      </c>
      <c r="E146" s="5" t="s">
        <v>3405</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0</v>
      </c>
      <c r="AF146" s="3">
        <v>0</v>
      </c>
      <c r="AG146" s="3">
        <v>0</v>
      </c>
      <c r="AH146" s="3">
        <v>0</v>
      </c>
      <c r="AI146" s="3">
        <v>0</v>
      </c>
      <c r="AJ146" s="3">
        <v>0</v>
      </c>
      <c r="AK146" s="3">
        <v>0</v>
      </c>
      <c r="AL146" s="3" t="s">
        <v>31</v>
      </c>
      <c r="AM146" s="3" t="s">
        <v>659</v>
      </c>
      <c r="AN146" s="3" t="s">
        <v>2014</v>
      </c>
      <c r="AO146" s="3" t="s">
        <v>1853</v>
      </c>
      <c r="AP146" s="3">
        <v>30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row>
    <row r="147" spans="1:67" ht="15.75" customHeight="1" x14ac:dyDescent="0.2">
      <c r="A147" s="3">
        <f t="shared" si="2"/>
        <v>2145</v>
      </c>
      <c r="B147" s="3" t="s">
        <v>3421</v>
      </c>
      <c r="C147" s="3" t="s">
        <v>3407</v>
      </c>
      <c r="D147" s="27" t="s">
        <v>3406</v>
      </c>
      <c r="E147" s="5" t="s">
        <v>3408</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0</v>
      </c>
      <c r="AF147" s="3">
        <v>0</v>
      </c>
      <c r="AG147" s="3">
        <v>0</v>
      </c>
      <c r="AH147" s="3">
        <v>0</v>
      </c>
      <c r="AI147" s="3">
        <v>0</v>
      </c>
      <c r="AJ147" s="3">
        <v>0</v>
      </c>
      <c r="AK147" s="3">
        <v>0</v>
      </c>
      <c r="AL147" s="3" t="s">
        <v>31</v>
      </c>
      <c r="AM147" s="3" t="s">
        <v>659</v>
      </c>
      <c r="AN147" s="3" t="s">
        <v>2014</v>
      </c>
      <c r="AO147" s="3" t="s">
        <v>50</v>
      </c>
      <c r="AP147" s="3">
        <v>30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row>
    <row r="148" spans="1:67" ht="15.75" customHeight="1" x14ac:dyDescent="0.2">
      <c r="A148" s="3">
        <f t="shared" si="2"/>
        <v>2146</v>
      </c>
      <c r="B148" s="3" t="s">
        <v>2358</v>
      </c>
      <c r="C148" s="3" t="s">
        <v>2358</v>
      </c>
      <c r="D148" s="27" t="s">
        <v>2357</v>
      </c>
      <c r="E148" s="5" t="s">
        <v>2359</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60</v>
      </c>
      <c r="Z148" s="3">
        <v>0</v>
      </c>
      <c r="AA148" s="3">
        <v>0</v>
      </c>
      <c r="AB148" s="3">
        <v>0</v>
      </c>
      <c r="AC148" s="3">
        <v>0</v>
      </c>
      <c r="AD148" s="3">
        <v>0</v>
      </c>
      <c r="AE148" s="3">
        <v>0</v>
      </c>
      <c r="AF148" s="3">
        <v>0</v>
      </c>
      <c r="AG148" s="3">
        <v>0</v>
      </c>
      <c r="AH148" s="3">
        <v>0</v>
      </c>
      <c r="AI148" s="3">
        <v>0</v>
      </c>
      <c r="AJ148" s="3">
        <v>0</v>
      </c>
      <c r="AK148" s="3">
        <v>0</v>
      </c>
      <c r="AL148" s="3" t="s">
        <v>31</v>
      </c>
      <c r="AM148" s="3" t="s">
        <v>659</v>
      </c>
      <c r="AN148" s="3" t="s">
        <v>2014</v>
      </c>
      <c r="AO148" s="3" t="s">
        <v>50</v>
      </c>
      <c r="AP148" s="3">
        <v>30</v>
      </c>
      <c r="AQ148" s="3">
        <v>1.9</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786</v>
      </c>
      <c r="BK148">
        <v>2</v>
      </c>
      <c r="BL148">
        <v>60</v>
      </c>
      <c r="BM148">
        <v>0</v>
      </c>
      <c r="BN148">
        <v>0</v>
      </c>
      <c r="BO148">
        <v>0</v>
      </c>
    </row>
    <row r="149" spans="1:67" s="23" customFormat="1" ht="15.75" customHeight="1" x14ac:dyDescent="0.2">
      <c r="A149" s="21">
        <f t="shared" si="2"/>
        <v>2147</v>
      </c>
      <c r="B149" s="21" t="s">
        <v>305</v>
      </c>
      <c r="C149" s="21" t="s">
        <v>2355</v>
      </c>
      <c r="D149" s="22" t="s">
        <v>2356</v>
      </c>
      <c r="E149" s="22" t="s">
        <v>2292</v>
      </c>
      <c r="F149" s="21">
        <v>0</v>
      </c>
      <c r="G149" s="21">
        <v>300</v>
      </c>
      <c r="H149" s="21">
        <v>0</v>
      </c>
      <c r="I149" s="21">
        <v>20</v>
      </c>
      <c r="J149" s="21">
        <v>150</v>
      </c>
      <c r="K149" s="21">
        <v>1</v>
      </c>
      <c r="L149" s="21">
        <v>0</v>
      </c>
      <c r="M149" s="21">
        <v>0</v>
      </c>
      <c r="N149" s="21">
        <v>0</v>
      </c>
      <c r="O149" s="21">
        <v>0</v>
      </c>
      <c r="P149" s="21">
        <v>0</v>
      </c>
      <c r="Q149" s="21">
        <v>0</v>
      </c>
      <c r="R149" s="21">
        <v>0</v>
      </c>
      <c r="S149" s="21">
        <v>0</v>
      </c>
      <c r="T149" s="21">
        <v>0</v>
      </c>
      <c r="U149" s="21">
        <v>0</v>
      </c>
      <c r="V149" s="21">
        <v>0</v>
      </c>
      <c r="W149" s="21">
        <v>0</v>
      </c>
      <c r="X149" s="21">
        <v>0</v>
      </c>
      <c r="Y149" s="21">
        <v>0</v>
      </c>
      <c r="Z149" s="21">
        <v>0</v>
      </c>
      <c r="AA149" s="21">
        <v>0</v>
      </c>
      <c r="AB149" s="21">
        <v>0</v>
      </c>
      <c r="AC149" s="21">
        <v>0</v>
      </c>
      <c r="AD149" s="21">
        <v>0</v>
      </c>
      <c r="AE149" s="21">
        <v>0</v>
      </c>
      <c r="AF149" s="21">
        <v>0</v>
      </c>
      <c r="AG149" s="21">
        <v>0</v>
      </c>
      <c r="AH149" s="21">
        <v>0</v>
      </c>
      <c r="AI149" s="21">
        <v>0</v>
      </c>
      <c r="AJ149" s="21">
        <v>0</v>
      </c>
      <c r="AK149" s="21">
        <v>0</v>
      </c>
      <c r="AL149" s="21" t="s">
        <v>31</v>
      </c>
      <c r="AM149" s="21" t="s">
        <v>1855</v>
      </c>
      <c r="AN149" s="21" t="s">
        <v>2019</v>
      </c>
      <c r="AO149" s="21" t="s">
        <v>50</v>
      </c>
      <c r="AP149" s="21">
        <v>30</v>
      </c>
      <c r="AQ149" s="21">
        <v>20</v>
      </c>
      <c r="AR149" s="23">
        <v>1500</v>
      </c>
      <c r="AS149" s="23">
        <v>1200</v>
      </c>
      <c r="AT149" s="24" t="s">
        <v>50</v>
      </c>
      <c r="AU149" s="24" t="s">
        <v>50</v>
      </c>
      <c r="AV149" s="24" t="s">
        <v>50</v>
      </c>
      <c r="AW149" s="24" t="s">
        <v>50</v>
      </c>
      <c r="AX149" s="24" t="s">
        <v>50</v>
      </c>
      <c r="AY149" s="24" t="s">
        <v>50</v>
      </c>
      <c r="AZ149" s="24" t="s">
        <v>50</v>
      </c>
      <c r="BA149" s="24" t="s">
        <v>50</v>
      </c>
      <c r="BB149" s="24" t="s">
        <v>50</v>
      </c>
      <c r="BC149" s="24" t="s">
        <v>50</v>
      </c>
      <c r="BD149" s="24" t="s">
        <v>50</v>
      </c>
      <c r="BE149" s="24" t="s">
        <v>50</v>
      </c>
      <c r="BF149" s="24" t="s">
        <v>50</v>
      </c>
      <c r="BG149" s="24" t="s">
        <v>50</v>
      </c>
      <c r="BH149" s="24" t="s">
        <v>50</v>
      </c>
      <c r="BI149" s="23">
        <v>0</v>
      </c>
      <c r="BJ149" s="23">
        <v>0</v>
      </c>
      <c r="BK149" s="23">
        <v>1</v>
      </c>
      <c r="BL149" s="23">
        <v>30</v>
      </c>
      <c r="BM149">
        <v>0</v>
      </c>
      <c r="BN149">
        <v>0</v>
      </c>
      <c r="BO149" s="23">
        <v>0</v>
      </c>
    </row>
    <row r="150" spans="1:67" ht="15.75" customHeight="1" x14ac:dyDescent="0.2">
      <c r="A150" s="3">
        <f t="shared" si="2"/>
        <v>2148</v>
      </c>
      <c r="B150" s="3" t="s">
        <v>953</v>
      </c>
      <c r="C150" s="3" t="s">
        <v>953</v>
      </c>
      <c r="D150" s="27" t="s">
        <v>952</v>
      </c>
      <c r="E150" s="5" t="s">
        <v>954</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0</v>
      </c>
      <c r="AF150" s="3">
        <v>0</v>
      </c>
      <c r="AG150" s="3">
        <v>0</v>
      </c>
      <c r="AH150" s="3">
        <v>0</v>
      </c>
      <c r="AI150" s="3">
        <v>0</v>
      </c>
      <c r="AJ150" s="3">
        <v>0</v>
      </c>
      <c r="AK150" s="3">
        <v>0</v>
      </c>
      <c r="AL150" s="3" t="s">
        <v>31</v>
      </c>
      <c r="AM150" s="3" t="s">
        <v>973</v>
      </c>
      <c r="AN150" s="3" t="s">
        <v>2006</v>
      </c>
      <c r="AO150" s="3" t="s">
        <v>1853</v>
      </c>
      <c r="AP150" s="3">
        <v>30</v>
      </c>
      <c r="AQ150" s="3">
        <v>1.6</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row>
    <row r="151" spans="1:67" s="9" customFormat="1" ht="15.75" customHeight="1" x14ac:dyDescent="0.2">
      <c r="A151" s="3">
        <f t="shared" si="2"/>
        <v>2149</v>
      </c>
      <c r="B151" s="7" t="s">
        <v>36</v>
      </c>
      <c r="C151" s="7" t="s">
        <v>36</v>
      </c>
      <c r="D151" s="28"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2015</v>
      </c>
      <c r="AO151" s="7" t="s">
        <v>1853</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v>0</v>
      </c>
      <c r="BN151">
        <v>0</v>
      </c>
      <c r="BO151" s="9">
        <v>0</v>
      </c>
    </row>
    <row r="152" spans="1:67" ht="15.75" customHeight="1" x14ac:dyDescent="0.2">
      <c r="A152" s="3">
        <f t="shared" si="2"/>
        <v>2150</v>
      </c>
      <c r="B152" s="3" t="s">
        <v>2945</v>
      </c>
      <c r="C152" s="3" t="s">
        <v>2945</v>
      </c>
      <c r="D152" s="27" t="s">
        <v>3410</v>
      </c>
      <c r="E152" s="5" t="s">
        <v>2865</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0</v>
      </c>
      <c r="AF152" s="3">
        <v>0</v>
      </c>
      <c r="AG152" s="3">
        <v>0</v>
      </c>
      <c r="AH152" s="3">
        <v>0</v>
      </c>
      <c r="AI152" s="3">
        <v>0</v>
      </c>
      <c r="AJ152" s="3">
        <v>0</v>
      </c>
      <c r="AK152" s="3">
        <v>30</v>
      </c>
      <c r="AL152" s="3" t="s">
        <v>31</v>
      </c>
      <c r="AM152" s="3" t="s">
        <v>35</v>
      </c>
      <c r="AN152" s="3" t="s">
        <v>2010</v>
      </c>
      <c r="AO152" s="3" t="s">
        <v>1853</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row>
    <row r="153" spans="1:67" s="9" customFormat="1" ht="15.75" customHeight="1" x14ac:dyDescent="0.2">
      <c r="A153" s="7">
        <f t="shared" si="2"/>
        <v>2151</v>
      </c>
      <c r="B153" s="7" t="s">
        <v>513</v>
      </c>
      <c r="C153" s="7" t="s">
        <v>427</v>
      </c>
      <c r="D153" s="28" t="s">
        <v>426</v>
      </c>
      <c r="E153" s="8" t="s">
        <v>1360</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2010</v>
      </c>
      <c r="AO153" s="7" t="s">
        <v>1853</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1</v>
      </c>
      <c r="BJ153" s="9">
        <v>0</v>
      </c>
      <c r="BK153" s="9">
        <v>1</v>
      </c>
      <c r="BL153" s="9">
        <v>30</v>
      </c>
      <c r="BM153" s="9">
        <v>0</v>
      </c>
      <c r="BN153" s="9">
        <v>0</v>
      </c>
      <c r="BO153" s="9">
        <v>0</v>
      </c>
    </row>
    <row r="154" spans="1:67" ht="15.75" customHeight="1" x14ac:dyDescent="0.2">
      <c r="A154" s="3">
        <f t="shared" si="2"/>
        <v>2152</v>
      </c>
      <c r="B154" s="3" t="s">
        <v>561</v>
      </c>
      <c r="C154" s="3" t="s">
        <v>504</v>
      </c>
      <c r="D154" s="27" t="s">
        <v>503</v>
      </c>
      <c r="E154" s="5" t="s">
        <v>562</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0</v>
      </c>
      <c r="AF154" s="3">
        <v>0</v>
      </c>
      <c r="AG154" s="3">
        <v>0</v>
      </c>
      <c r="AH154" s="3">
        <v>0</v>
      </c>
      <c r="AI154" s="3">
        <v>0</v>
      </c>
      <c r="AJ154" s="3">
        <v>0</v>
      </c>
      <c r="AK154" s="3">
        <v>30</v>
      </c>
      <c r="AL154" s="3" t="s">
        <v>31</v>
      </c>
      <c r="AM154" s="3" t="s">
        <v>662</v>
      </c>
      <c r="AN154" s="3" t="s">
        <v>2009</v>
      </c>
      <c r="AO154" s="3" t="s">
        <v>1853</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row>
    <row r="155" spans="1:67" ht="15.75" customHeight="1" x14ac:dyDescent="0.2">
      <c r="A155" s="3">
        <f t="shared" si="2"/>
        <v>2153</v>
      </c>
      <c r="B155" s="3" t="s">
        <v>1072</v>
      </c>
      <c r="C155" s="3" t="s">
        <v>1072</v>
      </c>
      <c r="D155" s="27" t="s">
        <v>1497</v>
      </c>
      <c r="E155" s="5" t="s">
        <v>1498</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0</v>
      </c>
      <c r="AH155" s="3">
        <v>0</v>
      </c>
      <c r="AI155" s="3">
        <v>0</v>
      </c>
      <c r="AJ155" s="3">
        <v>0</v>
      </c>
      <c r="AK155" s="3">
        <v>30</v>
      </c>
      <c r="AL155" s="3" t="s">
        <v>31</v>
      </c>
      <c r="AM155" s="3" t="s">
        <v>1073</v>
      </c>
      <c r="AN155" s="3" t="s">
        <v>2012</v>
      </c>
      <c r="AO155" s="3" t="s">
        <v>1854</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row>
    <row r="156" spans="1:67" ht="15.75" customHeight="1" x14ac:dyDescent="0.2">
      <c r="A156" s="3">
        <f t="shared" si="2"/>
        <v>2154</v>
      </c>
      <c r="B156" s="3" t="s">
        <v>2727</v>
      </c>
      <c r="C156" s="3" t="s">
        <v>2727</v>
      </c>
      <c r="D156" s="27" t="s">
        <v>2726</v>
      </c>
      <c r="E156" s="5" t="s">
        <v>2906</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0</v>
      </c>
      <c r="AG156" s="3">
        <v>0</v>
      </c>
      <c r="AH156" s="3">
        <v>0</v>
      </c>
      <c r="AI156" s="3">
        <v>0</v>
      </c>
      <c r="AJ156" s="3">
        <v>0</v>
      </c>
      <c r="AK156" s="3">
        <v>30</v>
      </c>
      <c r="AL156" s="3" t="s">
        <v>31</v>
      </c>
      <c r="AM156" s="3" t="s">
        <v>35</v>
      </c>
      <c r="AN156" s="3" t="s">
        <v>2901</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row>
    <row r="157" spans="1:67" ht="15.75" customHeight="1" x14ac:dyDescent="0.2">
      <c r="A157" s="3">
        <f t="shared" si="2"/>
        <v>2155</v>
      </c>
      <c r="B157" s="3" t="s">
        <v>1297</v>
      </c>
      <c r="C157" s="3" t="s">
        <v>428</v>
      </c>
      <c r="D157" s="27" t="s">
        <v>1063</v>
      </c>
      <c r="E157" s="5" t="s">
        <v>1064</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200</v>
      </c>
      <c r="Z157" s="3">
        <v>0</v>
      </c>
      <c r="AA157" s="3">
        <v>0</v>
      </c>
      <c r="AB157" s="3">
        <v>0</v>
      </c>
      <c r="AC157" s="3">
        <v>0</v>
      </c>
      <c r="AD157" s="3">
        <v>0</v>
      </c>
      <c r="AE157" s="3">
        <v>0</v>
      </c>
      <c r="AF157" s="3">
        <v>0</v>
      </c>
      <c r="AG157" s="3">
        <v>0</v>
      </c>
      <c r="AH157" s="3">
        <v>0</v>
      </c>
      <c r="AI157" s="3">
        <v>0</v>
      </c>
      <c r="AJ157" s="3">
        <v>0</v>
      </c>
      <c r="AK157" s="3">
        <v>0</v>
      </c>
      <c r="AL157" s="3" t="s">
        <v>31</v>
      </c>
      <c r="AM157" s="3" t="s">
        <v>1477</v>
      </c>
      <c r="AN157" s="3" t="s">
        <v>2020</v>
      </c>
      <c r="AO157" s="3" t="s">
        <v>1853</v>
      </c>
      <c r="AP157" s="3">
        <v>30</v>
      </c>
      <c r="AQ157" s="3">
        <v>2.4</v>
      </c>
      <c r="AR157">
        <v>1000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0</v>
      </c>
    </row>
    <row r="158" spans="1:67" ht="15.75" customHeight="1" x14ac:dyDescent="0.2">
      <c r="A158" s="3">
        <f t="shared" si="2"/>
        <v>2156</v>
      </c>
      <c r="B158" s="3" t="s">
        <v>3068</v>
      </c>
      <c r="C158" s="3" t="s">
        <v>2498</v>
      </c>
      <c r="D158" s="27" t="s">
        <v>2499</v>
      </c>
      <c r="E158" s="5" t="s">
        <v>2500</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0</v>
      </c>
      <c r="AF158" s="3">
        <v>0</v>
      </c>
      <c r="AG158" s="3">
        <v>0</v>
      </c>
      <c r="AH158" s="3">
        <v>0</v>
      </c>
      <c r="AI158" s="3">
        <v>0</v>
      </c>
      <c r="AJ158" s="3">
        <v>0</v>
      </c>
      <c r="AK158" s="3">
        <v>30</v>
      </c>
      <c r="AL158" s="3" t="s">
        <v>31</v>
      </c>
      <c r="AM158" s="3" t="s">
        <v>2501</v>
      </c>
      <c r="AN158" s="3" t="s">
        <v>2502</v>
      </c>
      <c r="AO158" s="3" t="s">
        <v>50</v>
      </c>
      <c r="AP158" s="3">
        <v>30</v>
      </c>
      <c r="AQ158" s="3">
        <v>1.2</v>
      </c>
      <c r="AR158">
        <v>1000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row>
    <row r="159" spans="1:67" ht="15.75" customHeight="1" x14ac:dyDescent="0.2">
      <c r="A159" s="3">
        <f t="shared" si="2"/>
        <v>2157</v>
      </c>
      <c r="B159" s="3" t="s">
        <v>2971</v>
      </c>
      <c r="C159" s="3" t="s">
        <v>2715</v>
      </c>
      <c r="D159" s="27" t="s">
        <v>2714</v>
      </c>
      <c r="E159" s="5" t="s">
        <v>2874</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0</v>
      </c>
      <c r="AF159" s="3">
        <v>0</v>
      </c>
      <c r="AG159" s="3">
        <v>0</v>
      </c>
      <c r="AH159" s="3">
        <v>0</v>
      </c>
      <c r="AI159" s="3">
        <v>0</v>
      </c>
      <c r="AJ159" s="3">
        <v>0</v>
      </c>
      <c r="AK159" s="3">
        <v>30</v>
      </c>
      <c r="AL159" s="3" t="s">
        <v>31</v>
      </c>
      <c r="AM159" s="3" t="s">
        <v>2501</v>
      </c>
      <c r="AN159" s="3" t="s">
        <v>2502</v>
      </c>
      <c r="AO159" s="3" t="s">
        <v>50</v>
      </c>
      <c r="AP159" s="3">
        <v>30</v>
      </c>
      <c r="AQ159" s="3">
        <v>1.2</v>
      </c>
      <c r="AR159">
        <v>1000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row>
    <row r="160" spans="1:67" ht="15" customHeight="1" x14ac:dyDescent="0.2">
      <c r="A160" s="3">
        <f t="shared" si="2"/>
        <v>2158</v>
      </c>
      <c r="B160" s="3" t="s">
        <v>2718</v>
      </c>
      <c r="C160" s="3" t="s">
        <v>2718</v>
      </c>
      <c r="D160" s="27" t="s">
        <v>2716</v>
      </c>
      <c r="E160" s="5" t="s">
        <v>2717</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0</v>
      </c>
      <c r="AF160" s="3">
        <v>0</v>
      </c>
      <c r="AG160" s="3">
        <v>0</v>
      </c>
      <c r="AH160" s="3">
        <v>0</v>
      </c>
      <c r="AI160" s="3">
        <v>0</v>
      </c>
      <c r="AJ160" s="3">
        <v>0</v>
      </c>
      <c r="AK160" s="3">
        <v>30</v>
      </c>
      <c r="AL160" s="3" t="s">
        <v>31</v>
      </c>
      <c r="AM160" s="3" t="s">
        <v>2501</v>
      </c>
      <c r="AN160" s="3" t="s">
        <v>2502</v>
      </c>
      <c r="AO160" s="3" t="s">
        <v>50</v>
      </c>
      <c r="AP160" s="3">
        <v>30</v>
      </c>
      <c r="AQ160" s="3">
        <v>1.2</v>
      </c>
      <c r="AR160">
        <v>1000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row>
    <row r="161" spans="1:67" ht="15.75" customHeight="1" x14ac:dyDescent="0.2">
      <c r="A161" s="3">
        <f t="shared" si="2"/>
        <v>2159</v>
      </c>
      <c r="B161" s="3" t="s">
        <v>2876</v>
      </c>
      <c r="C161" s="3" t="s">
        <v>2876</v>
      </c>
      <c r="D161" s="27" t="s">
        <v>2875</v>
      </c>
      <c r="E161" s="5" t="s">
        <v>2717</v>
      </c>
      <c r="F161" s="3">
        <v>0</v>
      </c>
      <c r="G161" s="3">
        <v>300</v>
      </c>
      <c r="H161" s="3">
        <v>0</v>
      </c>
      <c r="I161" s="3">
        <v>20</v>
      </c>
      <c r="J161" s="3">
        <v>0</v>
      </c>
      <c r="K161" s="3">
        <v>1</v>
      </c>
      <c r="L161" s="3">
        <v>0</v>
      </c>
      <c r="M161" s="3">
        <v>0</v>
      </c>
      <c r="N161" s="3">
        <v>0</v>
      </c>
      <c r="O161" s="3">
        <v>0</v>
      </c>
      <c r="P161" s="3">
        <v>0</v>
      </c>
      <c r="Q161" s="3">
        <v>0</v>
      </c>
      <c r="R161" s="3">
        <v>0</v>
      </c>
      <c r="S161" s="3">
        <v>0</v>
      </c>
      <c r="T161" s="3">
        <v>0</v>
      </c>
      <c r="U161" s="3">
        <v>0</v>
      </c>
      <c r="V161" s="3">
        <v>0</v>
      </c>
      <c r="W161" s="3">
        <v>0</v>
      </c>
      <c r="X161" s="3">
        <v>0</v>
      </c>
      <c r="Y161" s="3">
        <v>10</v>
      </c>
      <c r="Z161" s="3">
        <v>0</v>
      </c>
      <c r="AA161" s="3">
        <v>0</v>
      </c>
      <c r="AB161" s="3">
        <v>0</v>
      </c>
      <c r="AC161" s="3">
        <v>0</v>
      </c>
      <c r="AD161" s="3">
        <v>0</v>
      </c>
      <c r="AE161" s="3">
        <v>0</v>
      </c>
      <c r="AF161" s="3">
        <v>0</v>
      </c>
      <c r="AG161" s="3">
        <v>0</v>
      </c>
      <c r="AH161" s="3">
        <v>0</v>
      </c>
      <c r="AI161" s="3">
        <v>0</v>
      </c>
      <c r="AJ161" s="3">
        <v>0</v>
      </c>
      <c r="AK161" s="3">
        <v>30</v>
      </c>
      <c r="AL161" s="3" t="s">
        <v>31</v>
      </c>
      <c r="AM161" s="3" t="s">
        <v>2501</v>
      </c>
      <c r="AN161" s="3" t="s">
        <v>2502</v>
      </c>
      <c r="AO161" s="3" t="s">
        <v>50</v>
      </c>
      <c r="AP161" s="3">
        <v>30</v>
      </c>
      <c r="AQ161" s="3">
        <v>1.2</v>
      </c>
      <c r="AR161">
        <v>1000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1203</v>
      </c>
      <c r="BK161">
        <v>2</v>
      </c>
      <c r="BL161">
        <v>40</v>
      </c>
      <c r="BM161">
        <v>0</v>
      </c>
      <c r="BN161">
        <v>0</v>
      </c>
      <c r="BO161">
        <v>0</v>
      </c>
    </row>
    <row r="162" spans="1:67" ht="15.75" customHeight="1" x14ac:dyDescent="0.2">
      <c r="A162" s="3">
        <f t="shared" si="2"/>
        <v>2160</v>
      </c>
      <c r="B162" s="3" t="s">
        <v>2721</v>
      </c>
      <c r="C162" s="3" t="s">
        <v>2721</v>
      </c>
      <c r="D162" s="27" t="s">
        <v>2719</v>
      </c>
      <c r="E162" s="5" t="s">
        <v>2723</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0</v>
      </c>
      <c r="AF162" s="3">
        <v>0</v>
      </c>
      <c r="AG162" s="3">
        <v>0</v>
      </c>
      <c r="AH162" s="3">
        <v>0</v>
      </c>
      <c r="AI162" s="3">
        <v>0</v>
      </c>
      <c r="AJ162" s="3">
        <v>0</v>
      </c>
      <c r="AK162" s="3">
        <v>30</v>
      </c>
      <c r="AL162" s="3" t="s">
        <v>31</v>
      </c>
      <c r="AM162" s="3" t="s">
        <v>2501</v>
      </c>
      <c r="AN162" s="3" t="s">
        <v>2502</v>
      </c>
      <c r="AO162" s="3" t="s">
        <v>51</v>
      </c>
      <c r="AP162" s="3">
        <v>30</v>
      </c>
      <c r="AQ162" s="3">
        <v>1.2</v>
      </c>
      <c r="AR162">
        <v>1000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0</v>
      </c>
    </row>
    <row r="163" spans="1:67" ht="15.75" customHeight="1" x14ac:dyDescent="0.2">
      <c r="A163" s="3">
        <f t="shared" si="2"/>
        <v>2161</v>
      </c>
      <c r="B163" s="3" t="s">
        <v>2722</v>
      </c>
      <c r="C163" s="3" t="s">
        <v>2722</v>
      </c>
      <c r="D163" s="27" t="s">
        <v>2720</v>
      </c>
      <c r="E163" s="5" t="s">
        <v>3132</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0</v>
      </c>
      <c r="AF163" s="3">
        <v>0</v>
      </c>
      <c r="AG163" s="3">
        <v>0</v>
      </c>
      <c r="AH163" s="3">
        <v>0</v>
      </c>
      <c r="AI163" s="3">
        <v>0</v>
      </c>
      <c r="AJ163" s="3">
        <v>0</v>
      </c>
      <c r="AK163" s="3">
        <v>30</v>
      </c>
      <c r="AL163" s="3" t="s">
        <v>31</v>
      </c>
      <c r="AM163" s="3" t="s">
        <v>2501</v>
      </c>
      <c r="AN163" s="3" t="s">
        <v>2502</v>
      </c>
      <c r="AO163" s="3" t="s">
        <v>51</v>
      </c>
      <c r="AP163" s="3">
        <v>30</v>
      </c>
      <c r="AQ163" s="3">
        <v>1.2</v>
      </c>
      <c r="AR163">
        <v>1000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0</v>
      </c>
    </row>
    <row r="164" spans="1:67" ht="15.75" customHeight="1" x14ac:dyDescent="0.2">
      <c r="A164" s="3">
        <f t="shared" si="2"/>
        <v>2162</v>
      </c>
      <c r="B164" s="3" t="s">
        <v>953</v>
      </c>
      <c r="C164" s="3" t="s">
        <v>2902</v>
      </c>
      <c r="D164" s="27" t="s">
        <v>2724</v>
      </c>
      <c r="E164" s="5" t="s">
        <v>2725</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0</v>
      </c>
      <c r="AF164" s="3">
        <v>0</v>
      </c>
      <c r="AG164" s="3">
        <v>0</v>
      </c>
      <c r="AH164" s="3">
        <v>0</v>
      </c>
      <c r="AI164" s="3">
        <v>0</v>
      </c>
      <c r="AJ164" s="3">
        <v>0</v>
      </c>
      <c r="AK164" s="3">
        <v>30</v>
      </c>
      <c r="AL164" s="3" t="s">
        <v>31</v>
      </c>
      <c r="AM164" s="3" t="s">
        <v>2501</v>
      </c>
      <c r="AN164" s="3" t="s">
        <v>2502</v>
      </c>
      <c r="AO164" s="3" t="s">
        <v>50</v>
      </c>
      <c r="AP164" s="3">
        <v>30</v>
      </c>
      <c r="AQ164" s="3">
        <v>1.2</v>
      </c>
      <c r="AR164">
        <v>1000</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0</v>
      </c>
    </row>
    <row r="165" spans="1:67" s="23" customFormat="1" ht="15.75" customHeight="1" x14ac:dyDescent="0.2">
      <c r="A165" s="21">
        <f t="shared" si="2"/>
        <v>2163</v>
      </c>
      <c r="B165" s="21" t="s">
        <v>305</v>
      </c>
      <c r="C165" s="21" t="s">
        <v>2331</v>
      </c>
      <c r="D165" s="22" t="s">
        <v>2332</v>
      </c>
      <c r="E165" s="22" t="s">
        <v>2292</v>
      </c>
      <c r="F165" s="21">
        <v>0</v>
      </c>
      <c r="G165" s="21">
        <v>300</v>
      </c>
      <c r="H165" s="21">
        <v>0</v>
      </c>
      <c r="I165" s="21">
        <v>20</v>
      </c>
      <c r="J165" s="21">
        <v>150</v>
      </c>
      <c r="K165" s="21">
        <v>1</v>
      </c>
      <c r="L165" s="21">
        <v>0</v>
      </c>
      <c r="M165" s="21">
        <v>0</v>
      </c>
      <c r="N165" s="21">
        <v>0</v>
      </c>
      <c r="O165" s="21">
        <v>0</v>
      </c>
      <c r="P165" s="21">
        <v>0</v>
      </c>
      <c r="Q165" s="21">
        <v>0</v>
      </c>
      <c r="R165" s="21">
        <v>0</v>
      </c>
      <c r="S165" s="21">
        <v>0</v>
      </c>
      <c r="T165" s="21">
        <v>0</v>
      </c>
      <c r="U165" s="21">
        <v>0</v>
      </c>
      <c r="V165" s="21">
        <v>0</v>
      </c>
      <c r="W165" s="21">
        <v>0</v>
      </c>
      <c r="X165" s="21">
        <v>0</v>
      </c>
      <c r="Y165" s="21">
        <v>0</v>
      </c>
      <c r="Z165" s="21">
        <v>0</v>
      </c>
      <c r="AA165" s="21">
        <v>0</v>
      </c>
      <c r="AB165" s="21">
        <v>0</v>
      </c>
      <c r="AC165" s="21">
        <v>0</v>
      </c>
      <c r="AD165" s="21">
        <v>0</v>
      </c>
      <c r="AE165" s="21">
        <v>0</v>
      </c>
      <c r="AF165" s="21">
        <v>0</v>
      </c>
      <c r="AG165" s="21">
        <v>0</v>
      </c>
      <c r="AH165" s="21">
        <v>0</v>
      </c>
      <c r="AI165" s="21">
        <v>0</v>
      </c>
      <c r="AJ165" s="21">
        <v>0</v>
      </c>
      <c r="AK165" s="21">
        <v>0</v>
      </c>
      <c r="AL165" s="21" t="s">
        <v>31</v>
      </c>
      <c r="AM165" s="21" t="s">
        <v>1855</v>
      </c>
      <c r="AN165" s="21" t="s">
        <v>2019</v>
      </c>
      <c r="AO165" s="21" t="s">
        <v>50</v>
      </c>
      <c r="AP165" s="21">
        <v>30</v>
      </c>
      <c r="AQ165" s="21">
        <v>20</v>
      </c>
      <c r="AR165" s="23">
        <v>1500</v>
      </c>
      <c r="AS165" s="23">
        <v>1200</v>
      </c>
      <c r="AT165" s="24" t="s">
        <v>50</v>
      </c>
      <c r="AU165" s="24" t="s">
        <v>50</v>
      </c>
      <c r="AV165" s="24" t="s">
        <v>50</v>
      </c>
      <c r="AW165" s="24" t="s">
        <v>50</v>
      </c>
      <c r="AX165" s="24" t="s">
        <v>50</v>
      </c>
      <c r="AY165" s="24" t="s">
        <v>50</v>
      </c>
      <c r="AZ165" s="24" t="s">
        <v>50</v>
      </c>
      <c r="BA165" s="24" t="s">
        <v>50</v>
      </c>
      <c r="BB165" s="24" t="s">
        <v>50</v>
      </c>
      <c r="BC165" s="24" t="s">
        <v>50</v>
      </c>
      <c r="BD165" s="24" t="s">
        <v>50</v>
      </c>
      <c r="BE165" s="24" t="s">
        <v>50</v>
      </c>
      <c r="BF165" s="24" t="s">
        <v>50</v>
      </c>
      <c r="BG165" s="24" t="s">
        <v>50</v>
      </c>
      <c r="BH165" s="24" t="s">
        <v>50</v>
      </c>
      <c r="BI165" s="23">
        <v>0</v>
      </c>
      <c r="BJ165" s="23">
        <v>0</v>
      </c>
      <c r="BK165" s="23">
        <v>1</v>
      </c>
      <c r="BL165" s="23">
        <v>30</v>
      </c>
      <c r="BM165">
        <v>0</v>
      </c>
      <c r="BN165">
        <v>0</v>
      </c>
      <c r="BO165" s="23">
        <v>0</v>
      </c>
    </row>
    <row r="166" spans="1:67" ht="15.75" customHeight="1" x14ac:dyDescent="0.2">
      <c r="A166" s="3">
        <f t="shared" si="2"/>
        <v>2164</v>
      </c>
      <c r="B166" s="3" t="s">
        <v>615</v>
      </c>
      <c r="C166" s="3" t="s">
        <v>615</v>
      </c>
      <c r="D166" s="27" t="s">
        <v>614</v>
      </c>
      <c r="E166" s="5" t="s">
        <v>616</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0</v>
      </c>
      <c r="AF166" s="3">
        <v>0</v>
      </c>
      <c r="AG166" s="3">
        <v>0</v>
      </c>
      <c r="AH166" s="3">
        <v>0</v>
      </c>
      <c r="AI166" s="3">
        <v>0</v>
      </c>
      <c r="AJ166" s="3">
        <v>0</v>
      </c>
      <c r="AK166" s="3">
        <v>0</v>
      </c>
      <c r="AL166" s="3" t="s">
        <v>1034</v>
      </c>
      <c r="AM166" s="3" t="s">
        <v>617</v>
      </c>
      <c r="AN166" s="3" t="s">
        <v>2016</v>
      </c>
      <c r="AO166" s="3" t="s">
        <v>1853</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row>
    <row r="167" spans="1:67" ht="15.75" customHeight="1" x14ac:dyDescent="0.2">
      <c r="A167" s="3">
        <f t="shared" si="2"/>
        <v>2165</v>
      </c>
      <c r="B167" s="3" t="s">
        <v>928</v>
      </c>
      <c r="C167" s="3" t="s">
        <v>853</v>
      </c>
      <c r="D167" s="27" t="s">
        <v>851</v>
      </c>
      <c r="E167" s="5" t="s">
        <v>1425</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0</v>
      </c>
      <c r="AF167" s="3">
        <v>0</v>
      </c>
      <c r="AG167" s="3">
        <v>0</v>
      </c>
      <c r="AH167" s="3">
        <v>0</v>
      </c>
      <c r="AI167" s="3">
        <v>0</v>
      </c>
      <c r="AJ167" s="3">
        <v>0</v>
      </c>
      <c r="AK167" s="3">
        <v>0</v>
      </c>
      <c r="AL167" s="3" t="s">
        <v>31</v>
      </c>
      <c r="AM167" s="3" t="s">
        <v>617</v>
      </c>
      <c r="AN167" s="3" t="s">
        <v>2016</v>
      </c>
      <c r="AO167" s="3" t="s">
        <v>1853</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row>
    <row r="168" spans="1:67" ht="15.75" customHeight="1" x14ac:dyDescent="0.2">
      <c r="A168" s="3">
        <f t="shared" si="2"/>
        <v>2166</v>
      </c>
      <c r="B168" s="3" t="s">
        <v>1103</v>
      </c>
      <c r="C168" s="3" t="s">
        <v>855</v>
      </c>
      <c r="D168" s="27" t="s">
        <v>1061</v>
      </c>
      <c r="E168" s="5" t="s">
        <v>854</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0</v>
      </c>
      <c r="AF168" s="3">
        <v>0</v>
      </c>
      <c r="AG168" s="3">
        <v>0</v>
      </c>
      <c r="AH168" s="3">
        <v>0</v>
      </c>
      <c r="AI168" s="3">
        <v>0</v>
      </c>
      <c r="AJ168" s="3">
        <v>0</v>
      </c>
      <c r="AK168" s="3">
        <v>0</v>
      </c>
      <c r="AL168" s="3" t="s">
        <v>31</v>
      </c>
      <c r="AM168" s="3" t="s">
        <v>617</v>
      </c>
      <c r="AN168" s="3" t="s">
        <v>2016</v>
      </c>
      <c r="AO168" s="3" t="s">
        <v>1853</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row>
    <row r="169" spans="1:67" s="23" customFormat="1" ht="15.75" customHeight="1" x14ac:dyDescent="0.2">
      <c r="A169" s="21">
        <f t="shared" si="2"/>
        <v>2167</v>
      </c>
      <c r="B169" s="21" t="s">
        <v>305</v>
      </c>
      <c r="C169" s="21" t="s">
        <v>2333</v>
      </c>
      <c r="D169" s="22" t="s">
        <v>2334</v>
      </c>
      <c r="E169" s="22" t="s">
        <v>2292</v>
      </c>
      <c r="F169" s="21">
        <v>0</v>
      </c>
      <c r="G169" s="21">
        <v>300</v>
      </c>
      <c r="H169" s="21">
        <v>0</v>
      </c>
      <c r="I169" s="21">
        <v>20</v>
      </c>
      <c r="J169" s="21">
        <v>150</v>
      </c>
      <c r="K169" s="21">
        <v>1</v>
      </c>
      <c r="L169" s="21">
        <v>0</v>
      </c>
      <c r="M169" s="21">
        <v>0</v>
      </c>
      <c r="N169" s="21">
        <v>0</v>
      </c>
      <c r="O169" s="21">
        <v>0</v>
      </c>
      <c r="P169" s="21">
        <v>0</v>
      </c>
      <c r="Q169" s="21">
        <v>0</v>
      </c>
      <c r="R169" s="21">
        <v>0</v>
      </c>
      <c r="S169" s="21">
        <v>0</v>
      </c>
      <c r="T169" s="21">
        <v>0</v>
      </c>
      <c r="U169" s="21">
        <v>0</v>
      </c>
      <c r="V169" s="21">
        <v>0</v>
      </c>
      <c r="W169" s="21">
        <v>0</v>
      </c>
      <c r="X169" s="21">
        <v>0</v>
      </c>
      <c r="Y169" s="21">
        <v>0</v>
      </c>
      <c r="Z169" s="21">
        <v>0</v>
      </c>
      <c r="AA169" s="21">
        <v>0</v>
      </c>
      <c r="AB169" s="21">
        <v>0</v>
      </c>
      <c r="AC169" s="21">
        <v>0</v>
      </c>
      <c r="AD169" s="21">
        <v>0</v>
      </c>
      <c r="AE169" s="21">
        <v>0</v>
      </c>
      <c r="AF169" s="21">
        <v>0</v>
      </c>
      <c r="AG169" s="21">
        <v>0</v>
      </c>
      <c r="AH169" s="21">
        <v>0</v>
      </c>
      <c r="AI169" s="21">
        <v>0</v>
      </c>
      <c r="AJ169" s="21">
        <v>0</v>
      </c>
      <c r="AK169" s="21">
        <v>0</v>
      </c>
      <c r="AL169" s="21" t="s">
        <v>31</v>
      </c>
      <c r="AM169" s="21" t="s">
        <v>1855</v>
      </c>
      <c r="AN169" s="21" t="s">
        <v>2019</v>
      </c>
      <c r="AO169" s="21" t="s">
        <v>50</v>
      </c>
      <c r="AP169" s="21">
        <v>30</v>
      </c>
      <c r="AQ169" s="21">
        <v>20</v>
      </c>
      <c r="AR169" s="23">
        <v>1500</v>
      </c>
      <c r="AS169" s="23">
        <v>1200</v>
      </c>
      <c r="AT169" s="24" t="s">
        <v>50</v>
      </c>
      <c r="AU169" s="24" t="s">
        <v>50</v>
      </c>
      <c r="AV169" s="24" t="s">
        <v>50</v>
      </c>
      <c r="AW169" s="24" t="s">
        <v>50</v>
      </c>
      <c r="AX169" s="24" t="s">
        <v>50</v>
      </c>
      <c r="AY169" s="24" t="s">
        <v>50</v>
      </c>
      <c r="AZ169" s="24" t="s">
        <v>50</v>
      </c>
      <c r="BA169" s="24" t="s">
        <v>50</v>
      </c>
      <c r="BB169" s="24" t="s">
        <v>50</v>
      </c>
      <c r="BC169" s="24" t="s">
        <v>50</v>
      </c>
      <c r="BD169" s="24" t="s">
        <v>50</v>
      </c>
      <c r="BE169" s="24" t="s">
        <v>50</v>
      </c>
      <c r="BF169" s="24" t="s">
        <v>50</v>
      </c>
      <c r="BG169" s="24" t="s">
        <v>50</v>
      </c>
      <c r="BH169" s="24" t="s">
        <v>50</v>
      </c>
      <c r="BI169" s="23">
        <v>0</v>
      </c>
      <c r="BJ169" s="23">
        <v>0</v>
      </c>
      <c r="BK169" s="23">
        <v>1</v>
      </c>
      <c r="BL169" s="23">
        <v>30</v>
      </c>
      <c r="BM169">
        <v>0</v>
      </c>
      <c r="BN169">
        <v>0</v>
      </c>
      <c r="BO169" s="23">
        <v>0</v>
      </c>
    </row>
    <row r="170" spans="1:67" ht="15.75" customHeight="1" x14ac:dyDescent="0.2">
      <c r="A170" s="3">
        <f t="shared" si="2"/>
        <v>2168</v>
      </c>
      <c r="B170" s="3" t="s">
        <v>595</v>
      </c>
      <c r="C170" s="3" t="s">
        <v>595</v>
      </c>
      <c r="D170" s="27" t="s">
        <v>849</v>
      </c>
      <c r="E170" s="5" t="s">
        <v>603</v>
      </c>
      <c r="F170" s="3">
        <v>0</v>
      </c>
      <c r="G170" s="3">
        <v>300</v>
      </c>
      <c r="H170" s="3">
        <v>0</v>
      </c>
      <c r="I170" s="3">
        <v>20</v>
      </c>
      <c r="J170" s="3">
        <v>0</v>
      </c>
      <c r="K170" s="3">
        <v>1</v>
      </c>
      <c r="L170" s="3">
        <v>0</v>
      </c>
      <c r="M170" s="3">
        <v>0</v>
      </c>
      <c r="N170" s="3">
        <v>0</v>
      </c>
      <c r="O170" s="3">
        <v>0</v>
      </c>
      <c r="P170" s="3">
        <v>0</v>
      </c>
      <c r="Q170" s="3">
        <v>0</v>
      </c>
      <c r="R170" s="3">
        <v>0</v>
      </c>
      <c r="S170" s="3">
        <v>0</v>
      </c>
      <c r="T170" s="3">
        <v>0</v>
      </c>
      <c r="U170" s="3">
        <v>0</v>
      </c>
      <c r="V170" s="3">
        <v>0</v>
      </c>
      <c r="W170" s="3">
        <v>0</v>
      </c>
      <c r="X170" s="3">
        <v>0</v>
      </c>
      <c r="Y170" s="3">
        <v>50</v>
      </c>
      <c r="Z170" s="3">
        <v>0</v>
      </c>
      <c r="AA170" s="3">
        <v>0</v>
      </c>
      <c r="AB170" s="3">
        <v>0</v>
      </c>
      <c r="AC170" s="3">
        <v>0</v>
      </c>
      <c r="AD170" s="3">
        <v>0</v>
      </c>
      <c r="AE170" s="3">
        <v>0</v>
      </c>
      <c r="AF170" s="3">
        <v>0</v>
      </c>
      <c r="AG170" s="3">
        <v>0</v>
      </c>
      <c r="AH170" s="3">
        <v>0</v>
      </c>
      <c r="AI170" s="3">
        <v>0</v>
      </c>
      <c r="AJ170" s="3">
        <v>0</v>
      </c>
      <c r="AK170" s="3">
        <v>30</v>
      </c>
      <c r="AL170" s="3" t="s">
        <v>31</v>
      </c>
      <c r="AM170" s="3" t="s">
        <v>585</v>
      </c>
      <c r="AN170" s="3" t="s">
        <v>2017</v>
      </c>
      <c r="AO170" s="3" t="s">
        <v>1853</v>
      </c>
      <c r="AP170" s="3">
        <v>30</v>
      </c>
      <c r="AQ170" s="3">
        <v>1.1000000000000001</v>
      </c>
      <c r="AR170">
        <v>200</v>
      </c>
      <c r="AS170">
        <v>10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839</v>
      </c>
      <c r="BK170">
        <v>1</v>
      </c>
      <c r="BL170">
        <v>20</v>
      </c>
      <c r="BM170">
        <v>0</v>
      </c>
      <c r="BN170">
        <v>0</v>
      </c>
      <c r="BO170">
        <v>0</v>
      </c>
    </row>
    <row r="171" spans="1:67" ht="15.75" customHeight="1" x14ac:dyDescent="0.2">
      <c r="A171" s="3">
        <f t="shared" si="2"/>
        <v>2169</v>
      </c>
      <c r="B171" s="3" t="s">
        <v>566</v>
      </c>
      <c r="C171" s="3" t="s">
        <v>566</v>
      </c>
      <c r="D171" s="27" t="s">
        <v>658</v>
      </c>
      <c r="E171" s="5" t="s">
        <v>568</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0</v>
      </c>
      <c r="AF171" s="3">
        <v>0</v>
      </c>
      <c r="AG171" s="3">
        <v>0</v>
      </c>
      <c r="AH171" s="3">
        <v>0</v>
      </c>
      <c r="AI171" s="3">
        <v>0</v>
      </c>
      <c r="AJ171" s="3">
        <v>0</v>
      </c>
      <c r="AK171" s="3">
        <v>30</v>
      </c>
      <c r="AL171" s="3" t="s">
        <v>31</v>
      </c>
      <c r="AM171" s="3" t="s">
        <v>585</v>
      </c>
      <c r="AN171" s="3" t="s">
        <v>2017</v>
      </c>
      <c r="AO171" s="3" t="s">
        <v>1853</v>
      </c>
      <c r="AP171" s="3">
        <v>30</v>
      </c>
      <c r="AQ171" s="3">
        <v>1.4</v>
      </c>
      <c r="AR171">
        <v>500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830</v>
      </c>
      <c r="BK171">
        <v>2</v>
      </c>
      <c r="BL171">
        <v>40</v>
      </c>
      <c r="BM171">
        <v>0</v>
      </c>
      <c r="BN171">
        <v>0</v>
      </c>
      <c r="BO171">
        <v>0</v>
      </c>
    </row>
    <row r="172" spans="1:67" ht="15.75" customHeight="1" x14ac:dyDescent="0.2">
      <c r="A172" s="3">
        <f t="shared" si="2"/>
        <v>2170</v>
      </c>
      <c r="B172" s="3" t="s">
        <v>930</v>
      </c>
      <c r="C172" s="3" t="s">
        <v>856</v>
      </c>
      <c r="D172" s="27" t="s">
        <v>1353</v>
      </c>
      <c r="E172" s="5" t="s">
        <v>857</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85</v>
      </c>
      <c r="Z172" s="3">
        <v>0</v>
      </c>
      <c r="AA172" s="3">
        <v>0</v>
      </c>
      <c r="AB172" s="3">
        <v>0</v>
      </c>
      <c r="AC172" s="3">
        <v>0</v>
      </c>
      <c r="AD172" s="3">
        <v>0</v>
      </c>
      <c r="AE172" s="3">
        <v>0</v>
      </c>
      <c r="AF172" s="3">
        <v>0</v>
      </c>
      <c r="AG172" s="3">
        <v>0</v>
      </c>
      <c r="AH172" s="3">
        <v>0</v>
      </c>
      <c r="AI172" s="3">
        <v>0</v>
      </c>
      <c r="AJ172" s="3">
        <v>0</v>
      </c>
      <c r="AK172" s="3">
        <v>30</v>
      </c>
      <c r="AL172" s="3" t="s">
        <v>31</v>
      </c>
      <c r="AM172" s="3" t="s">
        <v>585</v>
      </c>
      <c r="AN172" s="3" t="s">
        <v>2017</v>
      </c>
      <c r="AO172" s="3" t="s">
        <v>1853</v>
      </c>
      <c r="AP172" s="3">
        <v>30</v>
      </c>
      <c r="AQ172" s="3">
        <v>1.4</v>
      </c>
      <c r="AR172">
        <v>600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831</v>
      </c>
      <c r="BK172">
        <v>2</v>
      </c>
      <c r="BL172">
        <v>40</v>
      </c>
      <c r="BM172">
        <v>0</v>
      </c>
      <c r="BN172">
        <v>0</v>
      </c>
      <c r="BO172">
        <v>0</v>
      </c>
    </row>
    <row r="173" spans="1:67" ht="15.75" customHeight="1" x14ac:dyDescent="0.2">
      <c r="A173" s="3">
        <f t="shared" si="2"/>
        <v>2171</v>
      </c>
      <c r="B173" s="3" t="s">
        <v>1405</v>
      </c>
      <c r="C173" s="3" t="s">
        <v>1391</v>
      </c>
      <c r="D173" s="27" t="s">
        <v>1382</v>
      </c>
      <c r="E173" s="5" t="s">
        <v>1380</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85</v>
      </c>
      <c r="Z173" s="3">
        <v>0</v>
      </c>
      <c r="AA173" s="3">
        <v>0</v>
      </c>
      <c r="AB173" s="3">
        <v>0</v>
      </c>
      <c r="AC173" s="3">
        <v>0</v>
      </c>
      <c r="AD173" s="3">
        <v>0</v>
      </c>
      <c r="AE173" s="3">
        <v>0</v>
      </c>
      <c r="AF173" s="3">
        <v>0</v>
      </c>
      <c r="AG173" s="3">
        <v>0</v>
      </c>
      <c r="AH173" s="3">
        <v>0</v>
      </c>
      <c r="AI173" s="3">
        <v>0</v>
      </c>
      <c r="AJ173" s="3">
        <v>0</v>
      </c>
      <c r="AK173" s="3">
        <v>30</v>
      </c>
      <c r="AL173" s="3" t="s">
        <v>31</v>
      </c>
      <c r="AM173" s="3" t="s">
        <v>585</v>
      </c>
      <c r="AN173" s="3" t="s">
        <v>2017</v>
      </c>
      <c r="AO173" s="3" t="s">
        <v>1853</v>
      </c>
      <c r="AP173" s="3">
        <v>30</v>
      </c>
      <c r="AQ173" s="3">
        <v>1.4</v>
      </c>
      <c r="AR173">
        <v>600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833</v>
      </c>
      <c r="BK173">
        <v>2</v>
      </c>
      <c r="BL173">
        <v>40</v>
      </c>
      <c r="BM173">
        <v>0</v>
      </c>
      <c r="BN173">
        <v>0</v>
      </c>
      <c r="BO173">
        <v>0</v>
      </c>
    </row>
    <row r="174" spans="1:67" ht="15.75" customHeight="1" x14ac:dyDescent="0.2">
      <c r="A174" s="3">
        <f t="shared" si="2"/>
        <v>2172</v>
      </c>
      <c r="B174" s="3" t="s">
        <v>1406</v>
      </c>
      <c r="C174" s="3" t="s">
        <v>1381</v>
      </c>
      <c r="D174" s="27" t="s">
        <v>1519</v>
      </c>
      <c r="E174" s="5" t="s">
        <v>1520</v>
      </c>
      <c r="F174" s="3">
        <v>0</v>
      </c>
      <c r="G174" s="3">
        <v>300</v>
      </c>
      <c r="H174" s="3">
        <v>0</v>
      </c>
      <c r="I174" s="3">
        <v>20</v>
      </c>
      <c r="J174" s="3">
        <v>0</v>
      </c>
      <c r="K174" s="3">
        <v>1</v>
      </c>
      <c r="L174" s="3">
        <v>0</v>
      </c>
      <c r="M174" s="3">
        <v>0</v>
      </c>
      <c r="N174" s="3">
        <v>0</v>
      </c>
      <c r="O174" s="3">
        <v>0</v>
      </c>
      <c r="P174" s="3">
        <v>0</v>
      </c>
      <c r="Q174" s="3">
        <v>0</v>
      </c>
      <c r="R174" s="3">
        <v>0</v>
      </c>
      <c r="S174" s="3">
        <v>0</v>
      </c>
      <c r="T174" s="3">
        <v>0</v>
      </c>
      <c r="U174" s="3">
        <v>0</v>
      </c>
      <c r="V174" s="3">
        <v>0</v>
      </c>
      <c r="W174" s="3">
        <v>0</v>
      </c>
      <c r="X174" s="3">
        <v>0</v>
      </c>
      <c r="Y174" s="3">
        <v>85</v>
      </c>
      <c r="Z174" s="3">
        <v>0</v>
      </c>
      <c r="AA174" s="3">
        <v>0</v>
      </c>
      <c r="AB174" s="3">
        <v>0</v>
      </c>
      <c r="AC174" s="3">
        <v>0</v>
      </c>
      <c r="AD174" s="3">
        <v>0</v>
      </c>
      <c r="AE174" s="3">
        <v>0</v>
      </c>
      <c r="AF174" s="3">
        <v>0</v>
      </c>
      <c r="AG174" s="3">
        <v>0</v>
      </c>
      <c r="AH174" s="3">
        <v>0</v>
      </c>
      <c r="AI174" s="3">
        <v>0</v>
      </c>
      <c r="AJ174" s="3">
        <v>0</v>
      </c>
      <c r="AK174" s="3">
        <v>30</v>
      </c>
      <c r="AL174" s="3" t="s">
        <v>31</v>
      </c>
      <c r="AM174" s="3" t="s">
        <v>585</v>
      </c>
      <c r="AN174" s="3" t="s">
        <v>2017</v>
      </c>
      <c r="AO174" s="3" t="s">
        <v>1853</v>
      </c>
      <c r="AP174" s="3">
        <v>30</v>
      </c>
      <c r="AQ174" s="3">
        <v>1.4</v>
      </c>
      <c r="AR174">
        <v>600</v>
      </c>
      <c r="AS174">
        <v>10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834</v>
      </c>
      <c r="BK174">
        <v>2</v>
      </c>
      <c r="BL174">
        <v>40</v>
      </c>
      <c r="BM174">
        <v>0</v>
      </c>
      <c r="BN174">
        <v>0</v>
      </c>
      <c r="BO174">
        <v>0</v>
      </c>
    </row>
    <row r="175" spans="1:67" ht="15.75" customHeight="1" x14ac:dyDescent="0.2">
      <c r="A175" s="3">
        <f t="shared" si="2"/>
        <v>2173</v>
      </c>
      <c r="B175" s="3" t="s">
        <v>1407</v>
      </c>
      <c r="C175" s="3" t="s">
        <v>1383</v>
      </c>
      <c r="D175" s="27" t="s">
        <v>1475</v>
      </c>
      <c r="E175" s="5" t="s">
        <v>1384</v>
      </c>
      <c r="F175" s="3">
        <v>0</v>
      </c>
      <c r="G175" s="3">
        <v>300</v>
      </c>
      <c r="H175" s="3">
        <v>0</v>
      </c>
      <c r="I175" s="3">
        <v>20</v>
      </c>
      <c r="J175" s="3">
        <v>0</v>
      </c>
      <c r="K175" s="3">
        <v>1</v>
      </c>
      <c r="L175" s="3">
        <v>0</v>
      </c>
      <c r="M175" s="3">
        <v>0</v>
      </c>
      <c r="N175" s="3">
        <v>0</v>
      </c>
      <c r="O175" s="3">
        <v>0</v>
      </c>
      <c r="P175" s="3">
        <v>0</v>
      </c>
      <c r="Q175" s="3">
        <v>0</v>
      </c>
      <c r="R175" s="3">
        <v>0</v>
      </c>
      <c r="S175" s="3">
        <v>0</v>
      </c>
      <c r="T175" s="3">
        <v>0</v>
      </c>
      <c r="U175" s="3">
        <v>0</v>
      </c>
      <c r="V175" s="3">
        <v>0</v>
      </c>
      <c r="W175" s="3">
        <v>0</v>
      </c>
      <c r="X175" s="3">
        <v>0</v>
      </c>
      <c r="Y175" s="3">
        <v>85</v>
      </c>
      <c r="Z175" s="3">
        <v>0</v>
      </c>
      <c r="AA175" s="3">
        <v>0</v>
      </c>
      <c r="AB175" s="3">
        <v>0</v>
      </c>
      <c r="AC175" s="3">
        <v>0</v>
      </c>
      <c r="AD175" s="3">
        <v>0</v>
      </c>
      <c r="AE175" s="3">
        <v>0</v>
      </c>
      <c r="AF175" s="3">
        <v>0</v>
      </c>
      <c r="AG175" s="3">
        <v>0</v>
      </c>
      <c r="AH175" s="3">
        <v>0</v>
      </c>
      <c r="AI175" s="3">
        <v>0</v>
      </c>
      <c r="AJ175" s="3">
        <v>0</v>
      </c>
      <c r="AK175" s="3">
        <v>30</v>
      </c>
      <c r="AL175" s="3" t="s">
        <v>31</v>
      </c>
      <c r="AM175" s="3" t="s">
        <v>585</v>
      </c>
      <c r="AN175" s="3" t="s">
        <v>2017</v>
      </c>
      <c r="AO175" s="3" t="s">
        <v>1853</v>
      </c>
      <c r="AP175" s="3">
        <v>30</v>
      </c>
      <c r="AQ175" s="3">
        <v>1.4</v>
      </c>
      <c r="AR175">
        <v>600</v>
      </c>
      <c r="AS175">
        <v>10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835</v>
      </c>
      <c r="BK175">
        <v>2</v>
      </c>
      <c r="BL175">
        <v>40</v>
      </c>
      <c r="BM175">
        <v>0</v>
      </c>
      <c r="BN175">
        <v>0</v>
      </c>
      <c r="BO175">
        <v>0</v>
      </c>
    </row>
    <row r="176" spans="1:67" ht="15.75" customHeight="1" x14ac:dyDescent="0.2">
      <c r="A176" s="3">
        <f t="shared" si="2"/>
        <v>2174</v>
      </c>
      <c r="B176" s="3" t="s">
        <v>1410</v>
      </c>
      <c r="C176" s="3" t="s">
        <v>1385</v>
      </c>
      <c r="D176" s="27" t="s">
        <v>1386</v>
      </c>
      <c r="E176" s="5" t="s">
        <v>1387</v>
      </c>
      <c r="F176" s="3">
        <v>0</v>
      </c>
      <c r="G176" s="3">
        <v>300</v>
      </c>
      <c r="H176" s="3">
        <v>0</v>
      </c>
      <c r="I176" s="3">
        <v>20</v>
      </c>
      <c r="J176" s="3">
        <v>0</v>
      </c>
      <c r="K176" s="3">
        <v>1</v>
      </c>
      <c r="L176" s="3">
        <v>0</v>
      </c>
      <c r="M176" s="3">
        <v>0</v>
      </c>
      <c r="N176" s="3">
        <v>0</v>
      </c>
      <c r="O176" s="3">
        <v>0</v>
      </c>
      <c r="P176" s="3">
        <v>0</v>
      </c>
      <c r="Q176" s="3">
        <v>0</v>
      </c>
      <c r="R176" s="3">
        <v>0</v>
      </c>
      <c r="S176" s="3">
        <v>0</v>
      </c>
      <c r="T176" s="3">
        <v>0</v>
      </c>
      <c r="U176" s="3">
        <v>0</v>
      </c>
      <c r="V176" s="3">
        <v>0</v>
      </c>
      <c r="W176" s="3">
        <v>0</v>
      </c>
      <c r="X176" s="3">
        <v>0</v>
      </c>
      <c r="Y176" s="3">
        <v>85</v>
      </c>
      <c r="Z176" s="3">
        <v>0</v>
      </c>
      <c r="AA176" s="3">
        <v>0</v>
      </c>
      <c r="AB176" s="3">
        <v>0</v>
      </c>
      <c r="AC176" s="3">
        <v>0</v>
      </c>
      <c r="AD176" s="3">
        <v>0</v>
      </c>
      <c r="AE176" s="3">
        <v>0</v>
      </c>
      <c r="AF176" s="3">
        <v>0</v>
      </c>
      <c r="AG176" s="3">
        <v>0</v>
      </c>
      <c r="AH176" s="3">
        <v>0</v>
      </c>
      <c r="AI176" s="3">
        <v>0</v>
      </c>
      <c r="AJ176" s="3">
        <v>0</v>
      </c>
      <c r="AK176" s="3">
        <v>30</v>
      </c>
      <c r="AL176" s="3" t="s">
        <v>31</v>
      </c>
      <c r="AM176" s="3" t="s">
        <v>585</v>
      </c>
      <c r="AN176" s="3" t="s">
        <v>2017</v>
      </c>
      <c r="AO176" s="3" t="s">
        <v>1853</v>
      </c>
      <c r="AP176" s="3">
        <v>30</v>
      </c>
      <c r="AQ176" s="3">
        <v>1.4</v>
      </c>
      <c r="AR176">
        <v>600</v>
      </c>
      <c r="AS176">
        <v>10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836</v>
      </c>
      <c r="BK176">
        <v>2</v>
      </c>
      <c r="BL176">
        <v>40</v>
      </c>
      <c r="BM176">
        <v>0</v>
      </c>
      <c r="BN176">
        <v>0</v>
      </c>
      <c r="BO176">
        <v>0</v>
      </c>
    </row>
    <row r="177" spans="1:67" ht="15.75" customHeight="1" x14ac:dyDescent="0.2">
      <c r="A177" s="3">
        <f t="shared" si="2"/>
        <v>2175</v>
      </c>
      <c r="B177" s="3" t="s">
        <v>1409</v>
      </c>
      <c r="C177" s="3" t="s">
        <v>1388</v>
      </c>
      <c r="D177" s="27" t="s">
        <v>1389</v>
      </c>
      <c r="E177" s="5" t="s">
        <v>1390</v>
      </c>
      <c r="F177" s="3">
        <v>0</v>
      </c>
      <c r="G177" s="3">
        <v>300</v>
      </c>
      <c r="H177" s="3">
        <v>0</v>
      </c>
      <c r="I177" s="3">
        <v>20</v>
      </c>
      <c r="J177" s="3">
        <v>0</v>
      </c>
      <c r="K177" s="3">
        <v>1</v>
      </c>
      <c r="L177" s="3">
        <v>0</v>
      </c>
      <c r="M177" s="3">
        <v>0</v>
      </c>
      <c r="N177" s="3">
        <v>0</v>
      </c>
      <c r="O177" s="3">
        <v>0</v>
      </c>
      <c r="P177" s="3">
        <v>0</v>
      </c>
      <c r="Q177" s="3">
        <v>0</v>
      </c>
      <c r="R177" s="3">
        <v>0</v>
      </c>
      <c r="S177" s="3">
        <v>0</v>
      </c>
      <c r="T177" s="3">
        <v>0</v>
      </c>
      <c r="U177" s="3">
        <v>0</v>
      </c>
      <c r="V177" s="3">
        <v>0</v>
      </c>
      <c r="W177" s="3">
        <v>0</v>
      </c>
      <c r="X177" s="3">
        <v>0</v>
      </c>
      <c r="Y177" s="3">
        <v>220</v>
      </c>
      <c r="Z177" s="3">
        <v>0</v>
      </c>
      <c r="AA177" s="3">
        <v>0</v>
      </c>
      <c r="AB177" s="3">
        <v>0</v>
      </c>
      <c r="AC177" s="3">
        <v>0</v>
      </c>
      <c r="AD177" s="3">
        <v>0</v>
      </c>
      <c r="AE177" s="3">
        <v>0</v>
      </c>
      <c r="AF177" s="3">
        <v>0</v>
      </c>
      <c r="AG177" s="3">
        <v>0</v>
      </c>
      <c r="AH177" s="3">
        <v>0</v>
      </c>
      <c r="AI177" s="3">
        <v>0</v>
      </c>
      <c r="AJ177" s="3">
        <v>0</v>
      </c>
      <c r="AK177" s="3">
        <v>30</v>
      </c>
      <c r="AL177" s="3" t="s">
        <v>31</v>
      </c>
      <c r="AM177" s="3" t="s">
        <v>585</v>
      </c>
      <c r="AN177" s="3" t="s">
        <v>2017</v>
      </c>
      <c r="AO177" s="3" t="s">
        <v>1853</v>
      </c>
      <c r="AP177" s="3">
        <v>30</v>
      </c>
      <c r="AQ177" s="3">
        <v>1.8</v>
      </c>
      <c r="AR177">
        <v>5000</v>
      </c>
      <c r="AS177">
        <v>10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837</v>
      </c>
      <c r="BK177">
        <v>4</v>
      </c>
      <c r="BL177">
        <v>40</v>
      </c>
      <c r="BM177">
        <v>0</v>
      </c>
      <c r="BN177">
        <v>0</v>
      </c>
      <c r="BO177">
        <v>0</v>
      </c>
    </row>
    <row r="178" spans="1:67" ht="15.75" customHeight="1" x14ac:dyDescent="0.2">
      <c r="A178" s="3">
        <f t="shared" si="2"/>
        <v>2176</v>
      </c>
      <c r="B178" s="3" t="s">
        <v>1274</v>
      </c>
      <c r="C178" s="3" t="s">
        <v>1243</v>
      </c>
      <c r="D178" s="27" t="s">
        <v>1354</v>
      </c>
      <c r="E178" s="5" t="s">
        <v>1244</v>
      </c>
      <c r="F178" s="3">
        <v>0</v>
      </c>
      <c r="G178" s="3">
        <v>300</v>
      </c>
      <c r="H178" s="3">
        <v>0</v>
      </c>
      <c r="I178" s="3">
        <v>20</v>
      </c>
      <c r="J178" s="3">
        <v>0</v>
      </c>
      <c r="K178" s="3">
        <v>1</v>
      </c>
      <c r="L178" s="3">
        <v>0</v>
      </c>
      <c r="M178" s="3">
        <v>0</v>
      </c>
      <c r="N178" s="3">
        <v>0</v>
      </c>
      <c r="O178" s="3">
        <v>0</v>
      </c>
      <c r="P178" s="3">
        <v>0</v>
      </c>
      <c r="Q178" s="3">
        <v>0</v>
      </c>
      <c r="R178" s="3">
        <v>0</v>
      </c>
      <c r="S178" s="3">
        <v>0</v>
      </c>
      <c r="T178" s="3">
        <v>0</v>
      </c>
      <c r="U178" s="3">
        <v>0</v>
      </c>
      <c r="V178" s="3">
        <v>0</v>
      </c>
      <c r="W178" s="3">
        <v>0</v>
      </c>
      <c r="X178" s="3">
        <v>0</v>
      </c>
      <c r="Y178" s="3">
        <v>85</v>
      </c>
      <c r="Z178" s="3">
        <v>0</v>
      </c>
      <c r="AA178" s="3">
        <v>0</v>
      </c>
      <c r="AB178" s="3">
        <v>0</v>
      </c>
      <c r="AC178" s="3">
        <v>0</v>
      </c>
      <c r="AD178" s="3">
        <v>0</v>
      </c>
      <c r="AE178" s="3">
        <v>0</v>
      </c>
      <c r="AF178" s="3">
        <v>0</v>
      </c>
      <c r="AG178" s="3">
        <v>0</v>
      </c>
      <c r="AH178" s="3">
        <v>0</v>
      </c>
      <c r="AI178" s="3">
        <v>0</v>
      </c>
      <c r="AJ178" s="3">
        <v>0</v>
      </c>
      <c r="AK178" s="3">
        <v>30</v>
      </c>
      <c r="AL178" s="3" t="s">
        <v>31</v>
      </c>
      <c r="AM178" s="3" t="s">
        <v>585</v>
      </c>
      <c r="AN178" s="3" t="s">
        <v>2017</v>
      </c>
      <c r="AO178" s="3" t="s">
        <v>1853</v>
      </c>
      <c r="AP178" s="3">
        <v>30</v>
      </c>
      <c r="AQ178" s="3">
        <v>1.4</v>
      </c>
      <c r="AR178">
        <v>600</v>
      </c>
      <c r="AS178">
        <v>10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832</v>
      </c>
      <c r="BK178">
        <v>2</v>
      </c>
      <c r="BL178">
        <v>40</v>
      </c>
      <c r="BM178">
        <v>0</v>
      </c>
      <c r="BN178">
        <v>0</v>
      </c>
      <c r="BO178">
        <v>0</v>
      </c>
    </row>
    <row r="179" spans="1:67" ht="15.75" customHeight="1" x14ac:dyDescent="0.2">
      <c r="A179" s="3">
        <f t="shared" si="2"/>
        <v>2177</v>
      </c>
      <c r="B179" s="3" t="s">
        <v>1411</v>
      </c>
      <c r="C179" s="3" t="s">
        <v>1404</v>
      </c>
      <c r="D179" s="27" t="s">
        <v>1402</v>
      </c>
      <c r="E179" s="5" t="s">
        <v>1403</v>
      </c>
      <c r="F179" s="3">
        <v>0</v>
      </c>
      <c r="G179" s="3">
        <v>300</v>
      </c>
      <c r="H179" s="3">
        <v>0</v>
      </c>
      <c r="I179" s="3">
        <v>20</v>
      </c>
      <c r="J179" s="3">
        <v>0</v>
      </c>
      <c r="K179" s="3">
        <v>1</v>
      </c>
      <c r="L179" s="3">
        <v>0</v>
      </c>
      <c r="M179" s="3">
        <v>0</v>
      </c>
      <c r="N179" s="3">
        <v>0</v>
      </c>
      <c r="O179" s="3">
        <v>0</v>
      </c>
      <c r="P179" s="3">
        <v>0</v>
      </c>
      <c r="Q179" s="3">
        <v>0</v>
      </c>
      <c r="R179" s="3">
        <v>0</v>
      </c>
      <c r="S179" s="3">
        <v>0</v>
      </c>
      <c r="T179" s="3">
        <v>0</v>
      </c>
      <c r="U179" s="3">
        <v>0</v>
      </c>
      <c r="V179" s="3">
        <v>0</v>
      </c>
      <c r="W179" s="3">
        <v>0</v>
      </c>
      <c r="X179" s="3">
        <v>0</v>
      </c>
      <c r="Y179" s="3">
        <v>85</v>
      </c>
      <c r="Z179" s="3">
        <v>0</v>
      </c>
      <c r="AA179" s="3">
        <v>0</v>
      </c>
      <c r="AB179" s="3">
        <v>0</v>
      </c>
      <c r="AC179" s="3">
        <v>0</v>
      </c>
      <c r="AD179" s="3">
        <v>0</v>
      </c>
      <c r="AE179" s="3">
        <v>0</v>
      </c>
      <c r="AF179" s="3">
        <v>0</v>
      </c>
      <c r="AG179" s="3">
        <v>0</v>
      </c>
      <c r="AH179" s="3">
        <v>0</v>
      </c>
      <c r="AI179" s="3">
        <v>0</v>
      </c>
      <c r="AJ179" s="3">
        <v>0</v>
      </c>
      <c r="AK179" s="3">
        <v>30</v>
      </c>
      <c r="AL179" s="3" t="s">
        <v>31</v>
      </c>
      <c r="AM179" s="3" t="s">
        <v>585</v>
      </c>
      <c r="AN179" s="3" t="s">
        <v>2017</v>
      </c>
      <c r="AO179" s="3" t="s">
        <v>1853</v>
      </c>
      <c r="AP179" s="3">
        <v>30</v>
      </c>
      <c r="AQ179" s="3">
        <v>1.8</v>
      </c>
      <c r="AR179">
        <v>800</v>
      </c>
      <c r="AS179">
        <v>10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838</v>
      </c>
      <c r="BK179">
        <v>3</v>
      </c>
      <c r="BL179">
        <v>40</v>
      </c>
      <c r="BM179">
        <v>0</v>
      </c>
      <c r="BN179">
        <v>0</v>
      </c>
      <c r="BO179">
        <v>0</v>
      </c>
    </row>
    <row r="180" spans="1:67" s="18" customFormat="1" ht="15.75" customHeight="1" x14ac:dyDescent="0.2">
      <c r="A180" s="16">
        <f t="shared" si="2"/>
        <v>2178</v>
      </c>
      <c r="B180" s="16" t="s">
        <v>567</v>
      </c>
      <c r="C180" s="16" t="s">
        <v>422</v>
      </c>
      <c r="D180" s="29" t="s">
        <v>421</v>
      </c>
      <c r="E180" s="17" t="s">
        <v>2075</v>
      </c>
      <c r="F180" s="16">
        <v>0</v>
      </c>
      <c r="G180" s="16">
        <v>300</v>
      </c>
      <c r="H180" s="16">
        <v>0</v>
      </c>
      <c r="I180" s="16">
        <v>20</v>
      </c>
      <c r="J180" s="16">
        <v>0</v>
      </c>
      <c r="K180" s="16">
        <v>1</v>
      </c>
      <c r="L180" s="16">
        <v>0</v>
      </c>
      <c r="M180" s="16">
        <v>0</v>
      </c>
      <c r="N180" s="16">
        <v>0</v>
      </c>
      <c r="O180" s="16">
        <v>0</v>
      </c>
      <c r="P180" s="16">
        <v>0</v>
      </c>
      <c r="Q180" s="16">
        <v>0</v>
      </c>
      <c r="R180" s="16">
        <v>0</v>
      </c>
      <c r="S180" s="16">
        <v>0</v>
      </c>
      <c r="T180" s="16">
        <v>0</v>
      </c>
      <c r="U180" s="16">
        <v>0</v>
      </c>
      <c r="V180" s="16">
        <v>0</v>
      </c>
      <c r="W180" s="16">
        <v>0</v>
      </c>
      <c r="X180" s="16">
        <v>0</v>
      </c>
      <c r="Y180" s="16">
        <v>50</v>
      </c>
      <c r="Z180" s="16">
        <v>0</v>
      </c>
      <c r="AA180" s="16">
        <v>0</v>
      </c>
      <c r="AB180" s="16">
        <v>0</v>
      </c>
      <c r="AC180" s="16">
        <v>0</v>
      </c>
      <c r="AD180" s="16">
        <v>0</v>
      </c>
      <c r="AE180" s="16">
        <v>0</v>
      </c>
      <c r="AF180" s="16">
        <v>0</v>
      </c>
      <c r="AG180" s="16">
        <v>0</v>
      </c>
      <c r="AH180" s="16">
        <v>0</v>
      </c>
      <c r="AI180" s="16">
        <v>0</v>
      </c>
      <c r="AJ180" s="16">
        <v>0</v>
      </c>
      <c r="AK180" s="16">
        <v>30</v>
      </c>
      <c r="AL180" s="16" t="s">
        <v>31</v>
      </c>
      <c r="AM180" s="16" t="s">
        <v>585</v>
      </c>
      <c r="AN180" s="16" t="s">
        <v>2017</v>
      </c>
      <c r="AO180" s="16" t="s">
        <v>1853</v>
      </c>
      <c r="AP180" s="16">
        <v>30</v>
      </c>
      <c r="AQ180" s="16">
        <v>1.5</v>
      </c>
      <c r="AR180" s="18">
        <v>1200</v>
      </c>
      <c r="AS180" s="18">
        <v>10</v>
      </c>
      <c r="AT180" s="19" t="s">
        <v>50</v>
      </c>
      <c r="AU180" s="19" t="s">
        <v>50</v>
      </c>
      <c r="AV180" s="19" t="s">
        <v>50</v>
      </c>
      <c r="AW180" s="19" t="s">
        <v>50</v>
      </c>
      <c r="AX180" s="19" t="s">
        <v>50</v>
      </c>
      <c r="AY180" s="19" t="s">
        <v>50</v>
      </c>
      <c r="AZ180" s="19" t="s">
        <v>50</v>
      </c>
      <c r="BA180" s="19" t="s">
        <v>50</v>
      </c>
      <c r="BB180" s="19" t="s">
        <v>50</v>
      </c>
      <c r="BC180" s="19" t="s">
        <v>50</v>
      </c>
      <c r="BD180" s="19" t="s">
        <v>50</v>
      </c>
      <c r="BE180" s="19" t="s">
        <v>50</v>
      </c>
      <c r="BF180" s="19" t="s">
        <v>50</v>
      </c>
      <c r="BG180" s="19" t="s">
        <v>50</v>
      </c>
      <c r="BH180" s="19" t="s">
        <v>50</v>
      </c>
      <c r="BI180" s="18">
        <v>1</v>
      </c>
      <c r="BJ180" s="18">
        <v>0</v>
      </c>
      <c r="BK180" s="18">
        <v>1</v>
      </c>
      <c r="BL180" s="18">
        <v>30</v>
      </c>
      <c r="BM180" s="18">
        <v>0</v>
      </c>
      <c r="BN180" s="18">
        <v>0</v>
      </c>
      <c r="BO180" s="18">
        <v>0</v>
      </c>
    </row>
    <row r="181" spans="1:67" s="23" customFormat="1" ht="15.75" customHeight="1" x14ac:dyDescent="0.2">
      <c r="A181" s="21">
        <f t="shared" si="2"/>
        <v>2179</v>
      </c>
      <c r="B181" s="21" t="s">
        <v>305</v>
      </c>
      <c r="C181" s="21" t="s">
        <v>2960</v>
      </c>
      <c r="D181" s="22" t="s">
        <v>2961</v>
      </c>
      <c r="E181" s="22" t="s">
        <v>2292</v>
      </c>
      <c r="F181" s="21">
        <v>0</v>
      </c>
      <c r="G181" s="21">
        <v>300</v>
      </c>
      <c r="H181" s="21">
        <v>0</v>
      </c>
      <c r="I181" s="21">
        <v>20</v>
      </c>
      <c r="J181" s="21">
        <v>150</v>
      </c>
      <c r="K181" s="21">
        <v>1</v>
      </c>
      <c r="L181" s="21">
        <v>0</v>
      </c>
      <c r="M181" s="21">
        <v>0</v>
      </c>
      <c r="N181" s="21">
        <v>0</v>
      </c>
      <c r="O181" s="21">
        <v>0</v>
      </c>
      <c r="P181" s="21">
        <v>0</v>
      </c>
      <c r="Q181" s="21">
        <v>0</v>
      </c>
      <c r="R181" s="21">
        <v>0</v>
      </c>
      <c r="S181" s="21">
        <v>0</v>
      </c>
      <c r="T181" s="21">
        <v>0</v>
      </c>
      <c r="U181" s="21">
        <v>0</v>
      </c>
      <c r="V181" s="21">
        <v>0</v>
      </c>
      <c r="W181" s="21">
        <v>0</v>
      </c>
      <c r="X181" s="21">
        <v>0</v>
      </c>
      <c r="Y181" s="21">
        <v>0</v>
      </c>
      <c r="Z181" s="21">
        <v>0</v>
      </c>
      <c r="AA181" s="21">
        <v>0</v>
      </c>
      <c r="AB181" s="21">
        <v>0</v>
      </c>
      <c r="AC181" s="21">
        <v>0</v>
      </c>
      <c r="AD181" s="21">
        <v>0</v>
      </c>
      <c r="AE181" s="21">
        <v>0</v>
      </c>
      <c r="AF181" s="21">
        <v>0</v>
      </c>
      <c r="AG181" s="21">
        <v>0</v>
      </c>
      <c r="AH181" s="21">
        <v>0</v>
      </c>
      <c r="AI181" s="21">
        <v>0</v>
      </c>
      <c r="AJ181" s="21">
        <v>0</v>
      </c>
      <c r="AK181" s="21">
        <v>0</v>
      </c>
      <c r="AL181" s="21" t="s">
        <v>31</v>
      </c>
      <c r="AM181" s="21" t="s">
        <v>1855</v>
      </c>
      <c r="AN181" s="21" t="s">
        <v>2019</v>
      </c>
      <c r="AO181" s="21" t="s">
        <v>50</v>
      </c>
      <c r="AP181" s="21">
        <v>30</v>
      </c>
      <c r="AQ181" s="21">
        <v>20</v>
      </c>
      <c r="AR181" s="23">
        <v>1500</v>
      </c>
      <c r="AS181" s="23">
        <v>1200</v>
      </c>
      <c r="AT181" s="24" t="s">
        <v>50</v>
      </c>
      <c r="AU181" s="24" t="s">
        <v>50</v>
      </c>
      <c r="AV181" s="24" t="s">
        <v>50</v>
      </c>
      <c r="AW181" s="24" t="s">
        <v>50</v>
      </c>
      <c r="AX181" s="24" t="s">
        <v>50</v>
      </c>
      <c r="AY181" s="24" t="s">
        <v>50</v>
      </c>
      <c r="AZ181" s="24" t="s">
        <v>50</v>
      </c>
      <c r="BA181" s="24" t="s">
        <v>50</v>
      </c>
      <c r="BB181" s="24" t="s">
        <v>50</v>
      </c>
      <c r="BC181" s="24" t="s">
        <v>50</v>
      </c>
      <c r="BD181" s="24" t="s">
        <v>50</v>
      </c>
      <c r="BE181" s="24" t="s">
        <v>50</v>
      </c>
      <c r="BF181" s="24" t="s">
        <v>50</v>
      </c>
      <c r="BG181" s="24" t="s">
        <v>50</v>
      </c>
      <c r="BH181" s="24" t="s">
        <v>50</v>
      </c>
      <c r="BI181" s="23">
        <v>0</v>
      </c>
      <c r="BJ181" s="23">
        <v>0</v>
      </c>
      <c r="BK181" s="23">
        <v>1</v>
      </c>
      <c r="BL181" s="23">
        <v>30</v>
      </c>
      <c r="BM181">
        <v>0</v>
      </c>
      <c r="BN181">
        <v>0</v>
      </c>
      <c r="BO181" s="23">
        <v>0</v>
      </c>
    </row>
    <row r="182" spans="1:67" ht="15.75" customHeight="1" x14ac:dyDescent="0.2">
      <c r="A182" s="3">
        <f t="shared" si="2"/>
        <v>2180</v>
      </c>
      <c r="B182" s="3" t="s">
        <v>565</v>
      </c>
      <c r="C182" s="3" t="s">
        <v>564</v>
      </c>
      <c r="D182" s="27" t="s">
        <v>1065</v>
      </c>
      <c r="E182" s="5" t="s">
        <v>1496</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0</v>
      </c>
      <c r="AF182" s="3">
        <v>0</v>
      </c>
      <c r="AG182" s="3">
        <v>0</v>
      </c>
      <c r="AH182" s="3">
        <v>0</v>
      </c>
      <c r="AI182" s="3">
        <v>0</v>
      </c>
      <c r="AJ182" s="3">
        <v>0</v>
      </c>
      <c r="AK182" s="3">
        <v>0</v>
      </c>
      <c r="AL182" s="3" t="s">
        <v>31</v>
      </c>
      <c r="AM182" s="3" t="s">
        <v>1427</v>
      </c>
      <c r="AN182" s="3" t="s">
        <v>2018</v>
      </c>
      <c r="AO182" s="3" t="s">
        <v>1853</v>
      </c>
      <c r="AP182" s="3">
        <v>30</v>
      </c>
      <c r="AQ182" s="3">
        <v>1.5</v>
      </c>
      <c r="AR182">
        <v>800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row>
    <row r="183" spans="1:67" ht="15.75" customHeight="1" x14ac:dyDescent="0.2">
      <c r="A183" s="3">
        <f t="shared" si="2"/>
        <v>2181</v>
      </c>
      <c r="B183" s="3" t="s">
        <v>1096</v>
      </c>
      <c r="C183" s="3" t="s">
        <v>1096</v>
      </c>
      <c r="D183" s="27" t="s">
        <v>1095</v>
      </c>
      <c r="E183" s="5" t="s">
        <v>1097</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120</v>
      </c>
      <c r="Z183" s="3">
        <v>0</v>
      </c>
      <c r="AA183" s="3">
        <v>0</v>
      </c>
      <c r="AB183" s="3">
        <v>0</v>
      </c>
      <c r="AC183" s="3">
        <v>0</v>
      </c>
      <c r="AD183" s="3">
        <v>0</v>
      </c>
      <c r="AE183" s="3">
        <v>0</v>
      </c>
      <c r="AF183" s="3">
        <v>0</v>
      </c>
      <c r="AG183" s="3">
        <v>0</v>
      </c>
      <c r="AH183" s="3">
        <v>0</v>
      </c>
      <c r="AI183" s="3">
        <v>0</v>
      </c>
      <c r="AJ183" s="3">
        <v>0</v>
      </c>
      <c r="AK183" s="3">
        <v>0</v>
      </c>
      <c r="AL183" s="3" t="s">
        <v>31</v>
      </c>
      <c r="AM183" s="3" t="s">
        <v>1427</v>
      </c>
      <c r="AN183" s="3" t="s">
        <v>2018</v>
      </c>
      <c r="AO183" s="3" t="s">
        <v>1853</v>
      </c>
      <c r="AP183" s="3">
        <v>30</v>
      </c>
      <c r="AQ183" s="3">
        <v>1.5</v>
      </c>
      <c r="AR183">
        <v>1200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row>
    <row r="184" spans="1:67" ht="15.75" customHeight="1" x14ac:dyDescent="0.2">
      <c r="A184" s="3">
        <f t="shared" si="2"/>
        <v>2182</v>
      </c>
      <c r="B184" s="3" t="s">
        <v>2983</v>
      </c>
      <c r="C184" s="3" t="s">
        <v>2962</v>
      </c>
      <c r="D184" s="27" t="s">
        <v>2965</v>
      </c>
      <c r="E184" s="5" t="s">
        <v>2966</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80</v>
      </c>
      <c r="Z184" s="3">
        <v>0</v>
      </c>
      <c r="AA184" s="3">
        <v>0</v>
      </c>
      <c r="AB184" s="3">
        <v>0</v>
      </c>
      <c r="AC184" s="3">
        <v>0</v>
      </c>
      <c r="AD184" s="3">
        <v>0</v>
      </c>
      <c r="AE184" s="3">
        <v>0</v>
      </c>
      <c r="AF184" s="3">
        <v>0</v>
      </c>
      <c r="AG184" s="3">
        <v>0</v>
      </c>
      <c r="AH184" s="3">
        <v>0</v>
      </c>
      <c r="AI184" s="3">
        <v>0</v>
      </c>
      <c r="AJ184" s="3">
        <v>0</v>
      </c>
      <c r="AK184" s="3">
        <v>0</v>
      </c>
      <c r="AL184" s="3" t="s">
        <v>31</v>
      </c>
      <c r="AM184" s="3" t="s">
        <v>1427</v>
      </c>
      <c r="AN184" s="3" t="s">
        <v>3129</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row>
    <row r="185" spans="1:67" s="23" customFormat="1" ht="15.75" customHeight="1" x14ac:dyDescent="0.2">
      <c r="A185" s="21">
        <f t="shared" si="2"/>
        <v>2183</v>
      </c>
      <c r="B185" s="21" t="s">
        <v>305</v>
      </c>
      <c r="C185" s="21" t="s">
        <v>2294</v>
      </c>
      <c r="D185" s="22" t="s">
        <v>2295</v>
      </c>
      <c r="E185" s="22" t="s">
        <v>2292</v>
      </c>
      <c r="F185" s="21">
        <v>0</v>
      </c>
      <c r="G185" s="21">
        <v>300</v>
      </c>
      <c r="H185" s="21">
        <v>0</v>
      </c>
      <c r="I185" s="21">
        <v>20</v>
      </c>
      <c r="J185" s="21">
        <v>150</v>
      </c>
      <c r="K185" s="21">
        <v>1</v>
      </c>
      <c r="L185" s="21">
        <v>0</v>
      </c>
      <c r="M185" s="21">
        <v>0</v>
      </c>
      <c r="N185" s="21">
        <v>0</v>
      </c>
      <c r="O185" s="21">
        <v>0</v>
      </c>
      <c r="P185" s="21">
        <v>0</v>
      </c>
      <c r="Q185" s="21">
        <v>0</v>
      </c>
      <c r="R185" s="21">
        <v>0</v>
      </c>
      <c r="S185" s="21">
        <v>0</v>
      </c>
      <c r="T185" s="21">
        <v>0</v>
      </c>
      <c r="U185" s="21">
        <v>0</v>
      </c>
      <c r="V185" s="21">
        <v>0</v>
      </c>
      <c r="W185" s="21">
        <v>0</v>
      </c>
      <c r="X185" s="21">
        <v>0</v>
      </c>
      <c r="Y185" s="21">
        <v>0</v>
      </c>
      <c r="Z185" s="21">
        <v>0</v>
      </c>
      <c r="AA185" s="21">
        <v>0</v>
      </c>
      <c r="AB185" s="21">
        <v>0</v>
      </c>
      <c r="AC185" s="21">
        <v>0</v>
      </c>
      <c r="AD185" s="21">
        <v>0</v>
      </c>
      <c r="AE185" s="21">
        <v>0</v>
      </c>
      <c r="AF185" s="21">
        <v>0</v>
      </c>
      <c r="AG185" s="21">
        <v>0</v>
      </c>
      <c r="AH185" s="21">
        <v>0</v>
      </c>
      <c r="AI185" s="21">
        <v>0</v>
      </c>
      <c r="AJ185" s="21">
        <v>0</v>
      </c>
      <c r="AK185" s="21">
        <v>0</v>
      </c>
      <c r="AL185" s="21" t="s">
        <v>31</v>
      </c>
      <c r="AM185" s="21" t="s">
        <v>1855</v>
      </c>
      <c r="AN185" s="21" t="s">
        <v>2019</v>
      </c>
      <c r="AO185" s="21" t="s">
        <v>50</v>
      </c>
      <c r="AP185" s="21">
        <v>30</v>
      </c>
      <c r="AQ185" s="21">
        <v>20</v>
      </c>
      <c r="AR185" s="23">
        <v>1500</v>
      </c>
      <c r="AS185" s="23">
        <v>1200</v>
      </c>
      <c r="AT185" s="24" t="s">
        <v>50</v>
      </c>
      <c r="AU185" s="24" t="s">
        <v>50</v>
      </c>
      <c r="AV185" s="24" t="s">
        <v>50</v>
      </c>
      <c r="AW185" s="24" t="s">
        <v>50</v>
      </c>
      <c r="AX185" s="24" t="s">
        <v>50</v>
      </c>
      <c r="AY185" s="24" t="s">
        <v>50</v>
      </c>
      <c r="AZ185" s="24" t="s">
        <v>50</v>
      </c>
      <c r="BA185" s="24" t="s">
        <v>50</v>
      </c>
      <c r="BB185" s="24" t="s">
        <v>50</v>
      </c>
      <c r="BC185" s="24" t="s">
        <v>50</v>
      </c>
      <c r="BD185" s="24" t="s">
        <v>50</v>
      </c>
      <c r="BE185" s="24" t="s">
        <v>50</v>
      </c>
      <c r="BF185" s="24" t="s">
        <v>50</v>
      </c>
      <c r="BG185" s="24" t="s">
        <v>50</v>
      </c>
      <c r="BH185" s="24" t="s">
        <v>50</v>
      </c>
      <c r="BI185" s="23">
        <v>0</v>
      </c>
      <c r="BJ185" s="23">
        <v>0</v>
      </c>
      <c r="BK185" s="23">
        <v>1</v>
      </c>
      <c r="BL185" s="23">
        <v>30</v>
      </c>
      <c r="BM185">
        <v>0</v>
      </c>
      <c r="BN185">
        <v>0</v>
      </c>
      <c r="BO185" s="23">
        <v>0</v>
      </c>
    </row>
    <row r="186" spans="1:67" ht="15.75" customHeight="1" x14ac:dyDescent="0.2">
      <c r="A186" s="3">
        <f t="shared" si="2"/>
        <v>2184</v>
      </c>
      <c r="B186" s="3" t="s">
        <v>305</v>
      </c>
      <c r="C186" s="3" t="s">
        <v>305</v>
      </c>
      <c r="D186" s="27" t="s">
        <v>306</v>
      </c>
      <c r="E186" s="5" t="s">
        <v>1484</v>
      </c>
      <c r="F186" s="3">
        <v>0</v>
      </c>
      <c r="G186" s="3">
        <v>300</v>
      </c>
      <c r="H186" s="3">
        <v>0</v>
      </c>
      <c r="I186" s="3">
        <v>20</v>
      </c>
      <c r="J186" s="3">
        <v>0</v>
      </c>
      <c r="K186" s="3">
        <v>1</v>
      </c>
      <c r="L186" s="3">
        <v>0</v>
      </c>
      <c r="M186" s="3">
        <v>0</v>
      </c>
      <c r="N186" s="3">
        <v>0</v>
      </c>
      <c r="O186" s="3">
        <v>0</v>
      </c>
      <c r="P186" s="3">
        <v>0</v>
      </c>
      <c r="Q186" s="3">
        <v>0</v>
      </c>
      <c r="R186" s="3">
        <v>0</v>
      </c>
      <c r="S186" s="3">
        <v>0</v>
      </c>
      <c r="T186" s="3">
        <v>0</v>
      </c>
      <c r="U186" s="3">
        <v>0</v>
      </c>
      <c r="V186" s="3">
        <v>0</v>
      </c>
      <c r="W186" s="3">
        <v>0</v>
      </c>
      <c r="X186" s="3">
        <v>0</v>
      </c>
      <c r="Y186" s="3">
        <v>20</v>
      </c>
      <c r="Z186" s="3">
        <v>0</v>
      </c>
      <c r="AA186" s="3">
        <v>0</v>
      </c>
      <c r="AB186" s="3">
        <v>0</v>
      </c>
      <c r="AC186" s="3">
        <v>0</v>
      </c>
      <c r="AD186" s="3">
        <v>0</v>
      </c>
      <c r="AE186" s="3">
        <v>0</v>
      </c>
      <c r="AF186" s="3">
        <v>0</v>
      </c>
      <c r="AG186" s="3">
        <v>0</v>
      </c>
      <c r="AH186" s="3">
        <v>0</v>
      </c>
      <c r="AI186" s="3">
        <v>0</v>
      </c>
      <c r="AJ186" s="3">
        <v>0</v>
      </c>
      <c r="AK186" s="3">
        <v>75</v>
      </c>
      <c r="AL186" s="3" t="s">
        <v>31</v>
      </c>
      <c r="AM186" s="3" t="s">
        <v>3142</v>
      </c>
      <c r="AN186" s="3" t="s">
        <v>2019</v>
      </c>
      <c r="AO186" s="3" t="s">
        <v>1854</v>
      </c>
      <c r="AP186" s="3">
        <v>30</v>
      </c>
      <c r="AQ186" s="3">
        <v>1</v>
      </c>
      <c r="AR186">
        <v>100</v>
      </c>
      <c r="AS186">
        <v>10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750</v>
      </c>
      <c r="BK186">
        <v>1</v>
      </c>
      <c r="BL186">
        <v>30</v>
      </c>
      <c r="BM186">
        <v>0</v>
      </c>
      <c r="BN186">
        <v>0</v>
      </c>
      <c r="BO186">
        <v>0</v>
      </c>
    </row>
    <row r="187" spans="1:67" ht="15.75" customHeight="1" x14ac:dyDescent="0.2">
      <c r="A187" s="3">
        <f t="shared" si="2"/>
        <v>2185</v>
      </c>
      <c r="B187" s="3" t="s">
        <v>1898</v>
      </c>
      <c r="C187" s="3" t="s">
        <v>1898</v>
      </c>
      <c r="D187" s="27" t="s">
        <v>1897</v>
      </c>
      <c r="E187" s="5" t="s">
        <v>1902</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3142</v>
      </c>
      <c r="AN187" s="3" t="s">
        <v>2019</v>
      </c>
      <c r="AO187" s="3" t="s">
        <v>51</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0</v>
      </c>
      <c r="BO187">
        <v>0</v>
      </c>
    </row>
    <row r="188" spans="1:67" ht="15.75" customHeight="1" x14ac:dyDescent="0.2">
      <c r="A188" s="3">
        <f t="shared" si="2"/>
        <v>2186</v>
      </c>
      <c r="B188" s="3" t="s">
        <v>1179</v>
      </c>
      <c r="C188" s="3" t="s">
        <v>1179</v>
      </c>
      <c r="D188" s="27" t="s">
        <v>1347</v>
      </c>
      <c r="E188" s="5" t="s">
        <v>1346</v>
      </c>
      <c r="F188" s="3">
        <v>0</v>
      </c>
      <c r="G188" s="3">
        <v>300</v>
      </c>
      <c r="H188" s="3">
        <v>0</v>
      </c>
      <c r="I188" s="3">
        <v>60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3143</v>
      </c>
      <c r="AN188" s="3" t="s">
        <v>2019</v>
      </c>
      <c r="AO188" s="3" t="s">
        <v>1854</v>
      </c>
      <c r="AP188" s="3">
        <v>30</v>
      </c>
      <c r="AQ188" s="3">
        <v>1</v>
      </c>
      <c r="AR188">
        <v>200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751</v>
      </c>
      <c r="BK188">
        <v>2</v>
      </c>
      <c r="BL188">
        <v>30</v>
      </c>
      <c r="BM188">
        <v>0</v>
      </c>
      <c r="BN188">
        <v>0</v>
      </c>
      <c r="BO188">
        <v>0</v>
      </c>
    </row>
    <row r="189" spans="1:67" ht="15.75" customHeight="1" x14ac:dyDescent="0.2">
      <c r="A189" s="3">
        <f t="shared" si="2"/>
        <v>2187</v>
      </c>
      <c r="B189" s="3" t="s">
        <v>512</v>
      </c>
      <c r="C189" s="3" t="s">
        <v>512</v>
      </c>
      <c r="D189" s="27" t="s">
        <v>511</v>
      </c>
      <c r="E189" s="5" t="s">
        <v>1180</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170</v>
      </c>
      <c r="Z189" s="3">
        <v>0</v>
      </c>
      <c r="AA189" s="3">
        <v>0</v>
      </c>
      <c r="AB189" s="3">
        <v>0</v>
      </c>
      <c r="AC189" s="3">
        <v>0</v>
      </c>
      <c r="AD189" s="3">
        <v>0</v>
      </c>
      <c r="AE189" s="3">
        <v>0</v>
      </c>
      <c r="AF189" s="3">
        <v>0</v>
      </c>
      <c r="AG189" s="3">
        <v>0</v>
      </c>
      <c r="AH189" s="3">
        <v>0</v>
      </c>
      <c r="AI189" s="3">
        <v>0</v>
      </c>
      <c r="AJ189" s="3">
        <v>0</v>
      </c>
      <c r="AK189" s="3">
        <v>0</v>
      </c>
      <c r="AL189" s="3" t="s">
        <v>31</v>
      </c>
      <c r="AM189" s="3" t="s">
        <v>35</v>
      </c>
      <c r="AN189" s="3" t="s">
        <v>2010</v>
      </c>
      <c r="AO189" s="3" t="s">
        <v>50</v>
      </c>
      <c r="AP189" s="3">
        <v>30</v>
      </c>
      <c r="AQ189" s="3">
        <v>3</v>
      </c>
      <c r="AR189">
        <v>3000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752</v>
      </c>
      <c r="BK189">
        <v>4</v>
      </c>
      <c r="BL189">
        <v>80</v>
      </c>
      <c r="BM189">
        <v>0</v>
      </c>
      <c r="BN189">
        <v>0</v>
      </c>
      <c r="BO189">
        <v>0</v>
      </c>
    </row>
    <row r="190" spans="1:67" ht="15.75" customHeight="1" x14ac:dyDescent="0.2">
      <c r="A190" s="3">
        <f t="shared" si="2"/>
        <v>2188</v>
      </c>
      <c r="B190" s="3" t="s">
        <v>2852</v>
      </c>
      <c r="C190" s="3" t="s">
        <v>2852</v>
      </c>
      <c r="D190" s="27" t="s">
        <v>2947</v>
      </c>
      <c r="E190" s="5" t="s">
        <v>2810</v>
      </c>
      <c r="F190" s="3">
        <v>0</v>
      </c>
      <c r="G190" s="3">
        <v>300</v>
      </c>
      <c r="H190" s="3">
        <v>0</v>
      </c>
      <c r="I190" s="3">
        <v>20</v>
      </c>
      <c r="J190" s="3">
        <v>0</v>
      </c>
      <c r="K190" s="3">
        <v>1</v>
      </c>
      <c r="L190" s="3">
        <v>0</v>
      </c>
      <c r="M190" s="3">
        <v>0</v>
      </c>
      <c r="N190" s="3">
        <v>0</v>
      </c>
      <c r="O190" s="3">
        <v>0</v>
      </c>
      <c r="P190" s="3">
        <v>0</v>
      </c>
      <c r="Q190" s="3">
        <v>0</v>
      </c>
      <c r="R190" s="3">
        <v>0</v>
      </c>
      <c r="S190" s="3">
        <v>0</v>
      </c>
      <c r="T190" s="3">
        <v>0</v>
      </c>
      <c r="U190" s="3">
        <v>0</v>
      </c>
      <c r="V190" s="3">
        <v>0</v>
      </c>
      <c r="W190" s="3">
        <v>0</v>
      </c>
      <c r="X190" s="3">
        <v>0</v>
      </c>
      <c r="Y190" s="3">
        <v>20</v>
      </c>
      <c r="Z190" s="3">
        <v>0</v>
      </c>
      <c r="AA190" s="3">
        <v>0</v>
      </c>
      <c r="AB190" s="3">
        <v>0</v>
      </c>
      <c r="AC190" s="3">
        <v>0</v>
      </c>
      <c r="AD190" s="3">
        <v>0</v>
      </c>
      <c r="AE190" s="3">
        <v>0</v>
      </c>
      <c r="AF190" s="3">
        <v>0</v>
      </c>
      <c r="AG190" s="3">
        <v>0</v>
      </c>
      <c r="AH190" s="3">
        <v>0</v>
      </c>
      <c r="AI190" s="3">
        <v>0</v>
      </c>
      <c r="AJ190" s="3">
        <v>0</v>
      </c>
      <c r="AK190" s="3">
        <v>75</v>
      </c>
      <c r="AL190" s="3" t="s">
        <v>31</v>
      </c>
      <c r="AM190" s="3" t="s">
        <v>3143</v>
      </c>
      <c r="AN190" s="3" t="s">
        <v>2019</v>
      </c>
      <c r="AO190" s="3" t="s">
        <v>51</v>
      </c>
      <c r="AP190" s="3">
        <v>30</v>
      </c>
      <c r="AQ190" s="3">
        <v>1</v>
      </c>
      <c r="AR190">
        <v>100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761</v>
      </c>
      <c r="BK190">
        <v>1</v>
      </c>
      <c r="BL190">
        <v>30</v>
      </c>
      <c r="BM190">
        <v>0</v>
      </c>
      <c r="BN190">
        <v>0</v>
      </c>
      <c r="BO190">
        <v>0</v>
      </c>
    </row>
    <row r="191" spans="1:67" ht="15.75" customHeight="1" x14ac:dyDescent="0.2">
      <c r="A191" s="3">
        <f t="shared" si="2"/>
        <v>2189</v>
      </c>
      <c r="B191" s="3" t="s">
        <v>2853</v>
      </c>
      <c r="C191" s="3" t="s">
        <v>2853</v>
      </c>
      <c r="D191" s="27" t="s">
        <v>2948</v>
      </c>
      <c r="E191" s="5" t="s">
        <v>2854</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3143</v>
      </c>
      <c r="AN191" s="3" t="s">
        <v>2019</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0</v>
      </c>
      <c r="BO191">
        <v>0</v>
      </c>
    </row>
    <row r="192" spans="1:67" s="43" customFormat="1" ht="15.75" customHeight="1" x14ac:dyDescent="0.2">
      <c r="A192" s="40">
        <f t="shared" si="2"/>
        <v>2190</v>
      </c>
      <c r="B192" s="40" t="s">
        <v>305</v>
      </c>
      <c r="C192" s="40" t="s">
        <v>2846</v>
      </c>
      <c r="D192" s="41" t="s">
        <v>2847</v>
      </c>
      <c r="E192" s="42" t="s">
        <v>2851</v>
      </c>
      <c r="F192" s="40">
        <v>0</v>
      </c>
      <c r="G192" s="40">
        <v>300</v>
      </c>
      <c r="H192" s="40">
        <v>0</v>
      </c>
      <c r="I192" s="40">
        <v>20</v>
      </c>
      <c r="J192" s="40">
        <v>0</v>
      </c>
      <c r="K192" s="40">
        <v>1</v>
      </c>
      <c r="L192" s="40">
        <v>0</v>
      </c>
      <c r="M192" s="40">
        <v>0</v>
      </c>
      <c r="N192" s="40">
        <v>0</v>
      </c>
      <c r="O192" s="40">
        <v>0</v>
      </c>
      <c r="P192" s="40">
        <v>0</v>
      </c>
      <c r="Q192" s="40">
        <v>0</v>
      </c>
      <c r="R192" s="40">
        <v>0</v>
      </c>
      <c r="S192" s="40">
        <v>0</v>
      </c>
      <c r="T192" s="40">
        <v>0</v>
      </c>
      <c r="U192" s="40">
        <v>0</v>
      </c>
      <c r="V192" s="40">
        <v>0</v>
      </c>
      <c r="W192" s="40">
        <v>0</v>
      </c>
      <c r="X192" s="40">
        <v>0</v>
      </c>
      <c r="Y192" s="40">
        <v>20</v>
      </c>
      <c r="Z192" s="40">
        <v>0</v>
      </c>
      <c r="AA192" s="40">
        <v>0</v>
      </c>
      <c r="AB192" s="40">
        <v>0</v>
      </c>
      <c r="AC192" s="40">
        <v>0</v>
      </c>
      <c r="AD192" s="40">
        <v>0</v>
      </c>
      <c r="AE192" s="40">
        <v>0</v>
      </c>
      <c r="AF192" s="40">
        <v>0</v>
      </c>
      <c r="AG192" s="40">
        <v>0</v>
      </c>
      <c r="AH192" s="40">
        <v>0</v>
      </c>
      <c r="AI192" s="40">
        <v>0</v>
      </c>
      <c r="AJ192" s="40">
        <v>0</v>
      </c>
      <c r="AK192" s="40">
        <v>75</v>
      </c>
      <c r="AL192" s="40" t="s">
        <v>31</v>
      </c>
      <c r="AM192" s="40" t="s">
        <v>1855</v>
      </c>
      <c r="AN192" s="40" t="s">
        <v>2019</v>
      </c>
      <c r="AO192" s="40" t="s">
        <v>51</v>
      </c>
      <c r="AP192" s="40">
        <v>30</v>
      </c>
      <c r="AQ192" s="40">
        <v>1</v>
      </c>
      <c r="AR192" s="43">
        <v>100</v>
      </c>
      <c r="AS192" s="43">
        <v>10</v>
      </c>
      <c r="AT192" s="44" t="s">
        <v>50</v>
      </c>
      <c r="AU192" s="44" t="s">
        <v>50</v>
      </c>
      <c r="AV192" s="44" t="s">
        <v>50</v>
      </c>
      <c r="AW192" s="44" t="s">
        <v>50</v>
      </c>
      <c r="AX192" s="44" t="s">
        <v>50</v>
      </c>
      <c r="AY192" s="44" t="s">
        <v>50</v>
      </c>
      <c r="AZ192" s="44" t="s">
        <v>50</v>
      </c>
      <c r="BA192" s="44" t="s">
        <v>50</v>
      </c>
      <c r="BB192" s="44" t="s">
        <v>50</v>
      </c>
      <c r="BC192" s="44" t="s">
        <v>50</v>
      </c>
      <c r="BD192" s="44" t="s">
        <v>50</v>
      </c>
      <c r="BE192" s="44" t="s">
        <v>50</v>
      </c>
      <c r="BF192" s="44" t="s">
        <v>50</v>
      </c>
      <c r="BG192" s="44" t="s">
        <v>50</v>
      </c>
      <c r="BH192" s="44" t="s">
        <v>50</v>
      </c>
      <c r="BI192" s="43">
        <v>1</v>
      </c>
      <c r="BJ192" s="43">
        <v>762</v>
      </c>
      <c r="BK192" s="43">
        <v>1</v>
      </c>
      <c r="BL192" s="43">
        <v>30</v>
      </c>
      <c r="BM192" s="43">
        <v>0</v>
      </c>
      <c r="BN192" s="43">
        <v>0</v>
      </c>
      <c r="BO192" s="43">
        <v>0</v>
      </c>
    </row>
    <row r="193" spans="1:67" ht="15.75" customHeight="1" x14ac:dyDescent="0.2">
      <c r="A193" s="3">
        <f t="shared" si="2"/>
        <v>2191</v>
      </c>
      <c r="B193" s="3" t="s">
        <v>2829</v>
      </c>
      <c r="C193" s="3" t="s">
        <v>2829</v>
      </c>
      <c r="D193" s="4" t="s">
        <v>2830</v>
      </c>
      <c r="E193" s="4" t="s">
        <v>2831</v>
      </c>
      <c r="F193" s="3">
        <v>0</v>
      </c>
      <c r="G193" s="3">
        <v>300</v>
      </c>
      <c r="H193" s="3">
        <v>0</v>
      </c>
      <c r="I193" s="3">
        <v>20</v>
      </c>
      <c r="J193" s="3">
        <v>0</v>
      </c>
      <c r="K193" s="3">
        <v>1</v>
      </c>
      <c r="L193" s="3">
        <v>0</v>
      </c>
      <c r="M193" s="3">
        <v>0</v>
      </c>
      <c r="N193" s="3">
        <v>0</v>
      </c>
      <c r="O193" s="3">
        <v>0</v>
      </c>
      <c r="P193" s="3">
        <v>0</v>
      </c>
      <c r="Q193" s="3">
        <v>0</v>
      </c>
      <c r="R193" s="3">
        <v>0</v>
      </c>
      <c r="S193" s="3">
        <v>0</v>
      </c>
      <c r="T193" s="3">
        <v>0</v>
      </c>
      <c r="U193" s="3">
        <v>0</v>
      </c>
      <c r="V193" s="3">
        <v>0</v>
      </c>
      <c r="W193" s="3">
        <v>0</v>
      </c>
      <c r="X193" s="3">
        <v>0</v>
      </c>
      <c r="Y193" s="3">
        <v>50</v>
      </c>
      <c r="Z193" s="3">
        <v>0</v>
      </c>
      <c r="AA193" s="3">
        <v>0</v>
      </c>
      <c r="AB193" s="3">
        <v>0</v>
      </c>
      <c r="AC193" s="3">
        <v>0</v>
      </c>
      <c r="AD193" s="3">
        <v>0</v>
      </c>
      <c r="AE193" s="3">
        <v>0</v>
      </c>
      <c r="AF193" s="3">
        <v>0</v>
      </c>
      <c r="AG193" s="3">
        <v>0</v>
      </c>
      <c r="AH193" s="3">
        <v>0</v>
      </c>
      <c r="AI193" s="3">
        <v>0</v>
      </c>
      <c r="AJ193" s="3">
        <v>0</v>
      </c>
      <c r="AK193" s="3">
        <v>30</v>
      </c>
      <c r="AL193" s="3" t="s">
        <v>31</v>
      </c>
      <c r="AM193" s="3" t="s">
        <v>1855</v>
      </c>
      <c r="AN193" s="3" t="s">
        <v>2019</v>
      </c>
      <c r="AO193" s="3" t="s">
        <v>51</v>
      </c>
      <c r="AP193" s="3">
        <v>30</v>
      </c>
      <c r="AQ193" s="3">
        <v>1</v>
      </c>
      <c r="AR193">
        <v>1200</v>
      </c>
      <c r="AS193" s="3">
        <v>10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762</v>
      </c>
      <c r="BK193">
        <v>1</v>
      </c>
      <c r="BL193">
        <v>30</v>
      </c>
      <c r="BM193">
        <v>0</v>
      </c>
      <c r="BN193">
        <v>0</v>
      </c>
      <c r="BO193">
        <v>0</v>
      </c>
    </row>
    <row r="194" spans="1:67" s="43" customFormat="1" ht="15.75" customHeight="1" x14ac:dyDescent="0.2">
      <c r="A194" s="40">
        <f t="shared" si="2"/>
        <v>2192</v>
      </c>
      <c r="B194" s="40" t="s">
        <v>305</v>
      </c>
      <c r="C194" s="40" t="s">
        <v>2856</v>
      </c>
      <c r="D194" s="41" t="s">
        <v>2855</v>
      </c>
      <c r="E194" s="42" t="s">
        <v>2857</v>
      </c>
      <c r="F194" s="40">
        <v>0</v>
      </c>
      <c r="G194" s="40">
        <v>300</v>
      </c>
      <c r="H194" s="40">
        <v>0</v>
      </c>
      <c r="I194" s="40">
        <v>20</v>
      </c>
      <c r="J194" s="40">
        <v>0</v>
      </c>
      <c r="K194" s="40">
        <v>1</v>
      </c>
      <c r="L194" s="40">
        <v>0</v>
      </c>
      <c r="M194" s="40">
        <v>0</v>
      </c>
      <c r="N194" s="40">
        <v>0</v>
      </c>
      <c r="O194" s="40">
        <v>0</v>
      </c>
      <c r="P194" s="40">
        <v>0</v>
      </c>
      <c r="Q194" s="40">
        <v>0</v>
      </c>
      <c r="R194" s="40">
        <v>0</v>
      </c>
      <c r="S194" s="40">
        <v>0</v>
      </c>
      <c r="T194" s="40">
        <v>0</v>
      </c>
      <c r="U194" s="40">
        <v>0</v>
      </c>
      <c r="V194" s="40">
        <v>0</v>
      </c>
      <c r="W194" s="40">
        <v>0</v>
      </c>
      <c r="X194" s="40">
        <v>0</v>
      </c>
      <c r="Y194" s="40">
        <v>20</v>
      </c>
      <c r="Z194" s="40">
        <v>0</v>
      </c>
      <c r="AA194" s="40">
        <v>0</v>
      </c>
      <c r="AB194" s="40">
        <v>0</v>
      </c>
      <c r="AC194" s="40">
        <v>0</v>
      </c>
      <c r="AD194" s="40">
        <v>0</v>
      </c>
      <c r="AE194" s="40">
        <v>0</v>
      </c>
      <c r="AF194" s="40">
        <v>0</v>
      </c>
      <c r="AG194" s="40">
        <v>0</v>
      </c>
      <c r="AH194" s="40">
        <v>0</v>
      </c>
      <c r="AI194" s="40">
        <v>0</v>
      </c>
      <c r="AJ194" s="40">
        <v>0</v>
      </c>
      <c r="AK194" s="40">
        <v>75</v>
      </c>
      <c r="AL194" s="40" t="s">
        <v>31</v>
      </c>
      <c r="AM194" s="40" t="s">
        <v>99</v>
      </c>
      <c r="AN194" s="40" t="s">
        <v>2010</v>
      </c>
      <c r="AO194" s="40" t="s">
        <v>50</v>
      </c>
      <c r="AP194" s="40">
        <v>30</v>
      </c>
      <c r="AQ194" s="40">
        <v>1</v>
      </c>
      <c r="AR194" s="43">
        <v>100</v>
      </c>
      <c r="AS194" s="43">
        <v>10</v>
      </c>
      <c r="AT194" s="44" t="s">
        <v>50</v>
      </c>
      <c r="AU194" s="44" t="s">
        <v>50</v>
      </c>
      <c r="AV194" s="44" t="s">
        <v>50</v>
      </c>
      <c r="AW194" s="44" t="s">
        <v>50</v>
      </c>
      <c r="AX194" s="44" t="s">
        <v>50</v>
      </c>
      <c r="AY194" s="44" t="s">
        <v>50</v>
      </c>
      <c r="AZ194" s="44" t="s">
        <v>50</v>
      </c>
      <c r="BA194" s="44" t="s">
        <v>50</v>
      </c>
      <c r="BB194" s="44" t="s">
        <v>50</v>
      </c>
      <c r="BC194" s="44" t="s">
        <v>50</v>
      </c>
      <c r="BD194" s="44" t="s">
        <v>50</v>
      </c>
      <c r="BE194" s="44" t="s">
        <v>50</v>
      </c>
      <c r="BF194" s="44" t="s">
        <v>50</v>
      </c>
      <c r="BG194" s="44" t="s">
        <v>50</v>
      </c>
      <c r="BH194" s="44" t="s">
        <v>50</v>
      </c>
      <c r="BI194" s="43">
        <v>1</v>
      </c>
      <c r="BJ194" s="43">
        <v>765</v>
      </c>
      <c r="BK194" s="43">
        <v>3</v>
      </c>
      <c r="BL194" s="43">
        <v>30</v>
      </c>
      <c r="BM194" s="43">
        <v>0</v>
      </c>
      <c r="BN194" s="43">
        <v>0</v>
      </c>
      <c r="BO194" s="43">
        <v>0</v>
      </c>
    </row>
    <row r="195" spans="1:67" s="43" customFormat="1" ht="15.75" customHeight="1" x14ac:dyDescent="0.2">
      <c r="A195" s="40">
        <f t="shared" ref="A195:A258" si="3">ROW()+1998</f>
        <v>2193</v>
      </c>
      <c r="B195" s="40" t="s">
        <v>305</v>
      </c>
      <c r="C195" s="40" t="s">
        <v>2862</v>
      </c>
      <c r="D195" s="41" t="s">
        <v>2864</v>
      </c>
      <c r="E195" s="42" t="s">
        <v>2863</v>
      </c>
      <c r="F195" s="40">
        <v>0</v>
      </c>
      <c r="G195" s="40">
        <v>300</v>
      </c>
      <c r="H195" s="40">
        <v>0</v>
      </c>
      <c r="I195" s="40">
        <v>20</v>
      </c>
      <c r="J195" s="40">
        <v>0</v>
      </c>
      <c r="K195" s="40">
        <v>1</v>
      </c>
      <c r="L195" s="40">
        <v>0</v>
      </c>
      <c r="M195" s="40">
        <v>0</v>
      </c>
      <c r="N195" s="40">
        <v>0</v>
      </c>
      <c r="O195" s="40">
        <v>0</v>
      </c>
      <c r="P195" s="40">
        <v>0</v>
      </c>
      <c r="Q195" s="40">
        <v>0</v>
      </c>
      <c r="R195" s="40">
        <v>0</v>
      </c>
      <c r="S195" s="40">
        <v>0</v>
      </c>
      <c r="T195" s="40">
        <v>0</v>
      </c>
      <c r="U195" s="40">
        <v>0</v>
      </c>
      <c r="V195" s="40">
        <v>0</v>
      </c>
      <c r="W195" s="40">
        <v>0</v>
      </c>
      <c r="X195" s="40">
        <v>0</v>
      </c>
      <c r="Y195" s="40">
        <v>20</v>
      </c>
      <c r="Z195" s="40">
        <v>0</v>
      </c>
      <c r="AA195" s="40">
        <v>0</v>
      </c>
      <c r="AB195" s="40">
        <v>0</v>
      </c>
      <c r="AC195" s="40">
        <v>0</v>
      </c>
      <c r="AD195" s="40">
        <v>0</v>
      </c>
      <c r="AE195" s="40">
        <v>0</v>
      </c>
      <c r="AF195" s="40">
        <v>0</v>
      </c>
      <c r="AG195" s="40">
        <v>0</v>
      </c>
      <c r="AH195" s="40">
        <v>0</v>
      </c>
      <c r="AI195" s="40">
        <v>0</v>
      </c>
      <c r="AJ195" s="40">
        <v>0</v>
      </c>
      <c r="AK195" s="40">
        <v>75</v>
      </c>
      <c r="AL195" s="40" t="s">
        <v>31</v>
      </c>
      <c r="AM195" s="40" t="s">
        <v>99</v>
      </c>
      <c r="AN195" s="40" t="s">
        <v>3130</v>
      </c>
      <c r="AO195" s="40" t="s">
        <v>50</v>
      </c>
      <c r="AP195" s="40">
        <v>30</v>
      </c>
      <c r="AQ195" s="40">
        <v>1</v>
      </c>
      <c r="AR195" s="43">
        <v>100</v>
      </c>
      <c r="AS195" s="43">
        <v>10</v>
      </c>
      <c r="AT195" s="44" t="s">
        <v>50</v>
      </c>
      <c r="AU195" s="44" t="s">
        <v>50</v>
      </c>
      <c r="AV195" s="44" t="s">
        <v>50</v>
      </c>
      <c r="AW195" s="44" t="s">
        <v>50</v>
      </c>
      <c r="AX195" s="44" t="s">
        <v>50</v>
      </c>
      <c r="AY195" s="44" t="s">
        <v>50</v>
      </c>
      <c r="AZ195" s="44" t="s">
        <v>50</v>
      </c>
      <c r="BA195" s="44" t="s">
        <v>50</v>
      </c>
      <c r="BB195" s="44" t="s">
        <v>50</v>
      </c>
      <c r="BC195" s="44" t="s">
        <v>50</v>
      </c>
      <c r="BD195" s="44" t="s">
        <v>50</v>
      </c>
      <c r="BE195" s="44" t="s">
        <v>50</v>
      </c>
      <c r="BF195" s="44" t="s">
        <v>50</v>
      </c>
      <c r="BG195" s="44" t="s">
        <v>50</v>
      </c>
      <c r="BH195" s="44" t="s">
        <v>50</v>
      </c>
      <c r="BI195" s="43">
        <v>1</v>
      </c>
      <c r="BJ195" s="43">
        <v>766</v>
      </c>
      <c r="BK195" s="43">
        <v>4</v>
      </c>
      <c r="BL195" s="43">
        <v>30</v>
      </c>
      <c r="BM195" s="43">
        <v>0</v>
      </c>
      <c r="BN195" s="43">
        <v>0</v>
      </c>
      <c r="BO195" s="43">
        <v>0</v>
      </c>
    </row>
    <row r="196" spans="1:67" ht="15.75" customHeight="1" x14ac:dyDescent="0.2">
      <c r="A196" s="3">
        <f t="shared" si="3"/>
        <v>2194</v>
      </c>
      <c r="B196" s="3" t="s">
        <v>3241</v>
      </c>
      <c r="C196" s="3" t="s">
        <v>3241</v>
      </c>
      <c r="D196" s="27" t="s">
        <v>3242</v>
      </c>
      <c r="E196" s="5" t="s">
        <v>3243</v>
      </c>
      <c r="F196" s="3">
        <v>0</v>
      </c>
      <c r="G196" s="3">
        <v>300</v>
      </c>
      <c r="H196" s="3">
        <v>0</v>
      </c>
      <c r="I196" s="3">
        <v>20</v>
      </c>
      <c r="J196" s="3">
        <v>0</v>
      </c>
      <c r="K196" s="3">
        <v>1</v>
      </c>
      <c r="L196" s="3">
        <v>0</v>
      </c>
      <c r="M196" s="3">
        <v>0</v>
      </c>
      <c r="N196" s="3">
        <v>0</v>
      </c>
      <c r="O196" s="3">
        <v>0</v>
      </c>
      <c r="P196" s="3">
        <v>0</v>
      </c>
      <c r="Q196" s="3">
        <v>0</v>
      </c>
      <c r="R196" s="3">
        <v>0</v>
      </c>
      <c r="S196" s="3">
        <v>0</v>
      </c>
      <c r="T196" s="3">
        <v>0</v>
      </c>
      <c r="U196" s="3">
        <v>0</v>
      </c>
      <c r="V196" s="3">
        <v>0</v>
      </c>
      <c r="W196" s="3">
        <v>0</v>
      </c>
      <c r="X196" s="3">
        <v>0</v>
      </c>
      <c r="Y196" s="3">
        <v>20</v>
      </c>
      <c r="Z196" s="3">
        <v>0</v>
      </c>
      <c r="AA196" s="3">
        <v>0</v>
      </c>
      <c r="AB196" s="3">
        <v>0</v>
      </c>
      <c r="AC196" s="3">
        <v>0</v>
      </c>
      <c r="AD196" s="3">
        <v>0</v>
      </c>
      <c r="AE196" s="3">
        <v>0</v>
      </c>
      <c r="AF196" s="3">
        <v>0</v>
      </c>
      <c r="AG196" s="3">
        <v>0</v>
      </c>
      <c r="AH196" s="3">
        <v>0</v>
      </c>
      <c r="AI196" s="3">
        <v>0</v>
      </c>
      <c r="AJ196" s="3">
        <v>0</v>
      </c>
      <c r="AK196" s="3">
        <v>75</v>
      </c>
      <c r="AL196" s="3" t="s">
        <v>31</v>
      </c>
      <c r="AM196" s="3" t="s">
        <v>3143</v>
      </c>
      <c r="AN196" s="3" t="s">
        <v>2019</v>
      </c>
      <c r="AO196" s="3" t="s">
        <v>51</v>
      </c>
      <c r="AP196" s="3">
        <v>30</v>
      </c>
      <c r="AQ196" s="3">
        <v>1</v>
      </c>
      <c r="AR196">
        <v>100</v>
      </c>
      <c r="AS196">
        <v>10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763</v>
      </c>
      <c r="BK196">
        <v>1</v>
      </c>
      <c r="BL196">
        <v>30</v>
      </c>
      <c r="BM196">
        <v>0</v>
      </c>
      <c r="BN196">
        <v>0</v>
      </c>
      <c r="BO196">
        <v>0</v>
      </c>
    </row>
    <row r="197" spans="1:67" ht="15.75" customHeight="1" x14ac:dyDescent="0.2">
      <c r="A197" s="3">
        <f t="shared" si="3"/>
        <v>2195</v>
      </c>
      <c r="B197" s="3" t="s">
        <v>3244</v>
      </c>
      <c r="C197" s="3" t="s">
        <v>3244</v>
      </c>
      <c r="D197" s="27" t="s">
        <v>3245</v>
      </c>
      <c r="E197" s="5" t="s">
        <v>3411</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1855</v>
      </c>
      <c r="AN197" s="3" t="s">
        <v>2019</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764</v>
      </c>
      <c r="BK197">
        <v>1</v>
      </c>
      <c r="BL197">
        <v>30</v>
      </c>
      <c r="BM197">
        <v>0</v>
      </c>
      <c r="BN197">
        <v>0</v>
      </c>
      <c r="BO197">
        <v>0</v>
      </c>
    </row>
    <row r="198" spans="1:67" ht="15.75" customHeight="1" x14ac:dyDescent="0.2">
      <c r="A198" s="3">
        <f t="shared" si="3"/>
        <v>2196</v>
      </c>
      <c r="B198" s="3" t="s">
        <v>3022</v>
      </c>
      <c r="C198" s="3" t="s">
        <v>3022</v>
      </c>
      <c r="D198" s="27" t="s">
        <v>3021</v>
      </c>
      <c r="E198" s="5" t="s">
        <v>3023</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35</v>
      </c>
      <c r="AN198" s="3" t="s">
        <v>2010</v>
      </c>
      <c r="AO198" s="3" t="s">
        <v>50</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767</v>
      </c>
      <c r="BK198">
        <v>3</v>
      </c>
      <c r="BL198">
        <v>30</v>
      </c>
      <c r="BM198">
        <v>0</v>
      </c>
      <c r="BN198">
        <v>0</v>
      </c>
      <c r="BO198">
        <v>0</v>
      </c>
    </row>
    <row r="199" spans="1:67" ht="15.75" customHeight="1" x14ac:dyDescent="0.2">
      <c r="A199" s="3">
        <f t="shared" si="3"/>
        <v>2197</v>
      </c>
      <c r="B199" s="3" t="s">
        <v>3025</v>
      </c>
      <c r="C199" s="3" t="s">
        <v>3025</v>
      </c>
      <c r="D199" s="27" t="s">
        <v>3024</v>
      </c>
      <c r="E199" s="5" t="s">
        <v>3160</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20</v>
      </c>
      <c r="Z199" s="3">
        <v>0</v>
      </c>
      <c r="AA199" s="3">
        <v>0</v>
      </c>
      <c r="AB199" s="3">
        <v>0</v>
      </c>
      <c r="AC199" s="3">
        <v>0</v>
      </c>
      <c r="AD199" s="3">
        <v>0</v>
      </c>
      <c r="AE199" s="3">
        <v>0</v>
      </c>
      <c r="AF199" s="3">
        <v>0</v>
      </c>
      <c r="AG199" s="3">
        <v>0</v>
      </c>
      <c r="AH199" s="3">
        <v>0</v>
      </c>
      <c r="AI199" s="3">
        <v>0</v>
      </c>
      <c r="AJ199" s="3">
        <v>0</v>
      </c>
      <c r="AK199" s="3">
        <v>75</v>
      </c>
      <c r="AL199" s="3" t="s">
        <v>31</v>
      </c>
      <c r="AM199" s="3" t="s">
        <v>35</v>
      </c>
      <c r="AN199" s="3" t="s">
        <v>2010</v>
      </c>
      <c r="AO199" s="3" t="s">
        <v>50</v>
      </c>
      <c r="AP199" s="3">
        <v>30</v>
      </c>
      <c r="AQ199" s="3">
        <v>1</v>
      </c>
      <c r="AR199">
        <v>100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768</v>
      </c>
      <c r="BK199">
        <v>3</v>
      </c>
      <c r="BL199">
        <v>30</v>
      </c>
      <c r="BM199">
        <v>0</v>
      </c>
      <c r="BN199">
        <v>0</v>
      </c>
      <c r="BO199">
        <v>0</v>
      </c>
    </row>
    <row r="200" spans="1:67" ht="15.75" customHeight="1" x14ac:dyDescent="0.2">
      <c r="A200" s="3">
        <f t="shared" si="3"/>
        <v>2198</v>
      </c>
      <c r="B200" s="3" t="s">
        <v>1414</v>
      </c>
      <c r="C200" s="3" t="s">
        <v>1414</v>
      </c>
      <c r="D200" s="27" t="s">
        <v>1412</v>
      </c>
      <c r="E200" s="5" t="s">
        <v>1413</v>
      </c>
      <c r="F200" s="3">
        <v>0</v>
      </c>
      <c r="G200" s="3">
        <v>300</v>
      </c>
      <c r="H200" s="3">
        <v>0</v>
      </c>
      <c r="I200" s="3">
        <v>60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0</v>
      </c>
      <c r="AF200" s="3">
        <v>0</v>
      </c>
      <c r="AG200" s="3">
        <v>0</v>
      </c>
      <c r="AH200" s="3">
        <v>0</v>
      </c>
      <c r="AI200" s="3">
        <v>0</v>
      </c>
      <c r="AJ200" s="3">
        <v>0</v>
      </c>
      <c r="AK200" s="3">
        <v>0</v>
      </c>
      <c r="AL200" s="3" t="s">
        <v>31</v>
      </c>
      <c r="AM200" s="3" t="s">
        <v>35</v>
      </c>
      <c r="AN200" s="3" t="s">
        <v>2010</v>
      </c>
      <c r="AO200" s="3" t="s">
        <v>1853</v>
      </c>
      <c r="AP200" s="3">
        <v>30</v>
      </c>
      <c r="AQ200" s="3">
        <v>2.8</v>
      </c>
      <c r="AR200">
        <v>2500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753</v>
      </c>
      <c r="BK200">
        <v>3</v>
      </c>
      <c r="BL200">
        <v>80</v>
      </c>
      <c r="BM200">
        <v>0</v>
      </c>
      <c r="BN200">
        <v>0</v>
      </c>
      <c r="BO200">
        <v>0</v>
      </c>
    </row>
    <row r="201" spans="1:67" ht="15.75" customHeight="1" x14ac:dyDescent="0.2">
      <c r="A201" s="3">
        <f t="shared" si="3"/>
        <v>2199</v>
      </c>
      <c r="B201" s="3" t="s">
        <v>3364</v>
      </c>
      <c r="C201" s="3" t="s">
        <v>3364</v>
      </c>
      <c r="D201" s="27" t="s">
        <v>3365</v>
      </c>
      <c r="E201" s="5" t="s">
        <v>3366</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0</v>
      </c>
      <c r="AF201" s="3">
        <v>0</v>
      </c>
      <c r="AG201" s="3">
        <v>0</v>
      </c>
      <c r="AH201" s="3">
        <v>0</v>
      </c>
      <c r="AI201" s="3">
        <v>0</v>
      </c>
      <c r="AJ201" s="3">
        <v>0</v>
      </c>
      <c r="AK201" s="3">
        <v>0</v>
      </c>
      <c r="AL201" s="3" t="s">
        <v>31</v>
      </c>
      <c r="AM201" s="3" t="s">
        <v>3142</v>
      </c>
      <c r="AN201" s="3" t="s">
        <v>2019</v>
      </c>
      <c r="AO201" s="3" t="s">
        <v>51</v>
      </c>
      <c r="AP201" s="3">
        <v>30</v>
      </c>
      <c r="AQ201" s="3">
        <v>2.5</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769</v>
      </c>
      <c r="BK201">
        <v>1</v>
      </c>
      <c r="BL201">
        <v>80</v>
      </c>
      <c r="BM201">
        <v>0</v>
      </c>
      <c r="BN201">
        <v>0</v>
      </c>
      <c r="BO201">
        <v>0</v>
      </c>
    </row>
    <row r="202" spans="1:67" ht="15.75" customHeight="1" x14ac:dyDescent="0.2">
      <c r="A202" s="3">
        <f t="shared" si="3"/>
        <v>2200</v>
      </c>
      <c r="B202" s="3" t="s">
        <v>3367</v>
      </c>
      <c r="C202" s="3" t="s">
        <v>3367</v>
      </c>
      <c r="D202" s="27" t="s">
        <v>3368</v>
      </c>
      <c r="E202" s="5" t="s">
        <v>3369</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150</v>
      </c>
      <c r="Z202" s="3">
        <v>0</v>
      </c>
      <c r="AA202" s="3">
        <v>0</v>
      </c>
      <c r="AB202" s="3">
        <v>0</v>
      </c>
      <c r="AC202" s="3">
        <v>0</v>
      </c>
      <c r="AD202" s="3">
        <v>0</v>
      </c>
      <c r="AE202" s="3">
        <v>0</v>
      </c>
      <c r="AF202" s="3">
        <v>0</v>
      </c>
      <c r="AG202" s="3">
        <v>0</v>
      </c>
      <c r="AH202" s="3">
        <v>0</v>
      </c>
      <c r="AI202" s="3">
        <v>0</v>
      </c>
      <c r="AJ202" s="3">
        <v>0</v>
      </c>
      <c r="AK202" s="3">
        <v>0</v>
      </c>
      <c r="AL202" s="3" t="s">
        <v>31</v>
      </c>
      <c r="AM202" s="3" t="s">
        <v>3142</v>
      </c>
      <c r="AN202" s="3" t="s">
        <v>2019</v>
      </c>
      <c r="AO202" s="3" t="s">
        <v>51</v>
      </c>
      <c r="AP202" s="3">
        <v>30</v>
      </c>
      <c r="AQ202" s="3">
        <v>2.5</v>
      </c>
      <c r="AR202">
        <v>2500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0</v>
      </c>
      <c r="BO202">
        <v>0</v>
      </c>
    </row>
    <row r="203" spans="1:67" ht="15.75" customHeight="1" x14ac:dyDescent="0.2">
      <c r="A203" s="3">
        <f t="shared" si="3"/>
        <v>2201</v>
      </c>
      <c r="B203" s="3" t="s">
        <v>3378</v>
      </c>
      <c r="C203" s="3" t="s">
        <v>3378</v>
      </c>
      <c r="D203" s="27" t="s">
        <v>3379</v>
      </c>
      <c r="E203" s="5" t="s">
        <v>3380</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150</v>
      </c>
      <c r="Z203" s="3">
        <v>0</v>
      </c>
      <c r="AA203" s="3">
        <v>0</v>
      </c>
      <c r="AB203" s="3">
        <v>0</v>
      </c>
      <c r="AC203" s="3">
        <v>0</v>
      </c>
      <c r="AD203" s="3">
        <v>0</v>
      </c>
      <c r="AE203" s="3">
        <v>0</v>
      </c>
      <c r="AF203" s="3">
        <v>0</v>
      </c>
      <c r="AG203" s="3">
        <v>0</v>
      </c>
      <c r="AH203" s="3">
        <v>0</v>
      </c>
      <c r="AI203" s="3">
        <v>0</v>
      </c>
      <c r="AJ203" s="3">
        <v>0</v>
      </c>
      <c r="AK203" s="3">
        <v>0</v>
      </c>
      <c r="AL203" s="3" t="s">
        <v>31</v>
      </c>
      <c r="AM203" s="3" t="s">
        <v>3143</v>
      </c>
      <c r="AN203" s="3" t="s">
        <v>2019</v>
      </c>
      <c r="AO203" s="3" t="s">
        <v>51</v>
      </c>
      <c r="AP203" s="3">
        <v>30</v>
      </c>
      <c r="AQ203" s="3">
        <v>2.5</v>
      </c>
      <c r="AR203">
        <v>2500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770</v>
      </c>
      <c r="BK203">
        <v>1</v>
      </c>
      <c r="BL203">
        <v>80</v>
      </c>
      <c r="BM203">
        <v>0</v>
      </c>
      <c r="BN203">
        <v>0</v>
      </c>
      <c r="BO203">
        <v>0</v>
      </c>
    </row>
    <row r="204" spans="1:67" ht="15.75" customHeight="1" x14ac:dyDescent="0.2">
      <c r="A204" s="3">
        <f t="shared" si="3"/>
        <v>2202</v>
      </c>
      <c r="B204" s="3" t="s">
        <v>3371</v>
      </c>
      <c r="C204" s="3" t="s">
        <v>3371</v>
      </c>
      <c r="D204" s="27" t="s">
        <v>3370</v>
      </c>
      <c r="E204" s="5" t="s">
        <v>3381</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150</v>
      </c>
      <c r="Z204" s="3">
        <v>0</v>
      </c>
      <c r="AA204" s="3">
        <v>0</v>
      </c>
      <c r="AB204" s="3">
        <v>0</v>
      </c>
      <c r="AC204" s="3">
        <v>0</v>
      </c>
      <c r="AD204" s="3">
        <v>0</v>
      </c>
      <c r="AE204" s="3">
        <v>0</v>
      </c>
      <c r="AF204" s="3">
        <v>0</v>
      </c>
      <c r="AG204" s="3">
        <v>0</v>
      </c>
      <c r="AH204" s="3">
        <v>0</v>
      </c>
      <c r="AI204" s="3">
        <v>0</v>
      </c>
      <c r="AJ204" s="3">
        <v>0</v>
      </c>
      <c r="AK204" s="3">
        <v>0</v>
      </c>
      <c r="AL204" s="3" t="s">
        <v>31</v>
      </c>
      <c r="AM204" s="3" t="s">
        <v>3143</v>
      </c>
      <c r="AN204" s="3" t="s">
        <v>2019</v>
      </c>
      <c r="AO204" s="3" t="s">
        <v>51</v>
      </c>
      <c r="AP204" s="3">
        <v>30</v>
      </c>
      <c r="AQ204" s="3">
        <v>2.5</v>
      </c>
      <c r="AR204">
        <v>2500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0</v>
      </c>
      <c r="BO204">
        <v>0</v>
      </c>
    </row>
    <row r="205" spans="1:67" ht="15.75" customHeight="1" x14ac:dyDescent="0.2">
      <c r="A205" s="3">
        <f t="shared" si="3"/>
        <v>2203</v>
      </c>
      <c r="B205" s="3" t="s">
        <v>3373</v>
      </c>
      <c r="C205" s="3" t="s">
        <v>3373</v>
      </c>
      <c r="D205" s="27" t="s">
        <v>3372</v>
      </c>
      <c r="E205" s="5" t="s">
        <v>3374</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150</v>
      </c>
      <c r="Z205" s="3">
        <v>0</v>
      </c>
      <c r="AA205" s="3">
        <v>0</v>
      </c>
      <c r="AB205" s="3">
        <v>0</v>
      </c>
      <c r="AC205" s="3">
        <v>0</v>
      </c>
      <c r="AD205" s="3">
        <v>0</v>
      </c>
      <c r="AE205" s="3">
        <v>0</v>
      </c>
      <c r="AF205" s="3">
        <v>0</v>
      </c>
      <c r="AG205" s="3">
        <v>0</v>
      </c>
      <c r="AH205" s="3">
        <v>0</v>
      </c>
      <c r="AI205" s="3">
        <v>0</v>
      </c>
      <c r="AJ205" s="3">
        <v>0</v>
      </c>
      <c r="AK205" s="3">
        <v>0</v>
      </c>
      <c r="AL205" s="3" t="s">
        <v>31</v>
      </c>
      <c r="AM205" s="3" t="s">
        <v>3143</v>
      </c>
      <c r="AN205" s="3" t="s">
        <v>2019</v>
      </c>
      <c r="AO205" s="3" t="s">
        <v>51</v>
      </c>
      <c r="AP205" s="3">
        <v>30</v>
      </c>
      <c r="AQ205" s="3">
        <v>2.5</v>
      </c>
      <c r="AR205">
        <v>2500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0</v>
      </c>
      <c r="BO205">
        <v>0</v>
      </c>
    </row>
    <row r="206" spans="1:67" ht="15.75" customHeight="1" x14ac:dyDescent="0.2">
      <c r="A206" s="3">
        <f t="shared" si="3"/>
        <v>2204</v>
      </c>
      <c r="B206" s="3" t="s">
        <v>2317</v>
      </c>
      <c r="C206" s="3" t="s">
        <v>2317</v>
      </c>
      <c r="D206" s="27" t="s">
        <v>2316</v>
      </c>
      <c r="E206" s="5" t="s">
        <v>2318</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150</v>
      </c>
      <c r="Z206" s="3">
        <v>0</v>
      </c>
      <c r="AA206" s="3">
        <v>0</v>
      </c>
      <c r="AB206" s="3">
        <v>0</v>
      </c>
      <c r="AC206" s="3">
        <v>0</v>
      </c>
      <c r="AD206" s="3">
        <v>0</v>
      </c>
      <c r="AE206" s="3">
        <v>0</v>
      </c>
      <c r="AF206" s="3">
        <v>0</v>
      </c>
      <c r="AG206" s="3">
        <v>0</v>
      </c>
      <c r="AH206" s="3">
        <v>0</v>
      </c>
      <c r="AI206" s="3">
        <v>0</v>
      </c>
      <c r="AJ206" s="3">
        <v>0</v>
      </c>
      <c r="AK206" s="3">
        <v>0</v>
      </c>
      <c r="AL206" s="3" t="s">
        <v>31</v>
      </c>
      <c r="AM206" s="3" t="s">
        <v>35</v>
      </c>
      <c r="AN206" s="3" t="s">
        <v>2010</v>
      </c>
      <c r="AO206" s="3" t="s">
        <v>50</v>
      </c>
      <c r="AP206" s="3">
        <v>30</v>
      </c>
      <c r="AQ206" s="3">
        <v>2.5</v>
      </c>
      <c r="AR206">
        <v>2500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771</v>
      </c>
      <c r="BK206">
        <v>3</v>
      </c>
      <c r="BL206">
        <v>80</v>
      </c>
      <c r="BM206">
        <v>0</v>
      </c>
      <c r="BN206">
        <v>0</v>
      </c>
      <c r="BO206">
        <v>0</v>
      </c>
    </row>
    <row r="207" spans="1:67" ht="15.75" customHeight="1" x14ac:dyDescent="0.2">
      <c r="A207" s="3">
        <f t="shared" si="3"/>
        <v>2205</v>
      </c>
      <c r="B207" s="3" t="s">
        <v>3278</v>
      </c>
      <c r="C207" s="3" t="s">
        <v>3278</v>
      </c>
      <c r="D207" s="27" t="s">
        <v>3277</v>
      </c>
      <c r="E207" s="5" t="s">
        <v>3279</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0</v>
      </c>
      <c r="AF207" s="3">
        <v>0</v>
      </c>
      <c r="AG207" s="3">
        <v>0</v>
      </c>
      <c r="AH207" s="3">
        <v>0</v>
      </c>
      <c r="AI207" s="3">
        <v>0</v>
      </c>
      <c r="AJ207" s="3">
        <v>0</v>
      </c>
      <c r="AK207" s="3">
        <v>0</v>
      </c>
      <c r="AL207" s="3" t="s">
        <v>31</v>
      </c>
      <c r="AM207" s="3" t="s">
        <v>3142</v>
      </c>
      <c r="AN207" s="3" t="s">
        <v>2019</v>
      </c>
      <c r="AO207" s="3" t="s">
        <v>51</v>
      </c>
      <c r="AP207" s="3">
        <v>30</v>
      </c>
      <c r="AQ207" s="3">
        <v>2.5</v>
      </c>
      <c r="AR207">
        <v>2500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769</v>
      </c>
      <c r="BK207">
        <v>1</v>
      </c>
      <c r="BL207">
        <v>80</v>
      </c>
      <c r="BM207">
        <v>0</v>
      </c>
      <c r="BN207">
        <v>0</v>
      </c>
      <c r="BO207">
        <v>0</v>
      </c>
    </row>
    <row r="208" spans="1:67" ht="15.75" customHeight="1" x14ac:dyDescent="0.2">
      <c r="A208" s="3">
        <f t="shared" si="3"/>
        <v>2206</v>
      </c>
      <c r="B208" s="3" t="s">
        <v>3294</v>
      </c>
      <c r="C208" s="3" t="s">
        <v>3294</v>
      </c>
      <c r="D208" s="27" t="s">
        <v>3295</v>
      </c>
      <c r="E208" s="5" t="s">
        <v>3296</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150</v>
      </c>
      <c r="Z208" s="3">
        <v>0</v>
      </c>
      <c r="AA208" s="3">
        <v>0</v>
      </c>
      <c r="AB208" s="3">
        <v>0</v>
      </c>
      <c r="AC208" s="3">
        <v>0</v>
      </c>
      <c r="AD208" s="3">
        <v>0</v>
      </c>
      <c r="AE208" s="3">
        <v>0</v>
      </c>
      <c r="AF208" s="3">
        <v>0</v>
      </c>
      <c r="AG208" s="3">
        <v>0</v>
      </c>
      <c r="AH208" s="3">
        <v>0</v>
      </c>
      <c r="AI208" s="3">
        <v>0</v>
      </c>
      <c r="AJ208" s="3">
        <v>0</v>
      </c>
      <c r="AK208" s="3">
        <v>0</v>
      </c>
      <c r="AL208" s="3" t="s">
        <v>31</v>
      </c>
      <c r="AM208" s="3" t="s">
        <v>3142</v>
      </c>
      <c r="AN208" s="3" t="s">
        <v>2019</v>
      </c>
      <c r="AO208" s="3" t="s">
        <v>51</v>
      </c>
      <c r="AP208" s="3">
        <v>30</v>
      </c>
      <c r="AQ208" s="3">
        <v>2.5</v>
      </c>
      <c r="AR208">
        <v>2500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0</v>
      </c>
      <c r="BO208">
        <v>0</v>
      </c>
    </row>
    <row r="209" spans="1:67" ht="15.75" customHeight="1" x14ac:dyDescent="0.2">
      <c r="A209" s="3">
        <f t="shared" si="3"/>
        <v>2207</v>
      </c>
      <c r="B209" s="3" t="s">
        <v>3298</v>
      </c>
      <c r="C209" s="3" t="s">
        <v>3298</v>
      </c>
      <c r="D209" s="27" t="s">
        <v>3297</v>
      </c>
      <c r="E209" s="5" t="s">
        <v>3301</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150</v>
      </c>
      <c r="Z209" s="3">
        <v>0</v>
      </c>
      <c r="AA209" s="3">
        <v>0</v>
      </c>
      <c r="AB209" s="3">
        <v>0</v>
      </c>
      <c r="AC209" s="3">
        <v>0</v>
      </c>
      <c r="AD209" s="3">
        <v>0</v>
      </c>
      <c r="AE209" s="3">
        <v>0</v>
      </c>
      <c r="AF209" s="3">
        <v>0</v>
      </c>
      <c r="AG209" s="3">
        <v>0</v>
      </c>
      <c r="AH209" s="3">
        <v>0</v>
      </c>
      <c r="AI209" s="3">
        <v>0</v>
      </c>
      <c r="AJ209" s="3">
        <v>0</v>
      </c>
      <c r="AK209" s="3">
        <v>0</v>
      </c>
      <c r="AL209" s="3" t="s">
        <v>31</v>
      </c>
      <c r="AM209" s="3" t="s">
        <v>3142</v>
      </c>
      <c r="AN209" s="3" t="s">
        <v>2019</v>
      </c>
      <c r="AO209" s="3" t="s">
        <v>51</v>
      </c>
      <c r="AP209" s="3">
        <v>30</v>
      </c>
      <c r="AQ209" s="3">
        <v>2.5</v>
      </c>
      <c r="AR209">
        <v>2500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0</v>
      </c>
      <c r="BO209">
        <v>0</v>
      </c>
    </row>
    <row r="210" spans="1:67" ht="15.75" customHeight="1" x14ac:dyDescent="0.2">
      <c r="A210" s="3">
        <f t="shared" si="3"/>
        <v>2208</v>
      </c>
      <c r="B210" s="3" t="s">
        <v>3300</v>
      </c>
      <c r="C210" s="3" t="s">
        <v>3300</v>
      </c>
      <c r="D210" s="27" t="s">
        <v>3299</v>
      </c>
      <c r="E210" s="5" t="s">
        <v>3302</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150</v>
      </c>
      <c r="Z210" s="3">
        <v>0</v>
      </c>
      <c r="AA210" s="3">
        <v>0</v>
      </c>
      <c r="AB210" s="3">
        <v>0</v>
      </c>
      <c r="AC210" s="3">
        <v>0</v>
      </c>
      <c r="AD210" s="3">
        <v>0</v>
      </c>
      <c r="AE210" s="3">
        <v>0</v>
      </c>
      <c r="AF210" s="3">
        <v>0</v>
      </c>
      <c r="AG210" s="3">
        <v>0</v>
      </c>
      <c r="AH210" s="3">
        <v>0</v>
      </c>
      <c r="AI210" s="3">
        <v>0</v>
      </c>
      <c r="AJ210" s="3">
        <v>0</v>
      </c>
      <c r="AK210" s="3">
        <v>0</v>
      </c>
      <c r="AL210" s="3" t="s">
        <v>31</v>
      </c>
      <c r="AM210" s="3" t="s">
        <v>3143</v>
      </c>
      <c r="AN210" s="3" t="s">
        <v>2019</v>
      </c>
      <c r="AO210" s="3" t="s">
        <v>51</v>
      </c>
      <c r="AP210" s="3">
        <v>30</v>
      </c>
      <c r="AQ210" s="3">
        <v>2.5</v>
      </c>
      <c r="AR210">
        <v>2500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770</v>
      </c>
      <c r="BK210">
        <v>1</v>
      </c>
      <c r="BL210">
        <v>80</v>
      </c>
      <c r="BM210">
        <v>0</v>
      </c>
      <c r="BN210">
        <v>0</v>
      </c>
      <c r="BO210">
        <v>0</v>
      </c>
    </row>
    <row r="211" spans="1:67" ht="15.75" customHeight="1" x14ac:dyDescent="0.2">
      <c r="A211" s="3">
        <f t="shared" si="3"/>
        <v>2209</v>
      </c>
      <c r="B211" s="3" t="s">
        <v>3304</v>
      </c>
      <c r="C211" s="3" t="s">
        <v>3304</v>
      </c>
      <c r="D211" s="27" t="s">
        <v>3303</v>
      </c>
      <c r="E211" s="5" t="s">
        <v>3305</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150</v>
      </c>
      <c r="Z211" s="3">
        <v>0</v>
      </c>
      <c r="AA211" s="3">
        <v>0</v>
      </c>
      <c r="AB211" s="3">
        <v>0</v>
      </c>
      <c r="AC211" s="3">
        <v>0</v>
      </c>
      <c r="AD211" s="3">
        <v>0</v>
      </c>
      <c r="AE211" s="3">
        <v>0</v>
      </c>
      <c r="AF211" s="3">
        <v>0</v>
      </c>
      <c r="AG211" s="3">
        <v>0</v>
      </c>
      <c r="AH211" s="3">
        <v>0</v>
      </c>
      <c r="AI211" s="3">
        <v>0</v>
      </c>
      <c r="AJ211" s="3">
        <v>0</v>
      </c>
      <c r="AK211" s="3">
        <v>0</v>
      </c>
      <c r="AL211" s="3" t="s">
        <v>31</v>
      </c>
      <c r="AM211" s="3" t="s">
        <v>3143</v>
      </c>
      <c r="AN211" s="3" t="s">
        <v>2019</v>
      </c>
      <c r="AO211" s="3" t="s">
        <v>51</v>
      </c>
      <c r="AP211" s="3">
        <v>30</v>
      </c>
      <c r="AQ211" s="3">
        <v>2.5</v>
      </c>
      <c r="AR211">
        <v>2500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0</v>
      </c>
      <c r="BO211">
        <v>0</v>
      </c>
    </row>
    <row r="212" spans="1:67" ht="15.75" customHeight="1" x14ac:dyDescent="0.2">
      <c r="A212" s="3">
        <f t="shared" si="3"/>
        <v>2210</v>
      </c>
      <c r="B212" s="3" t="s">
        <v>3306</v>
      </c>
      <c r="C212" s="3" t="s">
        <v>3306</v>
      </c>
      <c r="D212" s="27" t="s">
        <v>3307</v>
      </c>
      <c r="E212" s="5" t="s">
        <v>3308</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150</v>
      </c>
      <c r="Z212" s="3">
        <v>0</v>
      </c>
      <c r="AA212" s="3">
        <v>0</v>
      </c>
      <c r="AB212" s="3">
        <v>0</v>
      </c>
      <c r="AC212" s="3">
        <v>0</v>
      </c>
      <c r="AD212" s="3">
        <v>0</v>
      </c>
      <c r="AE212" s="3">
        <v>0</v>
      </c>
      <c r="AF212" s="3">
        <v>0</v>
      </c>
      <c r="AG212" s="3">
        <v>0</v>
      </c>
      <c r="AH212" s="3">
        <v>0</v>
      </c>
      <c r="AI212" s="3">
        <v>0</v>
      </c>
      <c r="AJ212" s="3">
        <v>0</v>
      </c>
      <c r="AK212" s="3">
        <v>0</v>
      </c>
      <c r="AL212" s="3" t="s">
        <v>31</v>
      </c>
      <c r="AM212" s="3" t="s">
        <v>3143</v>
      </c>
      <c r="AN212" s="3" t="s">
        <v>2019</v>
      </c>
      <c r="AO212" s="3" t="s">
        <v>51</v>
      </c>
      <c r="AP212" s="3">
        <v>30</v>
      </c>
      <c r="AQ212" s="3">
        <v>2.5</v>
      </c>
      <c r="AR212">
        <v>2500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0</v>
      </c>
      <c r="BO212">
        <v>0</v>
      </c>
    </row>
    <row r="213" spans="1:67" ht="15.75" customHeight="1" x14ac:dyDescent="0.2">
      <c r="A213" s="3">
        <f t="shared" si="3"/>
        <v>2211</v>
      </c>
      <c r="B213" s="3" t="s">
        <v>3309</v>
      </c>
      <c r="C213" s="3" t="s">
        <v>3309</v>
      </c>
      <c r="D213" s="27" t="s">
        <v>3310</v>
      </c>
      <c r="E213" s="5" t="s">
        <v>3311</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150</v>
      </c>
      <c r="Z213" s="3">
        <v>0</v>
      </c>
      <c r="AA213" s="3">
        <v>0</v>
      </c>
      <c r="AB213" s="3">
        <v>0</v>
      </c>
      <c r="AC213" s="3">
        <v>0</v>
      </c>
      <c r="AD213" s="3">
        <v>0</v>
      </c>
      <c r="AE213" s="3">
        <v>0</v>
      </c>
      <c r="AF213" s="3">
        <v>0</v>
      </c>
      <c r="AG213" s="3">
        <v>0</v>
      </c>
      <c r="AH213" s="3">
        <v>0</v>
      </c>
      <c r="AI213" s="3">
        <v>0</v>
      </c>
      <c r="AJ213" s="3">
        <v>0</v>
      </c>
      <c r="AK213" s="3">
        <v>0</v>
      </c>
      <c r="AL213" s="3" t="s">
        <v>31</v>
      </c>
      <c r="AM213" s="3" t="s">
        <v>3143</v>
      </c>
      <c r="AN213" s="3" t="s">
        <v>2019</v>
      </c>
      <c r="AO213" s="3" t="s">
        <v>51</v>
      </c>
      <c r="AP213" s="3">
        <v>30</v>
      </c>
      <c r="AQ213" s="3">
        <v>2.5</v>
      </c>
      <c r="AR213">
        <v>2500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0</v>
      </c>
      <c r="BO213">
        <v>0</v>
      </c>
    </row>
    <row r="214" spans="1:67" ht="15.75" customHeight="1" x14ac:dyDescent="0.2">
      <c r="A214" s="3">
        <f t="shared" si="3"/>
        <v>2212</v>
      </c>
      <c r="B214" s="3" t="s">
        <v>3312</v>
      </c>
      <c r="C214" s="3" t="s">
        <v>3312</v>
      </c>
      <c r="D214" s="27" t="s">
        <v>3313</v>
      </c>
      <c r="E214" s="5" t="s">
        <v>3314</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150</v>
      </c>
      <c r="Z214" s="3">
        <v>0</v>
      </c>
      <c r="AA214" s="3">
        <v>0</v>
      </c>
      <c r="AB214" s="3">
        <v>0</v>
      </c>
      <c r="AC214" s="3">
        <v>0</v>
      </c>
      <c r="AD214" s="3">
        <v>0</v>
      </c>
      <c r="AE214" s="3">
        <v>0</v>
      </c>
      <c r="AF214" s="3">
        <v>0</v>
      </c>
      <c r="AG214" s="3">
        <v>0</v>
      </c>
      <c r="AH214" s="3">
        <v>0</v>
      </c>
      <c r="AI214" s="3">
        <v>0</v>
      </c>
      <c r="AJ214" s="3">
        <v>0</v>
      </c>
      <c r="AK214" s="3">
        <v>0</v>
      </c>
      <c r="AL214" s="3" t="s">
        <v>31</v>
      </c>
      <c r="AM214" s="3" t="s">
        <v>3143</v>
      </c>
      <c r="AN214" s="3" t="s">
        <v>2019</v>
      </c>
      <c r="AO214" s="3" t="s">
        <v>51</v>
      </c>
      <c r="AP214" s="3">
        <v>30</v>
      </c>
      <c r="AQ214" s="3">
        <v>2.5</v>
      </c>
      <c r="AR214">
        <v>2500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0</v>
      </c>
      <c r="BO214">
        <v>0</v>
      </c>
    </row>
    <row r="215" spans="1:67" ht="15.75" customHeight="1" x14ac:dyDescent="0.2">
      <c r="A215" s="3">
        <f t="shared" si="3"/>
        <v>2213</v>
      </c>
      <c r="B215" s="3" t="s">
        <v>2330</v>
      </c>
      <c r="C215" s="3" t="s">
        <v>2330</v>
      </c>
      <c r="D215" s="27" t="s">
        <v>2328</v>
      </c>
      <c r="E215" s="5" t="s">
        <v>2329</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150</v>
      </c>
      <c r="Z215" s="3">
        <v>0</v>
      </c>
      <c r="AA215" s="3">
        <v>0</v>
      </c>
      <c r="AB215" s="3">
        <v>0</v>
      </c>
      <c r="AC215" s="3">
        <v>0</v>
      </c>
      <c r="AD215" s="3">
        <v>0</v>
      </c>
      <c r="AE215" s="3">
        <v>0</v>
      </c>
      <c r="AF215" s="3">
        <v>0</v>
      </c>
      <c r="AG215" s="3">
        <v>0</v>
      </c>
      <c r="AH215" s="3">
        <v>0</v>
      </c>
      <c r="AI215" s="3">
        <v>0</v>
      </c>
      <c r="AJ215" s="3">
        <v>0</v>
      </c>
      <c r="AK215" s="3">
        <v>0</v>
      </c>
      <c r="AL215" s="3" t="s">
        <v>31</v>
      </c>
      <c r="AM215" s="3" t="s">
        <v>35</v>
      </c>
      <c r="AN215" s="3" t="s">
        <v>2010</v>
      </c>
      <c r="AO215" s="3" t="s">
        <v>50</v>
      </c>
      <c r="AP215" s="3">
        <v>30</v>
      </c>
      <c r="AQ215" s="3">
        <v>2.5</v>
      </c>
      <c r="AR215">
        <v>2500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772</v>
      </c>
      <c r="BK215">
        <v>3</v>
      </c>
      <c r="BL215">
        <v>80</v>
      </c>
      <c r="BM215">
        <v>0</v>
      </c>
      <c r="BN215">
        <v>0</v>
      </c>
      <c r="BO215">
        <v>0</v>
      </c>
    </row>
    <row r="216" spans="1:67" ht="15.75" customHeight="1" x14ac:dyDescent="0.2">
      <c r="A216" s="3">
        <f t="shared" si="3"/>
        <v>2214</v>
      </c>
      <c r="B216" s="3" t="s">
        <v>3333</v>
      </c>
      <c r="C216" s="3" t="s">
        <v>3333</v>
      </c>
      <c r="D216" s="27" t="s">
        <v>3332</v>
      </c>
      <c r="E216" s="5" t="s">
        <v>3334</v>
      </c>
      <c r="F216" s="3">
        <v>0</v>
      </c>
      <c r="G216" s="3">
        <v>300</v>
      </c>
      <c r="H216" s="3">
        <v>0</v>
      </c>
      <c r="I216" s="3">
        <v>20</v>
      </c>
      <c r="J216" s="3">
        <v>0</v>
      </c>
      <c r="K216" s="3">
        <v>1</v>
      </c>
      <c r="L216" s="3">
        <v>0</v>
      </c>
      <c r="M216" s="3">
        <v>0</v>
      </c>
      <c r="N216" s="3">
        <v>0</v>
      </c>
      <c r="O216" s="3">
        <v>0</v>
      </c>
      <c r="P216" s="3">
        <v>0</v>
      </c>
      <c r="Q216" s="3">
        <v>0</v>
      </c>
      <c r="R216" s="3">
        <v>0</v>
      </c>
      <c r="S216" s="3">
        <v>0</v>
      </c>
      <c r="T216" s="3">
        <v>0</v>
      </c>
      <c r="U216" s="3">
        <v>0</v>
      </c>
      <c r="V216" s="3">
        <v>0</v>
      </c>
      <c r="W216" s="3">
        <v>0</v>
      </c>
      <c r="X216" s="3">
        <v>0</v>
      </c>
      <c r="Y216" s="3">
        <v>20</v>
      </c>
      <c r="Z216" s="3">
        <v>0</v>
      </c>
      <c r="AA216" s="3">
        <v>0</v>
      </c>
      <c r="AB216" s="3">
        <v>0</v>
      </c>
      <c r="AC216" s="3">
        <v>0</v>
      </c>
      <c r="AD216" s="3">
        <v>0</v>
      </c>
      <c r="AE216" s="3">
        <v>0</v>
      </c>
      <c r="AF216" s="3">
        <v>0</v>
      </c>
      <c r="AG216" s="3">
        <v>0</v>
      </c>
      <c r="AH216" s="3">
        <v>0</v>
      </c>
      <c r="AI216" s="3">
        <v>0</v>
      </c>
      <c r="AJ216" s="3">
        <v>0</v>
      </c>
      <c r="AK216" s="3">
        <v>85</v>
      </c>
      <c r="AL216" s="3" t="s">
        <v>31</v>
      </c>
      <c r="AM216" s="3" t="s">
        <v>3142</v>
      </c>
      <c r="AN216" s="3" t="s">
        <v>2019</v>
      </c>
      <c r="AO216" s="3" t="s">
        <v>51</v>
      </c>
      <c r="AP216" s="3">
        <v>30</v>
      </c>
      <c r="AQ216" s="3">
        <v>1</v>
      </c>
      <c r="AR216">
        <v>100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769</v>
      </c>
      <c r="BK216">
        <v>1</v>
      </c>
      <c r="BL216">
        <v>30</v>
      </c>
      <c r="BM216">
        <v>0</v>
      </c>
      <c r="BN216">
        <v>0</v>
      </c>
      <c r="BO216">
        <v>0</v>
      </c>
    </row>
    <row r="217" spans="1:67" ht="15.75" customHeight="1" x14ac:dyDescent="0.2">
      <c r="A217" s="3">
        <f t="shared" si="3"/>
        <v>2215</v>
      </c>
      <c r="B217" s="3" t="s">
        <v>3359</v>
      </c>
      <c r="C217" s="3" t="s">
        <v>3359</v>
      </c>
      <c r="D217" s="27" t="s">
        <v>3360</v>
      </c>
      <c r="E217" s="5" t="s">
        <v>3361</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3142</v>
      </c>
      <c r="AN217" s="3" t="s">
        <v>2019</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0</v>
      </c>
      <c r="BO217">
        <v>0</v>
      </c>
    </row>
    <row r="218" spans="1:67" ht="15.75" customHeight="1" x14ac:dyDescent="0.2">
      <c r="A218" s="3">
        <f t="shared" si="3"/>
        <v>2216</v>
      </c>
      <c r="B218" s="3" t="s">
        <v>3336</v>
      </c>
      <c r="C218" s="3" t="s">
        <v>3336</v>
      </c>
      <c r="D218" s="27" t="s">
        <v>3338</v>
      </c>
      <c r="E218" s="5" t="s">
        <v>3335</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3143</v>
      </c>
      <c r="AN218" s="3" t="s">
        <v>2019</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770</v>
      </c>
      <c r="BK218">
        <v>1</v>
      </c>
      <c r="BL218">
        <v>30</v>
      </c>
      <c r="BM218">
        <v>0</v>
      </c>
      <c r="BN218">
        <v>0</v>
      </c>
      <c r="BO218">
        <v>0</v>
      </c>
    </row>
    <row r="219" spans="1:67" ht="15.75" customHeight="1" x14ac:dyDescent="0.2">
      <c r="A219" s="3">
        <f t="shared" si="3"/>
        <v>2217</v>
      </c>
      <c r="B219" s="3" t="s">
        <v>3342</v>
      </c>
      <c r="C219" s="3" t="s">
        <v>3342</v>
      </c>
      <c r="D219" s="27" t="s">
        <v>3337</v>
      </c>
      <c r="E219" s="5" t="s">
        <v>3339</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3143</v>
      </c>
      <c r="AN219" s="3" t="s">
        <v>2019</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0</v>
      </c>
      <c r="BO219">
        <v>0</v>
      </c>
    </row>
    <row r="220" spans="1:67" ht="15.75" customHeight="1" x14ac:dyDescent="0.2">
      <c r="A220" s="3">
        <f t="shared" si="3"/>
        <v>2218</v>
      </c>
      <c r="B220" s="3" t="s">
        <v>3341</v>
      </c>
      <c r="C220" s="3" t="s">
        <v>3341</v>
      </c>
      <c r="D220" s="27" t="s">
        <v>3340</v>
      </c>
      <c r="E220" s="5" t="s">
        <v>3343</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85</v>
      </c>
      <c r="AL220" s="3" t="s">
        <v>31</v>
      </c>
      <c r="AM220" s="3" t="s">
        <v>3143</v>
      </c>
      <c r="AN220" s="3" t="s">
        <v>2019</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row>
    <row r="221" spans="1:67" ht="15.75" customHeight="1" x14ac:dyDescent="0.2">
      <c r="A221" s="3">
        <f t="shared" si="3"/>
        <v>2219</v>
      </c>
      <c r="B221" s="3" t="s">
        <v>3027</v>
      </c>
      <c r="C221" s="3" t="s">
        <v>3027</v>
      </c>
      <c r="D221" s="27" t="s">
        <v>3026</v>
      </c>
      <c r="E221" s="5" t="s">
        <v>3028</v>
      </c>
      <c r="F221" s="3">
        <v>0</v>
      </c>
      <c r="G221" s="3">
        <v>300</v>
      </c>
      <c r="H221" s="3">
        <v>0</v>
      </c>
      <c r="I221" s="3">
        <v>60</v>
      </c>
      <c r="J221" s="3">
        <v>0</v>
      </c>
      <c r="K221" s="3">
        <v>1</v>
      </c>
      <c r="L221" s="3">
        <v>0</v>
      </c>
      <c r="M221" s="3">
        <v>0</v>
      </c>
      <c r="N221" s="3">
        <v>0</v>
      </c>
      <c r="O221" s="3">
        <v>0</v>
      </c>
      <c r="P221" s="3">
        <v>0</v>
      </c>
      <c r="Q221" s="3">
        <v>0</v>
      </c>
      <c r="R221" s="3">
        <v>0</v>
      </c>
      <c r="S221" s="3">
        <v>0</v>
      </c>
      <c r="T221" s="3">
        <v>0</v>
      </c>
      <c r="U221" s="3">
        <v>0</v>
      </c>
      <c r="V221" s="3">
        <v>0</v>
      </c>
      <c r="W221" s="3">
        <v>0</v>
      </c>
      <c r="X221" s="3">
        <v>0</v>
      </c>
      <c r="Y221" s="3">
        <v>150</v>
      </c>
      <c r="Z221" s="3">
        <v>0</v>
      </c>
      <c r="AA221" s="3">
        <v>0</v>
      </c>
      <c r="AB221" s="3">
        <v>0</v>
      </c>
      <c r="AC221" s="3">
        <v>0</v>
      </c>
      <c r="AD221" s="3">
        <v>0</v>
      </c>
      <c r="AE221" s="3">
        <v>0</v>
      </c>
      <c r="AF221" s="3">
        <v>0</v>
      </c>
      <c r="AG221" s="3">
        <v>0</v>
      </c>
      <c r="AH221" s="3">
        <v>0</v>
      </c>
      <c r="AI221" s="3">
        <v>0</v>
      </c>
      <c r="AJ221" s="3">
        <v>0</v>
      </c>
      <c r="AK221" s="3">
        <v>0</v>
      </c>
      <c r="AL221" s="3" t="s">
        <v>31</v>
      </c>
      <c r="AM221" s="3" t="s">
        <v>99</v>
      </c>
      <c r="AN221" s="3" t="s">
        <v>2010</v>
      </c>
      <c r="AO221" s="3" t="s">
        <v>50</v>
      </c>
      <c r="AP221" s="3">
        <v>30</v>
      </c>
      <c r="AQ221" s="3">
        <v>2.5</v>
      </c>
      <c r="AR221">
        <v>2500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773</v>
      </c>
      <c r="BK221">
        <v>3</v>
      </c>
      <c r="BL221">
        <v>80</v>
      </c>
      <c r="BM221">
        <v>0</v>
      </c>
      <c r="BN221">
        <v>0</v>
      </c>
      <c r="BO221">
        <v>0</v>
      </c>
    </row>
    <row r="222" spans="1:67" s="43" customFormat="1" ht="15.75" customHeight="1" x14ac:dyDescent="0.2">
      <c r="A222" s="40">
        <f t="shared" si="3"/>
        <v>2220</v>
      </c>
      <c r="B222" s="40" t="s">
        <v>3027</v>
      </c>
      <c r="C222" s="40" t="s">
        <v>3029</v>
      </c>
      <c r="D222" s="41" t="s">
        <v>3030</v>
      </c>
      <c r="E222" s="42" t="s">
        <v>3031</v>
      </c>
      <c r="F222" s="40">
        <v>0</v>
      </c>
      <c r="G222" s="40">
        <v>300</v>
      </c>
      <c r="H222" s="40">
        <v>0</v>
      </c>
      <c r="I222" s="40">
        <v>60</v>
      </c>
      <c r="J222" s="40">
        <v>0</v>
      </c>
      <c r="K222" s="40">
        <v>1</v>
      </c>
      <c r="L222" s="40">
        <v>0</v>
      </c>
      <c r="M222" s="40">
        <v>0</v>
      </c>
      <c r="N222" s="40">
        <v>0</v>
      </c>
      <c r="O222" s="40">
        <v>0</v>
      </c>
      <c r="P222" s="40">
        <v>0</v>
      </c>
      <c r="Q222" s="40">
        <v>0</v>
      </c>
      <c r="R222" s="40">
        <v>0</v>
      </c>
      <c r="S222" s="40">
        <v>0</v>
      </c>
      <c r="T222" s="40">
        <v>0</v>
      </c>
      <c r="U222" s="40">
        <v>0</v>
      </c>
      <c r="V222" s="40">
        <v>0</v>
      </c>
      <c r="W222" s="40">
        <v>0</v>
      </c>
      <c r="X222" s="40">
        <v>0</v>
      </c>
      <c r="Y222" s="40">
        <v>150</v>
      </c>
      <c r="Z222" s="40">
        <v>0</v>
      </c>
      <c r="AA222" s="40">
        <v>0</v>
      </c>
      <c r="AB222" s="40">
        <v>0</v>
      </c>
      <c r="AC222" s="40">
        <v>0</v>
      </c>
      <c r="AD222" s="40">
        <v>0</v>
      </c>
      <c r="AE222" s="40">
        <v>0</v>
      </c>
      <c r="AF222" s="40">
        <v>0</v>
      </c>
      <c r="AG222" s="40">
        <v>0</v>
      </c>
      <c r="AH222" s="40">
        <v>0</v>
      </c>
      <c r="AI222" s="40">
        <v>0</v>
      </c>
      <c r="AJ222" s="40">
        <v>0</v>
      </c>
      <c r="AK222" s="40">
        <v>0</v>
      </c>
      <c r="AL222" s="40" t="s">
        <v>31</v>
      </c>
      <c r="AM222" s="40" t="s">
        <v>35</v>
      </c>
      <c r="AN222" s="40" t="s">
        <v>2010</v>
      </c>
      <c r="AO222" s="40" t="s">
        <v>50</v>
      </c>
      <c r="AP222" s="40">
        <v>30</v>
      </c>
      <c r="AQ222" s="40">
        <v>2.5</v>
      </c>
      <c r="AR222" s="43">
        <v>2500</v>
      </c>
      <c r="AS222" s="43">
        <v>10</v>
      </c>
      <c r="AT222" s="44" t="s">
        <v>50</v>
      </c>
      <c r="AU222" s="44" t="s">
        <v>50</v>
      </c>
      <c r="AV222" s="44" t="s">
        <v>50</v>
      </c>
      <c r="AW222" s="44" t="s">
        <v>50</v>
      </c>
      <c r="AX222" s="44" t="s">
        <v>50</v>
      </c>
      <c r="AY222" s="44" t="s">
        <v>50</v>
      </c>
      <c r="AZ222" s="44" t="s">
        <v>50</v>
      </c>
      <c r="BA222" s="44" t="s">
        <v>50</v>
      </c>
      <c r="BB222" s="44" t="s">
        <v>50</v>
      </c>
      <c r="BC222" s="44" t="s">
        <v>50</v>
      </c>
      <c r="BD222" s="44" t="s">
        <v>50</v>
      </c>
      <c r="BE222" s="44" t="s">
        <v>50</v>
      </c>
      <c r="BF222" s="44" t="s">
        <v>50</v>
      </c>
      <c r="BG222" s="44" t="s">
        <v>50</v>
      </c>
      <c r="BH222" s="44" t="s">
        <v>50</v>
      </c>
      <c r="BI222" s="43">
        <v>1</v>
      </c>
      <c r="BJ222" s="43">
        <v>774</v>
      </c>
      <c r="BK222" s="43">
        <v>4</v>
      </c>
      <c r="BL222" s="43">
        <v>80</v>
      </c>
      <c r="BM222" s="43">
        <v>0</v>
      </c>
      <c r="BN222" s="43">
        <v>0</v>
      </c>
      <c r="BO222" s="43">
        <v>0</v>
      </c>
    </row>
    <row r="223" spans="1:67" s="9" customFormat="1" ht="15.75" customHeight="1" x14ac:dyDescent="0.2">
      <c r="A223" s="7">
        <f t="shared" si="3"/>
        <v>2221</v>
      </c>
      <c r="B223" s="7" t="s">
        <v>2057</v>
      </c>
      <c r="C223" s="7" t="s">
        <v>2197</v>
      </c>
      <c r="D223" s="11" t="s">
        <v>2196</v>
      </c>
      <c r="E223" s="11" t="s">
        <v>2198</v>
      </c>
      <c r="F223" s="7">
        <v>0</v>
      </c>
      <c r="G223" s="7">
        <v>300</v>
      </c>
      <c r="H223" s="7">
        <v>0</v>
      </c>
      <c r="I223" s="7">
        <v>50</v>
      </c>
      <c r="J223" s="7">
        <v>0</v>
      </c>
      <c r="K223" s="7">
        <v>1</v>
      </c>
      <c r="L223" s="7">
        <v>0</v>
      </c>
      <c r="M223" s="7">
        <v>0</v>
      </c>
      <c r="N223" s="7">
        <v>0</v>
      </c>
      <c r="O223" s="7">
        <v>0</v>
      </c>
      <c r="P223" s="7">
        <v>0</v>
      </c>
      <c r="Q223" s="7">
        <v>0</v>
      </c>
      <c r="R223" s="7">
        <v>0</v>
      </c>
      <c r="S223" s="7">
        <v>0</v>
      </c>
      <c r="T223" s="7">
        <v>0</v>
      </c>
      <c r="U223" s="7">
        <v>0</v>
      </c>
      <c r="V223" s="7">
        <v>0</v>
      </c>
      <c r="W223" s="7">
        <v>0</v>
      </c>
      <c r="X223" s="7">
        <v>0</v>
      </c>
      <c r="Y223" s="7">
        <v>50</v>
      </c>
      <c r="Z223" s="7">
        <v>0</v>
      </c>
      <c r="AA223" s="7">
        <v>0</v>
      </c>
      <c r="AB223" s="7">
        <v>0</v>
      </c>
      <c r="AC223" s="7">
        <v>0</v>
      </c>
      <c r="AD223" s="7">
        <v>0</v>
      </c>
      <c r="AE223" s="7">
        <v>0</v>
      </c>
      <c r="AF223" s="7">
        <v>0</v>
      </c>
      <c r="AG223" s="7">
        <v>0</v>
      </c>
      <c r="AH223" s="7">
        <v>0</v>
      </c>
      <c r="AI223" s="7">
        <v>0</v>
      </c>
      <c r="AJ223" s="7">
        <v>0</v>
      </c>
      <c r="AK223" s="7">
        <v>0</v>
      </c>
      <c r="AL223" s="7" t="s">
        <v>31</v>
      </c>
      <c r="AM223" s="7" t="s">
        <v>99</v>
      </c>
      <c r="AN223" s="7" t="s">
        <v>2010</v>
      </c>
      <c r="AO223" s="7" t="s">
        <v>50</v>
      </c>
      <c r="AP223" s="7">
        <v>30</v>
      </c>
      <c r="AQ223" s="7">
        <v>2</v>
      </c>
      <c r="AR223" s="9">
        <v>12345</v>
      </c>
      <c r="AS223" s="9">
        <v>12000</v>
      </c>
      <c r="AT223" s="10" t="s">
        <v>50</v>
      </c>
      <c r="AU223" s="10" t="s">
        <v>50</v>
      </c>
      <c r="AV223" s="10" t="s">
        <v>50</v>
      </c>
      <c r="AW223" s="10" t="s">
        <v>50</v>
      </c>
      <c r="AX223" s="10" t="s">
        <v>50</v>
      </c>
      <c r="AY223" s="10" t="s">
        <v>50</v>
      </c>
      <c r="AZ223" s="10" t="s">
        <v>50</v>
      </c>
      <c r="BA223" s="10" t="s">
        <v>50</v>
      </c>
      <c r="BB223" s="10" t="s">
        <v>50</v>
      </c>
      <c r="BC223" s="10" t="s">
        <v>50</v>
      </c>
      <c r="BD223" s="10" t="s">
        <v>50</v>
      </c>
      <c r="BE223" s="10" t="s">
        <v>50</v>
      </c>
      <c r="BF223" s="10" t="s">
        <v>50</v>
      </c>
      <c r="BG223" s="10" t="s">
        <v>50</v>
      </c>
      <c r="BH223" s="10" t="s">
        <v>50</v>
      </c>
      <c r="BI223" s="9">
        <v>0</v>
      </c>
      <c r="BJ223" s="9">
        <v>0</v>
      </c>
      <c r="BK223" s="9">
        <v>1</v>
      </c>
      <c r="BL223" s="9">
        <v>30</v>
      </c>
      <c r="BM223" s="9">
        <v>0</v>
      </c>
      <c r="BN223" s="9">
        <v>0</v>
      </c>
      <c r="BO223" s="9">
        <v>0</v>
      </c>
    </row>
    <row r="224" spans="1:67" s="9" customFormat="1" ht="15.75" customHeight="1" x14ac:dyDescent="0.2">
      <c r="A224" s="3">
        <f t="shared" si="3"/>
        <v>2222</v>
      </c>
      <c r="B224" s="7" t="s">
        <v>38</v>
      </c>
      <c r="C224" s="7" t="s">
        <v>424</v>
      </c>
      <c r="D224" s="28" t="s">
        <v>423</v>
      </c>
      <c r="E224" s="8" t="s">
        <v>425</v>
      </c>
      <c r="F224" s="7">
        <v>0</v>
      </c>
      <c r="G224" s="7">
        <v>300</v>
      </c>
      <c r="H224" s="7">
        <v>0</v>
      </c>
      <c r="I224" s="7">
        <v>20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35</v>
      </c>
      <c r="AN224" s="7" t="s">
        <v>2010</v>
      </c>
      <c r="AO224" s="7" t="s">
        <v>1853</v>
      </c>
      <c r="AP224" s="7">
        <v>30</v>
      </c>
      <c r="AQ224" s="7">
        <v>3</v>
      </c>
      <c r="AR224" s="9">
        <v>1300</v>
      </c>
      <c r="AS224" s="9">
        <v>10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3</v>
      </c>
      <c r="BL224" s="9">
        <v>30</v>
      </c>
      <c r="BM224">
        <v>0</v>
      </c>
      <c r="BN224">
        <v>0</v>
      </c>
      <c r="BO224" s="9">
        <v>0</v>
      </c>
    </row>
    <row r="225" spans="1:67" s="9" customFormat="1" ht="15.75" customHeight="1" x14ac:dyDescent="0.2">
      <c r="A225" s="3">
        <f t="shared" si="3"/>
        <v>2223</v>
      </c>
      <c r="B225" s="7" t="s">
        <v>387</v>
      </c>
      <c r="C225" s="7" t="s">
        <v>171</v>
      </c>
      <c r="D225" s="28" t="s">
        <v>172</v>
      </c>
      <c r="E225" s="8" t="s">
        <v>2985</v>
      </c>
      <c r="F225" s="7">
        <v>1</v>
      </c>
      <c r="G225" s="7">
        <v>300</v>
      </c>
      <c r="H225" s="7">
        <v>0</v>
      </c>
      <c r="I225" s="7">
        <v>70</v>
      </c>
      <c r="J225" s="7">
        <v>0</v>
      </c>
      <c r="K225" s="7">
        <v>1</v>
      </c>
      <c r="L225" s="7">
        <v>0</v>
      </c>
      <c r="M225" s="7">
        <v>67</v>
      </c>
      <c r="N225" s="7">
        <v>50</v>
      </c>
      <c r="O225" s="7">
        <v>20</v>
      </c>
      <c r="P225" s="7">
        <v>100</v>
      </c>
      <c r="Q225" s="7">
        <v>100</v>
      </c>
      <c r="R225" s="7">
        <v>0</v>
      </c>
      <c r="S225" s="7">
        <v>0</v>
      </c>
      <c r="T225" s="7">
        <v>80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2010</v>
      </c>
      <c r="AO225" s="7" t="s">
        <v>1853</v>
      </c>
      <c r="AP225" s="7">
        <v>30</v>
      </c>
      <c r="AQ225" s="7">
        <v>3</v>
      </c>
      <c r="AR225" s="9">
        <v>7777</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1</v>
      </c>
      <c r="BJ225" s="9">
        <v>0</v>
      </c>
      <c r="BK225" s="9">
        <v>1</v>
      </c>
      <c r="BL225" s="9">
        <v>30</v>
      </c>
      <c r="BM225">
        <v>0</v>
      </c>
      <c r="BN225">
        <v>0</v>
      </c>
      <c r="BO225" s="9">
        <v>0</v>
      </c>
    </row>
    <row r="226" spans="1:67" ht="15.75" customHeight="1" x14ac:dyDescent="0.2">
      <c r="A226" s="3">
        <f t="shared" si="3"/>
        <v>2224</v>
      </c>
      <c r="B226" s="3" t="s">
        <v>1880</v>
      </c>
      <c r="C226" s="3" t="s">
        <v>1880</v>
      </c>
      <c r="D226" s="27" t="s">
        <v>1899</v>
      </c>
      <c r="E226" s="5" t="s">
        <v>1894</v>
      </c>
      <c r="F226" s="3">
        <v>0</v>
      </c>
      <c r="G226" s="3">
        <v>300</v>
      </c>
      <c r="H226" s="3">
        <v>0</v>
      </c>
      <c r="I226" s="3">
        <v>20</v>
      </c>
      <c r="J226" s="3">
        <v>0</v>
      </c>
      <c r="K226" s="3">
        <v>1</v>
      </c>
      <c r="L226" s="3">
        <v>0</v>
      </c>
      <c r="M226" s="3">
        <v>0</v>
      </c>
      <c r="N226" s="3">
        <v>0</v>
      </c>
      <c r="O226" s="3">
        <v>0</v>
      </c>
      <c r="P226" s="3">
        <v>0</v>
      </c>
      <c r="Q226" s="3">
        <v>0</v>
      </c>
      <c r="R226" s="3">
        <v>0</v>
      </c>
      <c r="S226" s="3">
        <v>0</v>
      </c>
      <c r="T226" s="3">
        <v>0</v>
      </c>
      <c r="U226" s="3">
        <v>0</v>
      </c>
      <c r="V226" s="3">
        <v>0</v>
      </c>
      <c r="W226" s="3">
        <v>0</v>
      </c>
      <c r="X226" s="3">
        <v>0</v>
      </c>
      <c r="Y226" s="3">
        <v>20</v>
      </c>
      <c r="Z226" s="3">
        <v>0</v>
      </c>
      <c r="AA226" s="3">
        <v>0</v>
      </c>
      <c r="AB226" s="3">
        <v>0</v>
      </c>
      <c r="AC226" s="3">
        <v>0</v>
      </c>
      <c r="AD226" s="3">
        <v>0</v>
      </c>
      <c r="AE226" s="3">
        <v>0</v>
      </c>
      <c r="AF226" s="3">
        <v>0</v>
      </c>
      <c r="AG226" s="3">
        <v>0</v>
      </c>
      <c r="AH226" s="3">
        <v>0</v>
      </c>
      <c r="AI226" s="3">
        <v>0</v>
      </c>
      <c r="AJ226" s="3">
        <v>0</v>
      </c>
      <c r="AK226" s="3">
        <v>85</v>
      </c>
      <c r="AL226" s="3" t="s">
        <v>31</v>
      </c>
      <c r="AM226" s="3" t="s">
        <v>3142</v>
      </c>
      <c r="AN226" s="3" t="s">
        <v>2019</v>
      </c>
      <c r="AO226" s="3" t="s">
        <v>51</v>
      </c>
      <c r="AP226" s="3">
        <v>30</v>
      </c>
      <c r="AQ226" s="3">
        <v>1</v>
      </c>
      <c r="AR226">
        <v>100</v>
      </c>
      <c r="AS226">
        <v>10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2000</v>
      </c>
      <c r="BK226">
        <v>1</v>
      </c>
      <c r="BL226">
        <v>30</v>
      </c>
      <c r="BM226">
        <v>0</v>
      </c>
      <c r="BN226">
        <v>0</v>
      </c>
      <c r="BO226">
        <v>0</v>
      </c>
    </row>
    <row r="227" spans="1:67" ht="15.75" customHeight="1" x14ac:dyDescent="0.2">
      <c r="A227" s="3">
        <f t="shared" si="3"/>
        <v>2225</v>
      </c>
      <c r="B227" s="3" t="s">
        <v>1903</v>
      </c>
      <c r="C227" s="3" t="s">
        <v>1903</v>
      </c>
      <c r="D227" s="27" t="s">
        <v>1900</v>
      </c>
      <c r="E227" s="5" t="s">
        <v>1901</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0</v>
      </c>
      <c r="AL227" s="3" t="s">
        <v>31</v>
      </c>
      <c r="AM227" s="3" t="s">
        <v>3142</v>
      </c>
      <c r="AN227" s="3" t="s">
        <v>2019</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0</v>
      </c>
      <c r="BO227">
        <v>0</v>
      </c>
    </row>
    <row r="228" spans="1:67" ht="15.75" customHeight="1" x14ac:dyDescent="0.2">
      <c r="A228" s="3">
        <f t="shared" si="3"/>
        <v>2226</v>
      </c>
      <c r="B228" s="3" t="s">
        <v>1883</v>
      </c>
      <c r="C228" s="3" t="s">
        <v>1883</v>
      </c>
      <c r="D228" s="27" t="s">
        <v>1891</v>
      </c>
      <c r="E228" s="5" t="s">
        <v>1881</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3143</v>
      </c>
      <c r="AN228" s="3" t="s">
        <v>2019</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2001</v>
      </c>
      <c r="BK228">
        <v>1</v>
      </c>
      <c r="BL228">
        <v>30</v>
      </c>
      <c r="BM228">
        <v>0</v>
      </c>
      <c r="BN228">
        <v>0</v>
      </c>
      <c r="BO228">
        <v>0</v>
      </c>
    </row>
    <row r="229" spans="1:67" ht="15.75" customHeight="1" x14ac:dyDescent="0.2">
      <c r="A229" s="3">
        <f t="shared" si="3"/>
        <v>2227</v>
      </c>
      <c r="B229" s="3" t="s">
        <v>1884</v>
      </c>
      <c r="C229" s="3" t="s">
        <v>1884</v>
      </c>
      <c r="D229" s="27" t="s">
        <v>1892</v>
      </c>
      <c r="E229" s="5" t="s">
        <v>1882</v>
      </c>
      <c r="F229" s="3">
        <v>0</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3143</v>
      </c>
      <c r="AN229" s="3" t="s">
        <v>2019</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0</v>
      </c>
      <c r="BO229">
        <v>0</v>
      </c>
    </row>
    <row r="230" spans="1:67" ht="15.75" customHeight="1" x14ac:dyDescent="0.2">
      <c r="A230" s="3">
        <f t="shared" si="3"/>
        <v>2228</v>
      </c>
      <c r="B230" s="3" t="s">
        <v>1888</v>
      </c>
      <c r="C230" s="3" t="s">
        <v>1888</v>
      </c>
      <c r="D230" s="27" t="s">
        <v>3157</v>
      </c>
      <c r="E230" s="5" t="s">
        <v>1895</v>
      </c>
      <c r="F230" s="3">
        <v>0</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3143</v>
      </c>
      <c r="AN230" s="3" t="s">
        <v>2019</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0</v>
      </c>
      <c r="BO230">
        <v>0</v>
      </c>
    </row>
    <row r="231" spans="1:67" ht="15.75" customHeight="1" x14ac:dyDescent="0.2">
      <c r="A231" s="3">
        <f t="shared" si="3"/>
        <v>2229</v>
      </c>
      <c r="B231" s="3" t="s">
        <v>2848</v>
      </c>
      <c r="C231" s="3" t="s">
        <v>2848</v>
      </c>
      <c r="D231" s="27" t="s">
        <v>1910</v>
      </c>
      <c r="E231" s="5" t="s">
        <v>1893</v>
      </c>
      <c r="F231" s="3">
        <v>0</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35</v>
      </c>
      <c r="AN231" s="3" t="s">
        <v>2010</v>
      </c>
      <c r="AO231" s="3" t="s">
        <v>50</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0</v>
      </c>
      <c r="BO231">
        <v>0</v>
      </c>
    </row>
    <row r="232" spans="1:67" s="43" customFormat="1" ht="15.75" customHeight="1" x14ac:dyDescent="0.2">
      <c r="A232" s="40">
        <f t="shared" si="3"/>
        <v>2230</v>
      </c>
      <c r="B232" s="40" t="s">
        <v>305</v>
      </c>
      <c r="C232" s="40" t="s">
        <v>2849</v>
      </c>
      <c r="D232" s="41" t="s">
        <v>2850</v>
      </c>
      <c r="E232" s="42" t="s">
        <v>1896</v>
      </c>
      <c r="F232" s="40">
        <v>0</v>
      </c>
      <c r="G232" s="40">
        <v>300</v>
      </c>
      <c r="H232" s="40">
        <v>0</v>
      </c>
      <c r="I232" s="40">
        <v>20</v>
      </c>
      <c r="J232" s="40">
        <v>0</v>
      </c>
      <c r="K232" s="40">
        <v>1</v>
      </c>
      <c r="L232" s="40">
        <v>0</v>
      </c>
      <c r="M232" s="40">
        <v>0</v>
      </c>
      <c r="N232" s="40">
        <v>0</v>
      </c>
      <c r="O232" s="40">
        <v>0</v>
      </c>
      <c r="P232" s="40">
        <v>0</v>
      </c>
      <c r="Q232" s="40">
        <v>0</v>
      </c>
      <c r="R232" s="40">
        <v>0</v>
      </c>
      <c r="S232" s="40">
        <v>0</v>
      </c>
      <c r="T232" s="40">
        <v>0</v>
      </c>
      <c r="U232" s="40">
        <v>0</v>
      </c>
      <c r="V232" s="40">
        <v>0</v>
      </c>
      <c r="W232" s="40">
        <v>0</v>
      </c>
      <c r="X232" s="40">
        <v>0</v>
      </c>
      <c r="Y232" s="40">
        <v>20</v>
      </c>
      <c r="Z232" s="40">
        <v>0</v>
      </c>
      <c r="AA232" s="40">
        <v>0</v>
      </c>
      <c r="AB232" s="40">
        <v>0</v>
      </c>
      <c r="AC232" s="40">
        <v>0</v>
      </c>
      <c r="AD232" s="40">
        <v>0</v>
      </c>
      <c r="AE232" s="40">
        <v>0</v>
      </c>
      <c r="AF232" s="40">
        <v>0</v>
      </c>
      <c r="AG232" s="40">
        <v>0</v>
      </c>
      <c r="AH232" s="40">
        <v>0</v>
      </c>
      <c r="AI232" s="40">
        <v>0</v>
      </c>
      <c r="AJ232" s="40">
        <v>0</v>
      </c>
      <c r="AK232" s="40">
        <v>0</v>
      </c>
      <c r="AL232" s="40" t="s">
        <v>31</v>
      </c>
      <c r="AM232" s="40" t="s">
        <v>35</v>
      </c>
      <c r="AN232" s="40" t="s">
        <v>2010</v>
      </c>
      <c r="AO232" s="40" t="s">
        <v>50</v>
      </c>
      <c r="AP232" s="40">
        <v>30</v>
      </c>
      <c r="AQ232" s="40">
        <v>1</v>
      </c>
      <c r="AR232" s="43">
        <v>100</v>
      </c>
      <c r="AS232" s="43">
        <v>10</v>
      </c>
      <c r="AT232" s="44" t="s">
        <v>50</v>
      </c>
      <c r="AU232" s="44" t="s">
        <v>50</v>
      </c>
      <c r="AV232" s="44" t="s">
        <v>50</v>
      </c>
      <c r="AW232" s="44" t="s">
        <v>50</v>
      </c>
      <c r="AX232" s="44" t="s">
        <v>50</v>
      </c>
      <c r="AY232" s="44" t="s">
        <v>50</v>
      </c>
      <c r="AZ232" s="44" t="s">
        <v>50</v>
      </c>
      <c r="BA232" s="44" t="s">
        <v>50</v>
      </c>
      <c r="BB232" s="44" t="s">
        <v>50</v>
      </c>
      <c r="BC232" s="44" t="s">
        <v>50</v>
      </c>
      <c r="BD232" s="44" t="s">
        <v>50</v>
      </c>
      <c r="BE232" s="44" t="s">
        <v>50</v>
      </c>
      <c r="BF232" s="44" t="s">
        <v>50</v>
      </c>
      <c r="BG232" s="44" t="s">
        <v>50</v>
      </c>
      <c r="BH232" s="44" t="s">
        <v>50</v>
      </c>
      <c r="BI232" s="43">
        <v>1</v>
      </c>
      <c r="BJ232" s="43">
        <v>2002</v>
      </c>
      <c r="BK232" s="43">
        <v>1</v>
      </c>
      <c r="BL232" s="43">
        <v>30</v>
      </c>
      <c r="BM232" s="43">
        <v>0</v>
      </c>
      <c r="BN232" s="43">
        <v>0</v>
      </c>
      <c r="BO232" s="43">
        <v>0</v>
      </c>
    </row>
    <row r="233" spans="1:67" ht="15.75" customHeight="1" x14ac:dyDescent="0.2">
      <c r="A233" s="3">
        <f t="shared" si="3"/>
        <v>2231</v>
      </c>
      <c r="B233" s="3" t="s">
        <v>386</v>
      </c>
      <c r="C233" s="3" t="s">
        <v>173</v>
      </c>
      <c r="D233" s="27" t="s">
        <v>174</v>
      </c>
      <c r="E233" s="5" t="s">
        <v>3424</v>
      </c>
      <c r="F233" s="3">
        <v>1</v>
      </c>
      <c r="G233" s="3">
        <v>300</v>
      </c>
      <c r="H233" s="3">
        <v>0</v>
      </c>
      <c r="I233" s="3">
        <v>70</v>
      </c>
      <c r="J233" s="3">
        <v>0</v>
      </c>
      <c r="K233" s="3">
        <v>1</v>
      </c>
      <c r="L233" s="3">
        <v>0</v>
      </c>
      <c r="M233" s="3">
        <v>40</v>
      </c>
      <c r="N233" s="3">
        <v>70</v>
      </c>
      <c r="O233" s="3">
        <v>40</v>
      </c>
      <c r="P233" s="3">
        <v>0</v>
      </c>
      <c r="Q233" s="3">
        <v>100</v>
      </c>
      <c r="R233" s="3">
        <v>100</v>
      </c>
      <c r="S233" s="3">
        <v>0</v>
      </c>
      <c r="T233" s="3">
        <v>80</v>
      </c>
      <c r="U233" s="3">
        <v>0</v>
      </c>
      <c r="V233" s="3">
        <v>0</v>
      </c>
      <c r="W233" s="3">
        <v>0</v>
      </c>
      <c r="X233" s="3">
        <v>0</v>
      </c>
      <c r="Y233" s="3">
        <v>50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2010</v>
      </c>
      <c r="AO233" s="3" t="s">
        <v>1853</v>
      </c>
      <c r="AP233" s="3">
        <v>30</v>
      </c>
      <c r="AQ233" s="3">
        <v>20</v>
      </c>
      <c r="AR233">
        <v>10000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2003</v>
      </c>
      <c r="BK233">
        <v>1</v>
      </c>
      <c r="BL233">
        <v>30</v>
      </c>
      <c r="BM233">
        <v>0</v>
      </c>
      <c r="BN233">
        <v>0</v>
      </c>
      <c r="BO233">
        <v>0</v>
      </c>
    </row>
    <row r="234" spans="1:67" s="9" customFormat="1" ht="15.75" customHeight="1" x14ac:dyDescent="0.2">
      <c r="A234" s="3">
        <f t="shared" si="3"/>
        <v>2232</v>
      </c>
      <c r="B234" s="7" t="s">
        <v>305</v>
      </c>
      <c r="C234" s="7" t="s">
        <v>417</v>
      </c>
      <c r="D234" s="28" t="s">
        <v>416</v>
      </c>
      <c r="E234" s="8" t="s">
        <v>418</v>
      </c>
      <c r="F234" s="7">
        <v>1</v>
      </c>
      <c r="G234" s="7">
        <v>300</v>
      </c>
      <c r="H234" s="7">
        <v>0</v>
      </c>
      <c r="I234" s="7">
        <v>70</v>
      </c>
      <c r="J234" s="7">
        <v>0</v>
      </c>
      <c r="K234" s="7">
        <v>1</v>
      </c>
      <c r="L234" s="7">
        <v>0</v>
      </c>
      <c r="M234" s="7">
        <v>40</v>
      </c>
      <c r="N234" s="7">
        <v>70</v>
      </c>
      <c r="O234" s="7">
        <v>100</v>
      </c>
      <c r="P234" s="7">
        <v>0</v>
      </c>
      <c r="Q234" s="7">
        <v>100</v>
      </c>
      <c r="R234" s="7">
        <v>100</v>
      </c>
      <c r="S234" s="7">
        <v>0</v>
      </c>
      <c r="T234" s="7">
        <v>80</v>
      </c>
      <c r="U234" s="7">
        <v>0</v>
      </c>
      <c r="V234" s="7">
        <v>0</v>
      </c>
      <c r="W234" s="7">
        <v>0</v>
      </c>
      <c r="X234" s="7">
        <v>0</v>
      </c>
      <c r="Y234" s="7">
        <v>50</v>
      </c>
      <c r="Z234" s="7">
        <v>0</v>
      </c>
      <c r="AA234" s="7">
        <v>0</v>
      </c>
      <c r="AB234" s="7">
        <v>0</v>
      </c>
      <c r="AC234" s="7">
        <v>0</v>
      </c>
      <c r="AD234" s="7">
        <v>0</v>
      </c>
      <c r="AE234" s="7">
        <v>0</v>
      </c>
      <c r="AF234" s="7">
        <v>0</v>
      </c>
      <c r="AG234" s="7">
        <v>0</v>
      </c>
      <c r="AH234" s="7">
        <v>0</v>
      </c>
      <c r="AI234" s="7">
        <v>0</v>
      </c>
      <c r="AJ234" s="7">
        <v>0</v>
      </c>
      <c r="AK234" s="7">
        <v>0</v>
      </c>
      <c r="AL234" s="7" t="s">
        <v>31</v>
      </c>
      <c r="AM234" s="7" t="s">
        <v>35</v>
      </c>
      <c r="AN234" s="7" t="s">
        <v>2010</v>
      </c>
      <c r="AO234" s="7" t="s">
        <v>1853</v>
      </c>
      <c r="AP234" s="7">
        <v>30</v>
      </c>
      <c r="AQ234" s="7">
        <v>2</v>
      </c>
      <c r="AR234" s="9">
        <v>10000</v>
      </c>
      <c r="AS234" s="9">
        <v>10</v>
      </c>
      <c r="AT234" s="10" t="s">
        <v>50</v>
      </c>
      <c r="AU234" s="10" t="s">
        <v>50</v>
      </c>
      <c r="AV234" s="10" t="s">
        <v>50</v>
      </c>
      <c r="AW234" s="10" t="s">
        <v>50</v>
      </c>
      <c r="AX234" s="10" t="s">
        <v>50</v>
      </c>
      <c r="AY234" s="10" t="s">
        <v>50</v>
      </c>
      <c r="AZ234" s="10" t="s">
        <v>50</v>
      </c>
      <c r="BA234" s="10" t="s">
        <v>50</v>
      </c>
      <c r="BB234" s="10" t="s">
        <v>50</v>
      </c>
      <c r="BC234" s="10" t="s">
        <v>50</v>
      </c>
      <c r="BD234" s="10" t="s">
        <v>50</v>
      </c>
      <c r="BE234" s="10" t="s">
        <v>50</v>
      </c>
      <c r="BF234" s="10" t="s">
        <v>50</v>
      </c>
      <c r="BG234" s="10" t="s">
        <v>50</v>
      </c>
      <c r="BH234" s="10" t="s">
        <v>50</v>
      </c>
      <c r="BI234" s="9">
        <v>1</v>
      </c>
      <c r="BJ234" s="9">
        <v>0</v>
      </c>
      <c r="BK234" s="9">
        <v>1</v>
      </c>
      <c r="BL234" s="9">
        <v>30</v>
      </c>
      <c r="BM234">
        <v>0</v>
      </c>
      <c r="BN234">
        <v>0</v>
      </c>
      <c r="BO234" s="9">
        <v>0</v>
      </c>
    </row>
    <row r="235" spans="1:67" s="9" customFormat="1" ht="15.75" customHeight="1" x14ac:dyDescent="0.2">
      <c r="A235" s="3">
        <f t="shared" si="3"/>
        <v>2233</v>
      </c>
      <c r="B235" s="7" t="s">
        <v>305</v>
      </c>
      <c r="C235" s="7" t="s">
        <v>419</v>
      </c>
      <c r="D235" s="28" t="s">
        <v>852</v>
      </c>
      <c r="E235" s="8" t="s">
        <v>420</v>
      </c>
      <c r="F235" s="7">
        <v>1</v>
      </c>
      <c r="G235" s="7">
        <v>300</v>
      </c>
      <c r="H235" s="7">
        <v>0</v>
      </c>
      <c r="I235" s="7">
        <v>70</v>
      </c>
      <c r="J235" s="7">
        <v>0</v>
      </c>
      <c r="K235" s="7">
        <v>1</v>
      </c>
      <c r="L235" s="7">
        <v>0</v>
      </c>
      <c r="M235" s="7">
        <v>40</v>
      </c>
      <c r="N235" s="7">
        <v>70</v>
      </c>
      <c r="O235" s="7">
        <v>40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2010</v>
      </c>
      <c r="AO235" s="7" t="s">
        <v>1853</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v>0</v>
      </c>
      <c r="BN235">
        <v>0</v>
      </c>
      <c r="BO235" s="9">
        <v>0</v>
      </c>
    </row>
    <row r="236" spans="1:67" s="9" customFormat="1" ht="15.75" customHeight="1" x14ac:dyDescent="0.2">
      <c r="A236" s="3">
        <f t="shared" si="3"/>
        <v>2234</v>
      </c>
      <c r="B236" s="7" t="s">
        <v>305</v>
      </c>
      <c r="C236" s="7" t="s">
        <v>1518</v>
      </c>
      <c r="D236" s="28" t="s">
        <v>2986</v>
      </c>
      <c r="E236" s="8" t="s">
        <v>431</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2010</v>
      </c>
      <c r="AO236" s="7" t="s">
        <v>1853</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4</v>
      </c>
      <c r="BL236" s="9">
        <v>30</v>
      </c>
      <c r="BM236">
        <v>0</v>
      </c>
      <c r="BN236">
        <v>0</v>
      </c>
      <c r="BO236" s="9">
        <v>0</v>
      </c>
    </row>
    <row r="237" spans="1:67" s="9" customFormat="1" ht="15.75" customHeight="1" x14ac:dyDescent="0.2">
      <c r="A237" s="3">
        <f t="shared" si="3"/>
        <v>2235</v>
      </c>
      <c r="B237" s="7" t="s">
        <v>305</v>
      </c>
      <c r="C237" s="7" t="s">
        <v>1517</v>
      </c>
      <c r="D237" s="28" t="s">
        <v>1516</v>
      </c>
      <c r="E237" s="8" t="s">
        <v>431</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2010</v>
      </c>
      <c r="AO237" s="7" t="s">
        <v>1853</v>
      </c>
      <c r="AP237" s="7">
        <v>30</v>
      </c>
      <c r="AQ237" s="7">
        <v>2</v>
      </c>
      <c r="AR237" s="9">
        <v>10000</v>
      </c>
      <c r="AS237" s="9">
        <v>5000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v>0</v>
      </c>
      <c r="BN237">
        <v>0</v>
      </c>
      <c r="BO237" s="9">
        <v>0</v>
      </c>
    </row>
    <row r="238" spans="1:67" s="9" customFormat="1" ht="15.75" customHeight="1" x14ac:dyDescent="0.2">
      <c r="A238" s="3">
        <f t="shared" si="3"/>
        <v>2236</v>
      </c>
      <c r="B238" s="7" t="s">
        <v>305</v>
      </c>
      <c r="C238" s="7" t="s">
        <v>430</v>
      </c>
      <c r="D238" s="28" t="s">
        <v>429</v>
      </c>
      <c r="E238" s="8" t="s">
        <v>431</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2010</v>
      </c>
      <c r="AO238" s="7" t="s">
        <v>1853</v>
      </c>
      <c r="AP238" s="7">
        <v>30</v>
      </c>
      <c r="AQ238" s="7">
        <v>2</v>
      </c>
      <c r="AR238" s="9">
        <v>10000</v>
      </c>
      <c r="AS238" s="9">
        <v>5000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v>0</v>
      </c>
      <c r="BN238">
        <v>0</v>
      </c>
      <c r="BO238" s="9">
        <v>0</v>
      </c>
    </row>
    <row r="239" spans="1:67" s="9" customFormat="1" ht="15.75" customHeight="1" x14ac:dyDescent="0.2">
      <c r="A239" s="3">
        <f t="shared" si="3"/>
        <v>2237</v>
      </c>
      <c r="B239" s="7" t="s">
        <v>305</v>
      </c>
      <c r="C239" s="7" t="s">
        <v>435</v>
      </c>
      <c r="D239" s="28" t="s">
        <v>434</v>
      </c>
      <c r="E239" s="8" t="s">
        <v>1062</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2010</v>
      </c>
      <c r="AO239" s="7" t="s">
        <v>1853</v>
      </c>
      <c r="AP239" s="7">
        <v>30</v>
      </c>
      <c r="AQ239" s="7">
        <v>2</v>
      </c>
      <c r="AR239" s="9">
        <v>10000</v>
      </c>
      <c r="AS239" s="9">
        <v>5000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v>0</v>
      </c>
      <c r="BN239">
        <v>0</v>
      </c>
      <c r="BO239" s="9">
        <v>0</v>
      </c>
    </row>
    <row r="240" spans="1:67" s="9" customFormat="1" ht="15.75" customHeight="1" x14ac:dyDescent="0.2">
      <c r="A240" s="3">
        <f t="shared" si="3"/>
        <v>2238</v>
      </c>
      <c r="B240" s="7" t="s">
        <v>388</v>
      </c>
      <c r="C240" s="7" t="s">
        <v>217</v>
      </c>
      <c r="D240" s="28" t="s">
        <v>218</v>
      </c>
      <c r="E240" s="8" t="s">
        <v>219</v>
      </c>
      <c r="F240" s="7">
        <v>1</v>
      </c>
      <c r="G240" s="7">
        <v>300</v>
      </c>
      <c r="H240" s="7">
        <v>0</v>
      </c>
      <c r="I240" s="7">
        <v>20</v>
      </c>
      <c r="J240" s="7">
        <v>0</v>
      </c>
      <c r="K240" s="7">
        <v>1</v>
      </c>
      <c r="L240" s="7">
        <v>0</v>
      </c>
      <c r="M240" s="7">
        <v>40</v>
      </c>
      <c r="N240" s="7">
        <v>12</v>
      </c>
      <c r="O240" s="7">
        <v>0</v>
      </c>
      <c r="P240" s="7">
        <v>0</v>
      </c>
      <c r="Q240" s="7">
        <v>30</v>
      </c>
      <c r="R240" s="7">
        <v>10</v>
      </c>
      <c r="S240" s="7">
        <v>10</v>
      </c>
      <c r="T240" s="7">
        <v>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75</v>
      </c>
      <c r="AL240" s="7" t="s">
        <v>31</v>
      </c>
      <c r="AM240" s="7" t="s">
        <v>35</v>
      </c>
      <c r="AN240" s="7" t="s">
        <v>2021</v>
      </c>
      <c r="AO240" s="7" t="s">
        <v>1853</v>
      </c>
      <c r="AP240" s="7">
        <v>30</v>
      </c>
      <c r="AQ240" s="7">
        <v>2</v>
      </c>
      <c r="AR240" s="9">
        <v>10000</v>
      </c>
      <c r="AS240" s="9">
        <v>3200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v>0</v>
      </c>
      <c r="BN240">
        <v>0</v>
      </c>
      <c r="BO240" s="9">
        <v>0</v>
      </c>
    </row>
    <row r="241" spans="1:67" s="9" customFormat="1" ht="15.75" customHeight="1" x14ac:dyDescent="0.2">
      <c r="A241" s="3">
        <f t="shared" si="3"/>
        <v>2239</v>
      </c>
      <c r="B241" s="7" t="s">
        <v>38</v>
      </c>
      <c r="C241" s="7" t="s">
        <v>63</v>
      </c>
      <c r="D241" s="28" t="s">
        <v>39</v>
      </c>
      <c r="E241" s="8" t="s">
        <v>134</v>
      </c>
      <c r="F241" s="7">
        <v>0</v>
      </c>
      <c r="G241" s="7">
        <v>300</v>
      </c>
      <c r="H241" s="7">
        <v>0</v>
      </c>
      <c r="I241" s="7">
        <v>20</v>
      </c>
      <c r="J241" s="7">
        <v>0</v>
      </c>
      <c r="K241" s="7">
        <v>1</v>
      </c>
      <c r="L241" s="7">
        <v>0</v>
      </c>
      <c r="M241" s="7">
        <v>0</v>
      </c>
      <c r="N241" s="7">
        <v>0</v>
      </c>
      <c r="O241" s="7">
        <v>0</v>
      </c>
      <c r="P241" s="7">
        <v>0</v>
      </c>
      <c r="Q241" s="7">
        <v>0</v>
      </c>
      <c r="R241" s="7">
        <v>0</v>
      </c>
      <c r="S241" s="7">
        <v>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2010</v>
      </c>
      <c r="AO241" s="7" t="s">
        <v>1853</v>
      </c>
      <c r="AP241" s="7">
        <v>30</v>
      </c>
      <c r="AQ241" s="7">
        <v>2</v>
      </c>
      <c r="AR241" s="9">
        <v>1300</v>
      </c>
      <c r="AS241" s="9">
        <v>10</v>
      </c>
      <c r="AT241" s="10" t="s">
        <v>150</v>
      </c>
      <c r="AU241" s="10" t="s">
        <v>150</v>
      </c>
      <c r="AV241" s="10" t="s">
        <v>150</v>
      </c>
      <c r="AW241" s="10" t="s">
        <v>150</v>
      </c>
      <c r="AX241" s="10" t="s">
        <v>150</v>
      </c>
      <c r="AY241" s="10" t="s">
        <v>150</v>
      </c>
      <c r="AZ241" s="10" t="s">
        <v>150</v>
      </c>
      <c r="BA241" s="10" t="s">
        <v>150</v>
      </c>
      <c r="BB241" s="10" t="s">
        <v>150</v>
      </c>
      <c r="BC241" s="10" t="s">
        <v>150</v>
      </c>
      <c r="BD241" s="10" t="s">
        <v>50</v>
      </c>
      <c r="BE241" s="10" t="s">
        <v>50</v>
      </c>
      <c r="BF241" s="10" t="s">
        <v>50</v>
      </c>
      <c r="BG241" s="10" t="s">
        <v>50</v>
      </c>
      <c r="BH241" s="10" t="s">
        <v>50</v>
      </c>
      <c r="BI241" s="9">
        <v>0</v>
      </c>
      <c r="BJ241" s="9">
        <v>0</v>
      </c>
      <c r="BK241" s="9">
        <v>1</v>
      </c>
      <c r="BL241" s="9">
        <v>30</v>
      </c>
      <c r="BM241">
        <v>0</v>
      </c>
      <c r="BN241">
        <v>0</v>
      </c>
      <c r="BO241" s="9">
        <v>0</v>
      </c>
    </row>
    <row r="242" spans="1:67" s="9" customFormat="1" ht="15.75" customHeight="1" x14ac:dyDescent="0.2">
      <c r="A242" s="3">
        <f t="shared" si="3"/>
        <v>2240</v>
      </c>
      <c r="B242" s="7" t="s">
        <v>38</v>
      </c>
      <c r="C242" s="7" t="s">
        <v>38</v>
      </c>
      <c r="D242" s="28" t="s">
        <v>40</v>
      </c>
      <c r="E242" s="8" t="s">
        <v>139</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2010</v>
      </c>
      <c r="AO242" s="7" t="s">
        <v>1853</v>
      </c>
      <c r="AP242" s="7">
        <v>30</v>
      </c>
      <c r="AQ242" s="7">
        <v>2</v>
      </c>
      <c r="AR242" s="9">
        <v>1500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v>0</v>
      </c>
      <c r="BN242">
        <v>0</v>
      </c>
      <c r="BO242" s="9">
        <v>0</v>
      </c>
    </row>
    <row r="243" spans="1:67" s="23" customFormat="1" ht="15.75" customHeight="1" x14ac:dyDescent="0.2">
      <c r="A243" s="21">
        <f t="shared" si="3"/>
        <v>2241</v>
      </c>
      <c r="B243" s="21" t="s">
        <v>2057</v>
      </c>
      <c r="C243" s="21" t="s">
        <v>2293</v>
      </c>
      <c r="D243" s="22" t="s">
        <v>2296</v>
      </c>
      <c r="E243" s="22" t="s">
        <v>2292</v>
      </c>
      <c r="F243" s="21">
        <v>0</v>
      </c>
      <c r="G243" s="21">
        <v>300</v>
      </c>
      <c r="H243" s="21">
        <v>0</v>
      </c>
      <c r="I243" s="21">
        <v>20</v>
      </c>
      <c r="J243" s="21">
        <v>150</v>
      </c>
      <c r="K243" s="21">
        <v>1</v>
      </c>
      <c r="L243" s="21">
        <v>0</v>
      </c>
      <c r="M243" s="21">
        <v>0</v>
      </c>
      <c r="N243" s="21">
        <v>0</v>
      </c>
      <c r="O243" s="21">
        <v>0</v>
      </c>
      <c r="P243" s="21">
        <v>0</v>
      </c>
      <c r="Q243" s="21">
        <v>0</v>
      </c>
      <c r="R243" s="21">
        <v>0</v>
      </c>
      <c r="S243" s="21">
        <v>0</v>
      </c>
      <c r="T243" s="21">
        <v>0</v>
      </c>
      <c r="U243" s="21">
        <v>0</v>
      </c>
      <c r="V243" s="21">
        <v>0</v>
      </c>
      <c r="W243" s="21">
        <v>0</v>
      </c>
      <c r="X243" s="21">
        <v>0</v>
      </c>
      <c r="Y243" s="21">
        <v>0</v>
      </c>
      <c r="Z243" s="21">
        <v>0</v>
      </c>
      <c r="AA243" s="21">
        <v>0</v>
      </c>
      <c r="AB243" s="21">
        <v>0</v>
      </c>
      <c r="AC243" s="21">
        <v>0</v>
      </c>
      <c r="AD243" s="21">
        <v>0</v>
      </c>
      <c r="AE243" s="21">
        <v>0</v>
      </c>
      <c r="AF243" s="21">
        <v>0</v>
      </c>
      <c r="AG243" s="21">
        <v>0</v>
      </c>
      <c r="AH243" s="21">
        <v>0</v>
      </c>
      <c r="AI243" s="21">
        <v>0</v>
      </c>
      <c r="AJ243" s="21">
        <v>0</v>
      </c>
      <c r="AK243" s="21">
        <v>0</v>
      </c>
      <c r="AL243" s="21" t="s">
        <v>31</v>
      </c>
      <c r="AM243" s="21" t="s">
        <v>48</v>
      </c>
      <c r="AN243" s="21" t="s">
        <v>2022</v>
      </c>
      <c r="AO243" s="21" t="s">
        <v>50</v>
      </c>
      <c r="AP243" s="21">
        <v>30</v>
      </c>
      <c r="AQ243" s="21">
        <v>20</v>
      </c>
      <c r="AR243" s="23">
        <v>1500</v>
      </c>
      <c r="AS243" s="23">
        <v>1200</v>
      </c>
      <c r="AT243" s="24" t="s">
        <v>50</v>
      </c>
      <c r="AU243" s="24" t="s">
        <v>50</v>
      </c>
      <c r="AV243" s="24" t="s">
        <v>50</v>
      </c>
      <c r="AW243" s="24" t="s">
        <v>50</v>
      </c>
      <c r="AX243" s="24" t="s">
        <v>50</v>
      </c>
      <c r="AY243" s="24" t="s">
        <v>50</v>
      </c>
      <c r="AZ243" s="24" t="s">
        <v>50</v>
      </c>
      <c r="BA243" s="24" t="s">
        <v>50</v>
      </c>
      <c r="BB243" s="24" t="s">
        <v>50</v>
      </c>
      <c r="BC243" s="24" t="s">
        <v>50</v>
      </c>
      <c r="BD243" s="24" t="s">
        <v>50</v>
      </c>
      <c r="BE243" s="24" t="s">
        <v>50</v>
      </c>
      <c r="BF243" s="24" t="s">
        <v>50</v>
      </c>
      <c r="BG243" s="24" t="s">
        <v>50</v>
      </c>
      <c r="BH243" s="24" t="s">
        <v>50</v>
      </c>
      <c r="BI243" s="23">
        <v>0</v>
      </c>
      <c r="BJ243" s="23">
        <v>0</v>
      </c>
      <c r="BK243" s="23">
        <v>1</v>
      </c>
      <c r="BL243" s="23">
        <v>30</v>
      </c>
      <c r="BM243">
        <v>0</v>
      </c>
      <c r="BN243">
        <v>0</v>
      </c>
      <c r="BO243" s="23">
        <v>0</v>
      </c>
    </row>
    <row r="244" spans="1:67" ht="15.75" customHeight="1" x14ac:dyDescent="0.2">
      <c r="A244" s="3">
        <f t="shared" si="3"/>
        <v>2242</v>
      </c>
      <c r="B244" s="3" t="s">
        <v>2057</v>
      </c>
      <c r="C244" s="3" t="s">
        <v>2057</v>
      </c>
      <c r="D244" s="4" t="s">
        <v>2056</v>
      </c>
      <c r="E244" s="4" t="s">
        <v>2133</v>
      </c>
      <c r="F244" s="3">
        <v>1</v>
      </c>
      <c r="G244" s="3">
        <v>300</v>
      </c>
      <c r="H244" s="3">
        <v>0</v>
      </c>
      <c r="I244" s="3">
        <v>20</v>
      </c>
      <c r="J244" s="3">
        <v>150</v>
      </c>
      <c r="K244" s="3">
        <v>1</v>
      </c>
      <c r="L244" s="3">
        <v>0</v>
      </c>
      <c r="M244" s="3">
        <v>20</v>
      </c>
      <c r="N244" s="3">
        <v>20</v>
      </c>
      <c r="O244" s="3">
        <v>0</v>
      </c>
      <c r="P244" s="3">
        <v>0</v>
      </c>
      <c r="Q244" s="3">
        <v>0</v>
      </c>
      <c r="R244" s="3">
        <v>30</v>
      </c>
      <c r="S244" s="3">
        <v>30</v>
      </c>
      <c r="T244" s="3">
        <v>0</v>
      </c>
      <c r="U244" s="3">
        <v>0</v>
      </c>
      <c r="V244" s="3">
        <v>0</v>
      </c>
      <c r="W244" s="3">
        <v>0</v>
      </c>
      <c r="X244" s="3">
        <v>0</v>
      </c>
      <c r="Y244" s="3">
        <v>50</v>
      </c>
      <c r="Z244" s="3">
        <v>0</v>
      </c>
      <c r="AA244" s="3">
        <v>0</v>
      </c>
      <c r="AB244" s="3">
        <v>0</v>
      </c>
      <c r="AC244" s="3">
        <v>0</v>
      </c>
      <c r="AD244" s="3">
        <v>0</v>
      </c>
      <c r="AE244" s="3">
        <v>10</v>
      </c>
      <c r="AF244" s="3">
        <v>0</v>
      </c>
      <c r="AG244" s="3">
        <v>5</v>
      </c>
      <c r="AH244" s="3">
        <v>5</v>
      </c>
      <c r="AI244" s="3">
        <v>0</v>
      </c>
      <c r="AJ244" s="3">
        <v>0</v>
      </c>
      <c r="AK244" s="3">
        <v>0</v>
      </c>
      <c r="AL244" s="3" t="s">
        <v>31</v>
      </c>
      <c r="AM244" s="3" t="s">
        <v>48</v>
      </c>
      <c r="AN244" s="3" t="s">
        <v>2022</v>
      </c>
      <c r="AO244" s="3" t="s">
        <v>1853</v>
      </c>
      <c r="AP244" s="3">
        <v>30</v>
      </c>
      <c r="AQ244" s="3">
        <v>2</v>
      </c>
      <c r="AR244">
        <v>1500</v>
      </c>
      <c r="AS244">
        <v>1200</v>
      </c>
      <c r="AT244" s="6" t="s">
        <v>50</v>
      </c>
      <c r="AU244" s="6" t="s">
        <v>150</v>
      </c>
      <c r="AV244" s="6" t="s">
        <v>150</v>
      </c>
      <c r="AW244" s="6" t="s">
        <v>150</v>
      </c>
      <c r="AX244" s="6" t="s">
        <v>150</v>
      </c>
      <c r="AY244" s="6" t="s">
        <v>150</v>
      </c>
      <c r="AZ244" s="6" t="s">
        <v>150</v>
      </c>
      <c r="BA244" s="6" t="s">
        <v>150</v>
      </c>
      <c r="BB244" s="6" t="s">
        <v>150</v>
      </c>
      <c r="BC244" s="6" t="s">
        <v>150</v>
      </c>
      <c r="BD244" s="6" t="s">
        <v>50</v>
      </c>
      <c r="BE244" s="6" t="s">
        <v>50</v>
      </c>
      <c r="BF244" s="6" t="s">
        <v>50</v>
      </c>
      <c r="BG244" s="6" t="s">
        <v>50</v>
      </c>
      <c r="BH244" s="6" t="s">
        <v>50</v>
      </c>
      <c r="BI244">
        <v>1</v>
      </c>
      <c r="BJ244">
        <v>1700</v>
      </c>
      <c r="BK244">
        <v>3</v>
      </c>
      <c r="BL244">
        <v>30</v>
      </c>
      <c r="BM244">
        <v>0</v>
      </c>
      <c r="BN244">
        <v>0</v>
      </c>
      <c r="BO244">
        <v>0</v>
      </c>
    </row>
    <row r="245" spans="1:67" s="32" customFormat="1" ht="15.75" customHeight="1" x14ac:dyDescent="0.2">
      <c r="A245" s="30">
        <f t="shared" si="3"/>
        <v>2243</v>
      </c>
      <c r="B245" s="30" t="s">
        <v>2093</v>
      </c>
      <c r="C245" s="30" t="s">
        <v>2062</v>
      </c>
      <c r="D245" s="31" t="s">
        <v>2095</v>
      </c>
      <c r="E245" s="31" t="s">
        <v>2134</v>
      </c>
      <c r="F245" s="30">
        <v>1</v>
      </c>
      <c r="G245" s="30">
        <v>300</v>
      </c>
      <c r="H245" s="30">
        <v>0</v>
      </c>
      <c r="I245" s="30">
        <v>20</v>
      </c>
      <c r="J245" s="30">
        <v>150</v>
      </c>
      <c r="K245" s="30">
        <v>1</v>
      </c>
      <c r="L245" s="30">
        <v>0</v>
      </c>
      <c r="M245" s="30">
        <v>20</v>
      </c>
      <c r="N245" s="30">
        <v>20</v>
      </c>
      <c r="O245" s="30">
        <v>0</v>
      </c>
      <c r="P245" s="30">
        <v>0</v>
      </c>
      <c r="Q245" s="30">
        <v>0</v>
      </c>
      <c r="R245" s="30">
        <v>30</v>
      </c>
      <c r="S245" s="30">
        <v>30</v>
      </c>
      <c r="T245" s="30">
        <v>0</v>
      </c>
      <c r="U245" s="30">
        <v>0</v>
      </c>
      <c r="V245" s="30">
        <v>0</v>
      </c>
      <c r="W245" s="30">
        <v>0</v>
      </c>
      <c r="X245" s="30">
        <v>0</v>
      </c>
      <c r="Y245" s="30">
        <v>50</v>
      </c>
      <c r="Z245" s="30">
        <v>0</v>
      </c>
      <c r="AA245" s="30">
        <v>0</v>
      </c>
      <c r="AB245" s="30">
        <v>0</v>
      </c>
      <c r="AC245" s="30">
        <v>0</v>
      </c>
      <c r="AD245" s="30">
        <v>0</v>
      </c>
      <c r="AE245" s="30">
        <v>0</v>
      </c>
      <c r="AF245" s="30">
        <v>0</v>
      </c>
      <c r="AG245" s="30">
        <v>0</v>
      </c>
      <c r="AH245" s="30">
        <v>0</v>
      </c>
      <c r="AI245" s="30">
        <v>0</v>
      </c>
      <c r="AJ245" s="30">
        <v>0</v>
      </c>
      <c r="AK245" s="30">
        <v>20</v>
      </c>
      <c r="AL245" s="30" t="s">
        <v>31</v>
      </c>
      <c r="AM245" s="30" t="s">
        <v>48</v>
      </c>
      <c r="AN245" s="30" t="s">
        <v>2063</v>
      </c>
      <c r="AO245" s="30" t="s">
        <v>51</v>
      </c>
      <c r="AP245" s="30">
        <v>30</v>
      </c>
      <c r="AQ245" s="30">
        <v>2.2000000000000002</v>
      </c>
      <c r="AR245" s="32">
        <v>1500</v>
      </c>
      <c r="AS245" s="32">
        <v>1200</v>
      </c>
      <c r="AT245" s="33" t="s">
        <v>50</v>
      </c>
      <c r="AU245" s="33" t="s">
        <v>50</v>
      </c>
      <c r="AV245" s="33" t="s">
        <v>50</v>
      </c>
      <c r="AW245" s="33" t="s">
        <v>50</v>
      </c>
      <c r="AX245" s="33" t="s">
        <v>50</v>
      </c>
      <c r="AY245" s="33" t="s">
        <v>50</v>
      </c>
      <c r="AZ245" s="33" t="s">
        <v>50</v>
      </c>
      <c r="BA245" s="33" t="s">
        <v>50</v>
      </c>
      <c r="BB245" s="33" t="s">
        <v>50</v>
      </c>
      <c r="BC245" s="33" t="s">
        <v>50</v>
      </c>
      <c r="BD245" s="33" t="s">
        <v>50</v>
      </c>
      <c r="BE245" s="33" t="s">
        <v>50</v>
      </c>
      <c r="BF245" s="33" t="s">
        <v>50</v>
      </c>
      <c r="BG245" s="33" t="s">
        <v>50</v>
      </c>
      <c r="BH245" s="33" t="s">
        <v>50</v>
      </c>
      <c r="BI245" s="32">
        <v>0</v>
      </c>
      <c r="BJ245" s="32">
        <v>0</v>
      </c>
      <c r="BK245" s="32">
        <v>1</v>
      </c>
      <c r="BL245" s="32">
        <v>30</v>
      </c>
      <c r="BM245" s="32">
        <v>1</v>
      </c>
      <c r="BN245" s="32">
        <v>0</v>
      </c>
      <c r="BO245" s="32">
        <v>0</v>
      </c>
    </row>
    <row r="246" spans="1:67" s="32" customFormat="1" ht="15.75" customHeight="1" x14ac:dyDescent="0.2">
      <c r="A246" s="30">
        <f t="shared" si="3"/>
        <v>2244</v>
      </c>
      <c r="B246" s="30" t="s">
        <v>2093</v>
      </c>
      <c r="C246" s="30" t="s">
        <v>2100</v>
      </c>
      <c r="D246" s="31" t="s">
        <v>2101</v>
      </c>
      <c r="E246" s="31" t="s">
        <v>2102</v>
      </c>
      <c r="F246" s="30">
        <v>1</v>
      </c>
      <c r="G246" s="30">
        <v>300</v>
      </c>
      <c r="H246" s="30">
        <v>0</v>
      </c>
      <c r="I246" s="30">
        <v>20</v>
      </c>
      <c r="J246" s="30">
        <v>150</v>
      </c>
      <c r="K246" s="30">
        <v>1</v>
      </c>
      <c r="L246" s="30">
        <v>0</v>
      </c>
      <c r="M246" s="30">
        <v>20</v>
      </c>
      <c r="N246" s="30">
        <v>20</v>
      </c>
      <c r="O246" s="30">
        <v>0</v>
      </c>
      <c r="P246" s="30">
        <v>0</v>
      </c>
      <c r="Q246" s="30">
        <v>0</v>
      </c>
      <c r="R246" s="30">
        <v>30</v>
      </c>
      <c r="S246" s="30">
        <v>30</v>
      </c>
      <c r="T246" s="30">
        <v>0</v>
      </c>
      <c r="U246" s="30">
        <v>0</v>
      </c>
      <c r="V246" s="30">
        <v>0</v>
      </c>
      <c r="W246" s="30">
        <v>0</v>
      </c>
      <c r="X246" s="30">
        <v>0</v>
      </c>
      <c r="Y246" s="30">
        <v>50</v>
      </c>
      <c r="Z246" s="30">
        <v>0</v>
      </c>
      <c r="AA246" s="30">
        <v>0</v>
      </c>
      <c r="AB246" s="30">
        <v>0</v>
      </c>
      <c r="AC246" s="30">
        <v>0</v>
      </c>
      <c r="AD246" s="30">
        <v>0</v>
      </c>
      <c r="AE246" s="30">
        <v>0</v>
      </c>
      <c r="AF246" s="30">
        <v>0</v>
      </c>
      <c r="AG246" s="30">
        <v>0</v>
      </c>
      <c r="AH246" s="30">
        <v>0</v>
      </c>
      <c r="AI246" s="30">
        <v>0</v>
      </c>
      <c r="AJ246" s="30">
        <v>0</v>
      </c>
      <c r="AK246" s="30">
        <v>0</v>
      </c>
      <c r="AL246" s="30" t="s">
        <v>31</v>
      </c>
      <c r="AM246" s="30" t="s">
        <v>48</v>
      </c>
      <c r="AN246" s="30" t="s">
        <v>2063</v>
      </c>
      <c r="AO246" s="30" t="s">
        <v>51</v>
      </c>
      <c r="AP246" s="30">
        <v>30</v>
      </c>
      <c r="AQ246" s="30">
        <v>2.2000000000000002</v>
      </c>
      <c r="AR246" s="32">
        <v>1500</v>
      </c>
      <c r="AS246" s="32">
        <v>1200</v>
      </c>
      <c r="AT246" s="33" t="s">
        <v>50</v>
      </c>
      <c r="AU246" s="33" t="s">
        <v>50</v>
      </c>
      <c r="AV246" s="33" t="s">
        <v>50</v>
      </c>
      <c r="AW246" s="33" t="s">
        <v>50</v>
      </c>
      <c r="AX246" s="33" t="s">
        <v>50</v>
      </c>
      <c r="AY246" s="33" t="s">
        <v>50</v>
      </c>
      <c r="AZ246" s="33" t="s">
        <v>50</v>
      </c>
      <c r="BA246" s="33" t="s">
        <v>50</v>
      </c>
      <c r="BB246" s="33" t="s">
        <v>50</v>
      </c>
      <c r="BC246" s="33" t="s">
        <v>50</v>
      </c>
      <c r="BD246" s="33" t="s">
        <v>50</v>
      </c>
      <c r="BE246" s="33" t="s">
        <v>50</v>
      </c>
      <c r="BF246" s="33" t="s">
        <v>50</v>
      </c>
      <c r="BG246" s="33" t="s">
        <v>50</v>
      </c>
      <c r="BH246" s="33" t="s">
        <v>50</v>
      </c>
      <c r="BI246" s="32">
        <v>0</v>
      </c>
      <c r="BJ246" s="32">
        <v>0</v>
      </c>
      <c r="BK246" s="32">
        <v>1</v>
      </c>
      <c r="BL246" s="32">
        <v>30</v>
      </c>
      <c r="BM246" s="32">
        <v>1</v>
      </c>
      <c r="BN246" s="32">
        <v>0</v>
      </c>
      <c r="BO246" s="32">
        <v>0</v>
      </c>
    </row>
    <row r="247" spans="1:67" ht="15.75" customHeight="1" x14ac:dyDescent="0.2">
      <c r="A247" s="3">
        <f t="shared" si="3"/>
        <v>2245</v>
      </c>
      <c r="B247" s="3" t="s">
        <v>2094</v>
      </c>
      <c r="C247" s="3" t="s">
        <v>2728</v>
      </c>
      <c r="D247" s="4" t="s">
        <v>2105</v>
      </c>
      <c r="E247" s="4" t="s">
        <v>2135</v>
      </c>
      <c r="F247" s="3">
        <v>1</v>
      </c>
      <c r="G247" s="3">
        <v>300</v>
      </c>
      <c r="H247" s="3">
        <v>0</v>
      </c>
      <c r="I247" s="3">
        <v>20</v>
      </c>
      <c r="J247" s="3">
        <v>150</v>
      </c>
      <c r="K247" s="3">
        <v>1</v>
      </c>
      <c r="L247" s="3">
        <v>0</v>
      </c>
      <c r="M247" s="3">
        <v>20</v>
      </c>
      <c r="N247" s="3">
        <v>20</v>
      </c>
      <c r="O247" s="3">
        <v>0</v>
      </c>
      <c r="P247" s="3">
        <v>0</v>
      </c>
      <c r="Q247" s="3">
        <v>0</v>
      </c>
      <c r="R247" s="3">
        <v>30</v>
      </c>
      <c r="S247" s="3">
        <v>30</v>
      </c>
      <c r="T247" s="3">
        <v>0</v>
      </c>
      <c r="U247" s="3">
        <v>0</v>
      </c>
      <c r="V247" s="3">
        <v>0</v>
      </c>
      <c r="W247" s="3">
        <v>0</v>
      </c>
      <c r="X247" s="3">
        <v>0</v>
      </c>
      <c r="Y247" s="3">
        <v>50</v>
      </c>
      <c r="Z247" s="3">
        <v>0</v>
      </c>
      <c r="AA247" s="3">
        <v>50</v>
      </c>
      <c r="AB247" s="3">
        <v>0</v>
      </c>
      <c r="AC247" s="3">
        <v>0</v>
      </c>
      <c r="AD247" s="3">
        <v>0</v>
      </c>
      <c r="AE247" s="3">
        <v>10</v>
      </c>
      <c r="AF247" s="3">
        <v>0</v>
      </c>
      <c r="AG247" s="3">
        <v>5</v>
      </c>
      <c r="AH247" s="3">
        <v>50</v>
      </c>
      <c r="AI247" s="3">
        <v>0</v>
      </c>
      <c r="AJ247" s="3">
        <v>0</v>
      </c>
      <c r="AK247" s="3">
        <v>0</v>
      </c>
      <c r="AL247" s="3" t="s">
        <v>31</v>
      </c>
      <c r="AM247" s="3" t="s">
        <v>48</v>
      </c>
      <c r="AN247" s="3" t="s">
        <v>2063</v>
      </c>
      <c r="AO247" s="3" t="s">
        <v>50</v>
      </c>
      <c r="AP247" s="3">
        <v>30</v>
      </c>
      <c r="AQ247" s="3">
        <v>2.2000000000000002</v>
      </c>
      <c r="AR247">
        <v>1500</v>
      </c>
      <c r="AS247">
        <v>1200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1710</v>
      </c>
      <c r="BK247">
        <v>3</v>
      </c>
      <c r="BL247">
        <v>30</v>
      </c>
      <c r="BM247">
        <v>1</v>
      </c>
      <c r="BN247">
        <v>0</v>
      </c>
      <c r="BO247">
        <v>0</v>
      </c>
    </row>
    <row r="248" spans="1:67" ht="15.75" customHeight="1" x14ac:dyDescent="0.2">
      <c r="A248" s="3">
        <f t="shared" si="3"/>
        <v>2246</v>
      </c>
      <c r="B248" s="3" t="s">
        <v>3013</v>
      </c>
      <c r="C248" s="3" t="s">
        <v>2069</v>
      </c>
      <c r="D248" s="4" t="s">
        <v>2068</v>
      </c>
      <c r="E248" s="4" t="s">
        <v>2131</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50</v>
      </c>
      <c r="Z248" s="3">
        <v>0</v>
      </c>
      <c r="AA248" s="3">
        <v>0</v>
      </c>
      <c r="AB248" s="3">
        <v>0</v>
      </c>
      <c r="AC248" s="3">
        <v>0</v>
      </c>
      <c r="AD248" s="3">
        <v>0</v>
      </c>
      <c r="AE248" s="3">
        <v>20</v>
      </c>
      <c r="AF248" s="3">
        <v>0</v>
      </c>
      <c r="AG248" s="3">
        <v>5</v>
      </c>
      <c r="AH248" s="3">
        <v>10</v>
      </c>
      <c r="AI248" s="3">
        <v>0</v>
      </c>
      <c r="AJ248" s="3">
        <v>0</v>
      </c>
      <c r="AK248" s="3">
        <v>0</v>
      </c>
      <c r="AL248" s="3" t="s">
        <v>31</v>
      </c>
      <c r="AM248" s="3" t="s">
        <v>48</v>
      </c>
      <c r="AN248" s="3" t="s">
        <v>2860</v>
      </c>
      <c r="AO248" s="3" t="s">
        <v>50</v>
      </c>
      <c r="AP248" s="3">
        <v>30</v>
      </c>
      <c r="AQ248" s="3">
        <v>2.2000000000000002</v>
      </c>
      <c r="AR248">
        <v>1500</v>
      </c>
      <c r="AS248">
        <v>1200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1711</v>
      </c>
      <c r="BK248">
        <v>3</v>
      </c>
      <c r="BL248">
        <v>30</v>
      </c>
      <c r="BM248">
        <v>0</v>
      </c>
      <c r="BN248">
        <v>0</v>
      </c>
      <c r="BO248">
        <v>0</v>
      </c>
    </row>
    <row r="249" spans="1:67" ht="15.75" customHeight="1" x14ac:dyDescent="0.2">
      <c r="A249" s="3">
        <f t="shared" si="3"/>
        <v>2247</v>
      </c>
      <c r="B249" s="3" t="s">
        <v>3014</v>
      </c>
      <c r="C249" s="3" t="s">
        <v>2129</v>
      </c>
      <c r="D249" s="4" t="s">
        <v>2127</v>
      </c>
      <c r="E249" s="4" t="s">
        <v>2132</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50</v>
      </c>
      <c r="Z249" s="3">
        <v>0</v>
      </c>
      <c r="AA249" s="3">
        <v>0</v>
      </c>
      <c r="AB249" s="3">
        <v>0</v>
      </c>
      <c r="AC249" s="3">
        <v>40</v>
      </c>
      <c r="AD249" s="3">
        <v>0</v>
      </c>
      <c r="AE249" s="3">
        <v>0</v>
      </c>
      <c r="AF249" s="3">
        <v>20</v>
      </c>
      <c r="AG249" s="3">
        <v>10</v>
      </c>
      <c r="AH249" s="3">
        <v>10</v>
      </c>
      <c r="AI249" s="3">
        <v>0</v>
      </c>
      <c r="AJ249" s="3">
        <v>0</v>
      </c>
      <c r="AK249" s="3">
        <v>0</v>
      </c>
      <c r="AL249" s="3" t="s">
        <v>31</v>
      </c>
      <c r="AM249" s="3" t="s">
        <v>48</v>
      </c>
      <c r="AN249" s="3" t="s">
        <v>2859</v>
      </c>
      <c r="AO249" s="3" t="s">
        <v>50</v>
      </c>
      <c r="AP249" s="3">
        <v>30</v>
      </c>
      <c r="AQ249" s="3">
        <v>2.2000000000000002</v>
      </c>
      <c r="AR249">
        <v>1500</v>
      </c>
      <c r="AS249">
        <v>1200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1712</v>
      </c>
      <c r="BK249">
        <v>3</v>
      </c>
      <c r="BL249">
        <v>30</v>
      </c>
      <c r="BM249">
        <v>0</v>
      </c>
      <c r="BN249">
        <v>0</v>
      </c>
      <c r="BO249">
        <v>0</v>
      </c>
    </row>
    <row r="250" spans="1:67" s="9" customFormat="1" ht="15.75" customHeight="1" x14ac:dyDescent="0.2">
      <c r="A250" s="7">
        <f t="shared" si="3"/>
        <v>2248</v>
      </c>
      <c r="B250" s="7" t="s">
        <v>2057</v>
      </c>
      <c r="C250" s="7" t="s">
        <v>2130</v>
      </c>
      <c r="D250" s="11" t="s">
        <v>2128</v>
      </c>
      <c r="E250" s="11" t="s">
        <v>2141</v>
      </c>
      <c r="F250" s="7">
        <v>1</v>
      </c>
      <c r="G250" s="7">
        <v>300</v>
      </c>
      <c r="H250" s="7">
        <v>0</v>
      </c>
      <c r="I250" s="7">
        <v>20</v>
      </c>
      <c r="J250" s="7">
        <v>150</v>
      </c>
      <c r="K250" s="7">
        <v>1</v>
      </c>
      <c r="L250" s="7">
        <v>0</v>
      </c>
      <c r="M250" s="7">
        <v>20</v>
      </c>
      <c r="N250" s="7">
        <v>20</v>
      </c>
      <c r="O250" s="7">
        <v>0</v>
      </c>
      <c r="P250" s="7">
        <v>0</v>
      </c>
      <c r="Q250" s="7">
        <v>0</v>
      </c>
      <c r="R250" s="7">
        <v>30</v>
      </c>
      <c r="S250" s="7">
        <v>30</v>
      </c>
      <c r="T250" s="7">
        <v>0</v>
      </c>
      <c r="U250" s="7">
        <v>0</v>
      </c>
      <c r="V250" s="7">
        <v>0</v>
      </c>
      <c r="W250" s="7">
        <v>0</v>
      </c>
      <c r="X250" s="7">
        <v>0</v>
      </c>
      <c r="Y250" s="7">
        <v>50</v>
      </c>
      <c r="Z250" s="7">
        <v>0</v>
      </c>
      <c r="AA250" s="7">
        <v>0</v>
      </c>
      <c r="AB250" s="7">
        <v>0</v>
      </c>
      <c r="AC250" s="7">
        <v>0</v>
      </c>
      <c r="AD250" s="7">
        <v>0</v>
      </c>
      <c r="AE250" s="7">
        <v>0</v>
      </c>
      <c r="AF250" s="7">
        <v>0</v>
      </c>
      <c r="AG250" s="7">
        <v>0</v>
      </c>
      <c r="AH250" s="7">
        <v>0</v>
      </c>
      <c r="AI250" s="7">
        <v>0</v>
      </c>
      <c r="AJ250" s="7">
        <v>0</v>
      </c>
      <c r="AK250" s="7">
        <v>0</v>
      </c>
      <c r="AL250" s="7" t="s">
        <v>31</v>
      </c>
      <c r="AM250" s="7" t="s">
        <v>48</v>
      </c>
      <c r="AN250" s="7" t="s">
        <v>2861</v>
      </c>
      <c r="AO250" s="7" t="s">
        <v>50</v>
      </c>
      <c r="AP250" s="7">
        <v>30</v>
      </c>
      <c r="AQ250" s="7">
        <v>2.2000000000000002</v>
      </c>
      <c r="AR250" s="9">
        <v>1500</v>
      </c>
      <c r="AS250" s="9">
        <v>1200</v>
      </c>
      <c r="AT250" s="10" t="s">
        <v>50</v>
      </c>
      <c r="AU250" s="10" t="s">
        <v>50</v>
      </c>
      <c r="AV250" s="10" t="s">
        <v>50</v>
      </c>
      <c r="AW250" s="10" t="s">
        <v>50</v>
      </c>
      <c r="AX250" s="10" t="s">
        <v>50</v>
      </c>
      <c r="AY250" s="10" t="s">
        <v>50</v>
      </c>
      <c r="AZ250" s="10" t="s">
        <v>50</v>
      </c>
      <c r="BA250" s="10" t="s">
        <v>50</v>
      </c>
      <c r="BB250" s="10" t="s">
        <v>50</v>
      </c>
      <c r="BC250" s="10" t="s">
        <v>50</v>
      </c>
      <c r="BD250" s="10" t="s">
        <v>50</v>
      </c>
      <c r="BE250" s="10" t="s">
        <v>50</v>
      </c>
      <c r="BF250" s="10" t="s">
        <v>50</v>
      </c>
      <c r="BG250" s="10" t="s">
        <v>50</v>
      </c>
      <c r="BH250" s="10" t="s">
        <v>50</v>
      </c>
      <c r="BI250" s="9">
        <v>0</v>
      </c>
      <c r="BJ250" s="9">
        <v>0</v>
      </c>
      <c r="BK250" s="9">
        <v>1</v>
      </c>
      <c r="BL250" s="9">
        <v>30</v>
      </c>
      <c r="BM250" s="9">
        <v>0</v>
      </c>
      <c r="BN250" s="9">
        <v>0</v>
      </c>
      <c r="BO250" s="9">
        <v>0</v>
      </c>
    </row>
    <row r="251" spans="1:67" ht="15.75" customHeight="1" x14ac:dyDescent="0.2">
      <c r="A251" s="3">
        <f t="shared" si="3"/>
        <v>2249</v>
      </c>
      <c r="B251" s="3" t="s">
        <v>2839</v>
      </c>
      <c r="C251" s="3" t="s">
        <v>2839</v>
      </c>
      <c r="D251" s="4" t="s">
        <v>2840</v>
      </c>
      <c r="E251" s="4" t="s">
        <v>2841</v>
      </c>
      <c r="F251" s="3">
        <v>1</v>
      </c>
      <c r="G251" s="3">
        <v>300</v>
      </c>
      <c r="H251" s="3">
        <v>0</v>
      </c>
      <c r="I251" s="3">
        <v>20</v>
      </c>
      <c r="J251" s="3">
        <v>150</v>
      </c>
      <c r="K251" s="3">
        <v>1</v>
      </c>
      <c r="L251" s="3">
        <v>0</v>
      </c>
      <c r="M251" s="3">
        <v>20</v>
      </c>
      <c r="N251" s="3">
        <v>20</v>
      </c>
      <c r="O251" s="3">
        <v>0</v>
      </c>
      <c r="P251" s="3">
        <v>0</v>
      </c>
      <c r="Q251" s="3">
        <v>0</v>
      </c>
      <c r="R251" s="3">
        <v>30</v>
      </c>
      <c r="S251" s="3">
        <v>30</v>
      </c>
      <c r="T251" s="3">
        <v>0</v>
      </c>
      <c r="U251" s="3">
        <v>0</v>
      </c>
      <c r="V251" s="3">
        <v>0</v>
      </c>
      <c r="W251" s="3">
        <v>0</v>
      </c>
      <c r="X251" s="3">
        <v>0</v>
      </c>
      <c r="Y251" s="3">
        <v>50</v>
      </c>
      <c r="Z251" s="3">
        <v>0</v>
      </c>
      <c r="AA251" s="3">
        <v>0</v>
      </c>
      <c r="AB251" s="3">
        <v>0</v>
      </c>
      <c r="AC251" s="3">
        <v>0</v>
      </c>
      <c r="AD251" s="3">
        <v>0</v>
      </c>
      <c r="AE251" s="3">
        <v>0</v>
      </c>
      <c r="AF251" s="3">
        <v>20</v>
      </c>
      <c r="AG251" s="3">
        <v>10</v>
      </c>
      <c r="AH251" s="3">
        <v>30</v>
      </c>
      <c r="AI251" s="3">
        <v>0</v>
      </c>
      <c r="AJ251" s="3">
        <v>0</v>
      </c>
      <c r="AK251" s="3">
        <v>0</v>
      </c>
      <c r="AL251" s="3" t="s">
        <v>31</v>
      </c>
      <c r="AM251" s="3" t="s">
        <v>48</v>
      </c>
      <c r="AN251" s="3" t="s">
        <v>2858</v>
      </c>
      <c r="AO251" s="3" t="s">
        <v>51</v>
      </c>
      <c r="AP251" s="3">
        <v>30</v>
      </c>
      <c r="AQ251" s="3">
        <v>2.2000000000000002</v>
      </c>
      <c r="AR251">
        <v>1500</v>
      </c>
      <c r="AS251">
        <v>1200</v>
      </c>
      <c r="AT251" s="6" t="s">
        <v>50</v>
      </c>
      <c r="AU251" s="6" t="s">
        <v>50</v>
      </c>
      <c r="AV251" s="6" t="s">
        <v>50</v>
      </c>
      <c r="AW251" s="6" t="s">
        <v>50</v>
      </c>
      <c r="AX251" s="6" t="s">
        <v>50</v>
      </c>
      <c r="AY251" s="6" t="s">
        <v>50</v>
      </c>
      <c r="AZ251" s="6" t="s">
        <v>50</v>
      </c>
      <c r="BA251" s="6" t="s">
        <v>50</v>
      </c>
      <c r="BB251" s="6" t="s">
        <v>50</v>
      </c>
      <c r="BC251" s="6" t="s">
        <v>50</v>
      </c>
      <c r="BD251" s="6" t="s">
        <v>50</v>
      </c>
      <c r="BE251" s="6" t="s">
        <v>50</v>
      </c>
      <c r="BF251" s="6" t="s">
        <v>50</v>
      </c>
      <c r="BG251" s="6" t="s">
        <v>50</v>
      </c>
      <c r="BH251" s="6" t="s">
        <v>50</v>
      </c>
      <c r="BI251">
        <v>1</v>
      </c>
      <c r="BJ251">
        <v>1713</v>
      </c>
      <c r="BK251">
        <v>3</v>
      </c>
      <c r="BL251">
        <v>30</v>
      </c>
      <c r="BM251">
        <v>1</v>
      </c>
      <c r="BN251">
        <v>0</v>
      </c>
      <c r="BO251">
        <v>0</v>
      </c>
    </row>
    <row r="252" spans="1:67" ht="15.75" customHeight="1" x14ac:dyDescent="0.2">
      <c r="A252" s="3">
        <f t="shared" si="3"/>
        <v>2250</v>
      </c>
      <c r="B252" s="3" t="s">
        <v>2136</v>
      </c>
      <c r="C252" s="3" t="s">
        <v>2136</v>
      </c>
      <c r="D252" s="4" t="s">
        <v>3515</v>
      </c>
      <c r="E252" s="4" t="s">
        <v>2195</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50</v>
      </c>
      <c r="Z252" s="3">
        <v>0</v>
      </c>
      <c r="AA252" s="3">
        <v>20</v>
      </c>
      <c r="AB252" s="3">
        <v>0</v>
      </c>
      <c r="AC252" s="3">
        <v>0</v>
      </c>
      <c r="AD252" s="3">
        <v>0</v>
      </c>
      <c r="AE252" s="3">
        <v>10</v>
      </c>
      <c r="AF252" s="3">
        <v>0</v>
      </c>
      <c r="AG252" s="3">
        <v>5</v>
      </c>
      <c r="AH252" s="3">
        <v>5</v>
      </c>
      <c r="AI252" s="3">
        <v>0</v>
      </c>
      <c r="AJ252" s="3">
        <v>0</v>
      </c>
      <c r="AK252" s="3">
        <v>0</v>
      </c>
      <c r="AL252" s="3" t="s">
        <v>31</v>
      </c>
      <c r="AM252" s="3" t="s">
        <v>48</v>
      </c>
      <c r="AN252" s="3" t="s">
        <v>2022</v>
      </c>
      <c r="AO252" s="3" t="s">
        <v>50</v>
      </c>
      <c r="AP252" s="3">
        <v>30</v>
      </c>
      <c r="AQ252" s="3">
        <v>2.2000000000000002</v>
      </c>
      <c r="AR252">
        <v>1500</v>
      </c>
      <c r="AS252">
        <v>1200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1701</v>
      </c>
      <c r="BK252">
        <v>3</v>
      </c>
      <c r="BL252">
        <v>30</v>
      </c>
      <c r="BM252">
        <v>0</v>
      </c>
      <c r="BN252">
        <v>0</v>
      </c>
      <c r="BO252">
        <v>0</v>
      </c>
    </row>
    <row r="253" spans="1:67" ht="15.75" customHeight="1" x14ac:dyDescent="0.2">
      <c r="A253" s="3">
        <f t="shared" si="3"/>
        <v>2251</v>
      </c>
      <c r="B253" s="3" t="s">
        <v>3017</v>
      </c>
      <c r="C253" s="3" t="s">
        <v>2729</v>
      </c>
      <c r="D253" s="4" t="s">
        <v>3516</v>
      </c>
      <c r="E253" s="4" t="s">
        <v>2135</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50</v>
      </c>
      <c r="Z253" s="3">
        <v>0</v>
      </c>
      <c r="AA253" s="3">
        <v>70</v>
      </c>
      <c r="AB253" s="3">
        <v>0</v>
      </c>
      <c r="AC253" s="3">
        <v>0</v>
      </c>
      <c r="AD253" s="3">
        <v>0</v>
      </c>
      <c r="AE253" s="3">
        <v>10</v>
      </c>
      <c r="AF253" s="3">
        <v>0</v>
      </c>
      <c r="AG253" s="3">
        <v>5</v>
      </c>
      <c r="AH253" s="3">
        <v>50</v>
      </c>
      <c r="AI253" s="3">
        <v>0</v>
      </c>
      <c r="AJ253" s="3">
        <v>0</v>
      </c>
      <c r="AK253" s="3">
        <v>0</v>
      </c>
      <c r="AL253" s="3" t="s">
        <v>31</v>
      </c>
      <c r="AM253" s="3" t="s">
        <v>48</v>
      </c>
      <c r="AN253" s="3" t="s">
        <v>2063</v>
      </c>
      <c r="AO253" s="3" t="s">
        <v>50</v>
      </c>
      <c r="AP253" s="3">
        <v>30</v>
      </c>
      <c r="AQ253" s="3">
        <v>2.2000000000000002</v>
      </c>
      <c r="AR253">
        <v>1500</v>
      </c>
      <c r="AS253">
        <v>1200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1710</v>
      </c>
      <c r="BK253">
        <v>3</v>
      </c>
      <c r="BL253">
        <v>30</v>
      </c>
      <c r="BM253">
        <v>1</v>
      </c>
      <c r="BN253">
        <v>0</v>
      </c>
      <c r="BO253">
        <v>0</v>
      </c>
    </row>
    <row r="254" spans="1:67" ht="15.75" customHeight="1" x14ac:dyDescent="0.2">
      <c r="A254" s="3">
        <f t="shared" si="3"/>
        <v>2252</v>
      </c>
      <c r="B254" s="3" t="s">
        <v>3015</v>
      </c>
      <c r="C254" s="3" t="s">
        <v>2137</v>
      </c>
      <c r="D254" s="4" t="s">
        <v>3517</v>
      </c>
      <c r="E254" s="4" t="s">
        <v>2131</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50</v>
      </c>
      <c r="Z254" s="3">
        <v>0</v>
      </c>
      <c r="AA254" s="3">
        <v>20</v>
      </c>
      <c r="AB254" s="3">
        <v>0</v>
      </c>
      <c r="AC254" s="3">
        <v>0</v>
      </c>
      <c r="AD254" s="3">
        <v>0</v>
      </c>
      <c r="AE254" s="3">
        <v>20</v>
      </c>
      <c r="AF254" s="3">
        <v>0</v>
      </c>
      <c r="AG254" s="3">
        <v>5</v>
      </c>
      <c r="AH254" s="3">
        <v>10</v>
      </c>
      <c r="AI254" s="3">
        <v>0</v>
      </c>
      <c r="AJ254" s="3">
        <v>0</v>
      </c>
      <c r="AK254" s="3">
        <v>0</v>
      </c>
      <c r="AL254" s="3" t="s">
        <v>31</v>
      </c>
      <c r="AM254" s="3" t="s">
        <v>48</v>
      </c>
      <c r="AN254" s="3" t="s">
        <v>2860</v>
      </c>
      <c r="AO254" s="3" t="s">
        <v>50</v>
      </c>
      <c r="AP254" s="3">
        <v>30</v>
      </c>
      <c r="AQ254" s="3">
        <v>2.2000000000000002</v>
      </c>
      <c r="AR254">
        <v>1500</v>
      </c>
      <c r="AS254">
        <v>1200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1711</v>
      </c>
      <c r="BK254">
        <v>3</v>
      </c>
      <c r="BL254">
        <v>30</v>
      </c>
      <c r="BM254">
        <v>0</v>
      </c>
      <c r="BN254">
        <v>0</v>
      </c>
      <c r="BO254">
        <v>0</v>
      </c>
    </row>
    <row r="255" spans="1:67" ht="15.75" customHeight="1" x14ac:dyDescent="0.2">
      <c r="A255" s="3">
        <f t="shared" si="3"/>
        <v>2253</v>
      </c>
      <c r="B255" s="3" t="s">
        <v>3016</v>
      </c>
      <c r="C255" s="3" t="s">
        <v>2138</v>
      </c>
      <c r="D255" s="4" t="s">
        <v>3518</v>
      </c>
      <c r="E255" s="4" t="s">
        <v>2132</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50</v>
      </c>
      <c r="Z255" s="3">
        <v>0</v>
      </c>
      <c r="AA255" s="3">
        <v>20</v>
      </c>
      <c r="AB255" s="3">
        <v>0</v>
      </c>
      <c r="AC255" s="3">
        <v>40</v>
      </c>
      <c r="AD255" s="3">
        <v>0</v>
      </c>
      <c r="AE255" s="3">
        <v>0</v>
      </c>
      <c r="AF255" s="3">
        <v>20</v>
      </c>
      <c r="AG255" s="3">
        <v>10</v>
      </c>
      <c r="AH255" s="3">
        <v>10</v>
      </c>
      <c r="AI255" s="3">
        <v>0</v>
      </c>
      <c r="AJ255" s="3">
        <v>0</v>
      </c>
      <c r="AK255" s="3">
        <v>0</v>
      </c>
      <c r="AL255" s="3" t="s">
        <v>31</v>
      </c>
      <c r="AM255" s="3" t="s">
        <v>48</v>
      </c>
      <c r="AN255" s="3" t="s">
        <v>2859</v>
      </c>
      <c r="AO255" s="3" t="s">
        <v>50</v>
      </c>
      <c r="AP255" s="3">
        <v>30</v>
      </c>
      <c r="AQ255" s="3">
        <v>2.2000000000000002</v>
      </c>
      <c r="AR255">
        <v>1500</v>
      </c>
      <c r="AS255">
        <v>1200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1712</v>
      </c>
      <c r="BK255">
        <v>3</v>
      </c>
      <c r="BL255">
        <v>30</v>
      </c>
      <c r="BM255">
        <v>0</v>
      </c>
      <c r="BN255">
        <v>0</v>
      </c>
      <c r="BO255">
        <v>0</v>
      </c>
    </row>
    <row r="256" spans="1:67" s="9" customFormat="1" ht="15.75" customHeight="1" x14ac:dyDescent="0.2">
      <c r="A256" s="7">
        <f t="shared" si="3"/>
        <v>2254</v>
      </c>
      <c r="B256" s="7" t="s">
        <v>2136</v>
      </c>
      <c r="C256" s="7" t="s">
        <v>2139</v>
      </c>
      <c r="D256" s="11" t="s">
        <v>2140</v>
      </c>
      <c r="E256" s="11" t="s">
        <v>2141</v>
      </c>
      <c r="F256" s="7">
        <v>1</v>
      </c>
      <c r="G256" s="7">
        <v>300</v>
      </c>
      <c r="H256" s="7">
        <v>0</v>
      </c>
      <c r="I256" s="7">
        <v>20</v>
      </c>
      <c r="J256" s="7">
        <v>150</v>
      </c>
      <c r="K256" s="7">
        <v>1</v>
      </c>
      <c r="L256" s="7">
        <v>0</v>
      </c>
      <c r="M256" s="7">
        <v>20</v>
      </c>
      <c r="N256" s="7">
        <v>20</v>
      </c>
      <c r="O256" s="7">
        <v>0</v>
      </c>
      <c r="P256" s="7">
        <v>0</v>
      </c>
      <c r="Q256" s="7">
        <v>0</v>
      </c>
      <c r="R256" s="7">
        <v>30</v>
      </c>
      <c r="S256" s="7">
        <v>30</v>
      </c>
      <c r="T256" s="7">
        <v>0</v>
      </c>
      <c r="U256" s="7">
        <v>0</v>
      </c>
      <c r="V256" s="7">
        <v>0</v>
      </c>
      <c r="W256" s="7">
        <v>0</v>
      </c>
      <c r="X256" s="7">
        <v>0</v>
      </c>
      <c r="Y256" s="7">
        <v>50</v>
      </c>
      <c r="Z256" s="7">
        <v>0</v>
      </c>
      <c r="AA256" s="7">
        <v>0</v>
      </c>
      <c r="AB256" s="7">
        <v>0</v>
      </c>
      <c r="AC256" s="7">
        <v>0</v>
      </c>
      <c r="AD256" s="7">
        <v>0</v>
      </c>
      <c r="AE256" s="7">
        <v>0</v>
      </c>
      <c r="AF256" s="7">
        <v>0</v>
      </c>
      <c r="AG256" s="7">
        <v>0</v>
      </c>
      <c r="AH256" s="7">
        <v>0</v>
      </c>
      <c r="AI256" s="7">
        <v>0</v>
      </c>
      <c r="AJ256" s="7">
        <v>0</v>
      </c>
      <c r="AK256" s="7">
        <v>0</v>
      </c>
      <c r="AL256" s="7" t="s">
        <v>31</v>
      </c>
      <c r="AM256" s="7" t="s">
        <v>48</v>
      </c>
      <c r="AN256" s="7" t="s">
        <v>2861</v>
      </c>
      <c r="AO256" s="7" t="s">
        <v>50</v>
      </c>
      <c r="AP256" s="7">
        <v>30</v>
      </c>
      <c r="AQ256" s="7">
        <v>2.2000000000000002</v>
      </c>
      <c r="AR256" s="9">
        <v>1500</v>
      </c>
      <c r="AS256" s="9">
        <v>1200</v>
      </c>
      <c r="AT256" s="10" t="s">
        <v>50</v>
      </c>
      <c r="AU256" s="10" t="s">
        <v>50</v>
      </c>
      <c r="AV256" s="10" t="s">
        <v>50</v>
      </c>
      <c r="AW256" s="10" t="s">
        <v>50</v>
      </c>
      <c r="AX256" s="10" t="s">
        <v>50</v>
      </c>
      <c r="AY256" s="10" t="s">
        <v>50</v>
      </c>
      <c r="AZ256" s="10" t="s">
        <v>50</v>
      </c>
      <c r="BA256" s="10" t="s">
        <v>50</v>
      </c>
      <c r="BB256" s="10" t="s">
        <v>50</v>
      </c>
      <c r="BC256" s="10" t="s">
        <v>50</v>
      </c>
      <c r="BD256" s="10" t="s">
        <v>50</v>
      </c>
      <c r="BE256" s="10" t="s">
        <v>50</v>
      </c>
      <c r="BF256" s="10" t="s">
        <v>50</v>
      </c>
      <c r="BG256" s="10" t="s">
        <v>50</v>
      </c>
      <c r="BH256" s="10" t="s">
        <v>50</v>
      </c>
      <c r="BI256" s="9">
        <v>0</v>
      </c>
      <c r="BJ256" s="9">
        <v>0</v>
      </c>
      <c r="BK256" s="9">
        <v>1</v>
      </c>
      <c r="BL256" s="9">
        <v>30</v>
      </c>
      <c r="BM256" s="9">
        <v>0</v>
      </c>
      <c r="BN256" s="9">
        <v>0</v>
      </c>
      <c r="BO256" s="9">
        <v>0</v>
      </c>
    </row>
    <row r="257" spans="1:67" ht="15.75" customHeight="1" x14ac:dyDescent="0.2">
      <c r="A257" s="3">
        <f t="shared" si="3"/>
        <v>2255</v>
      </c>
      <c r="B257" s="3" t="s">
        <v>2842</v>
      </c>
      <c r="C257" s="3" t="s">
        <v>2842</v>
      </c>
      <c r="D257" s="4" t="s">
        <v>3519</v>
      </c>
      <c r="E257" s="4" t="s">
        <v>2841</v>
      </c>
      <c r="F257" s="3">
        <v>1</v>
      </c>
      <c r="G257" s="3">
        <v>300</v>
      </c>
      <c r="H257" s="3">
        <v>0</v>
      </c>
      <c r="I257" s="3">
        <v>20</v>
      </c>
      <c r="J257" s="3">
        <v>150</v>
      </c>
      <c r="K257" s="3">
        <v>1</v>
      </c>
      <c r="L257" s="3">
        <v>0</v>
      </c>
      <c r="M257" s="3">
        <v>20</v>
      </c>
      <c r="N257" s="3">
        <v>20</v>
      </c>
      <c r="O257" s="3">
        <v>0</v>
      </c>
      <c r="P257" s="3">
        <v>0</v>
      </c>
      <c r="Q257" s="3">
        <v>0</v>
      </c>
      <c r="R257" s="3">
        <v>30</v>
      </c>
      <c r="S257" s="3">
        <v>30</v>
      </c>
      <c r="T257" s="3">
        <v>0</v>
      </c>
      <c r="U257" s="3">
        <v>0</v>
      </c>
      <c r="V257" s="3">
        <v>0</v>
      </c>
      <c r="W257" s="3">
        <v>0</v>
      </c>
      <c r="X257" s="3">
        <v>0</v>
      </c>
      <c r="Y257" s="3">
        <v>50</v>
      </c>
      <c r="Z257" s="3">
        <v>0</v>
      </c>
      <c r="AA257" s="3">
        <v>20</v>
      </c>
      <c r="AB257" s="3">
        <v>0</v>
      </c>
      <c r="AC257" s="3">
        <v>0</v>
      </c>
      <c r="AD257" s="3">
        <v>0</v>
      </c>
      <c r="AE257" s="3">
        <v>0</v>
      </c>
      <c r="AF257" s="3">
        <v>20</v>
      </c>
      <c r="AG257" s="3">
        <v>10</v>
      </c>
      <c r="AH257" s="3">
        <v>30</v>
      </c>
      <c r="AI257" s="3">
        <v>0</v>
      </c>
      <c r="AJ257" s="3">
        <v>0</v>
      </c>
      <c r="AK257" s="3">
        <v>0</v>
      </c>
      <c r="AL257" s="3" t="s">
        <v>31</v>
      </c>
      <c r="AM257" s="3" t="s">
        <v>48</v>
      </c>
      <c r="AN257" s="3" t="s">
        <v>2858</v>
      </c>
      <c r="AO257" s="3" t="s">
        <v>51</v>
      </c>
      <c r="AP257" s="3">
        <v>30</v>
      </c>
      <c r="AQ257" s="3">
        <v>2.2000000000000002</v>
      </c>
      <c r="AR257">
        <v>1500</v>
      </c>
      <c r="AS257">
        <v>1200</v>
      </c>
      <c r="AT257" s="6" t="s">
        <v>50</v>
      </c>
      <c r="AU257" s="6" t="s">
        <v>50</v>
      </c>
      <c r="AV257" s="6" t="s">
        <v>50</v>
      </c>
      <c r="AW257" s="6" t="s">
        <v>50</v>
      </c>
      <c r="AX257" s="6" t="s">
        <v>50</v>
      </c>
      <c r="AY257" s="6" t="s">
        <v>50</v>
      </c>
      <c r="AZ257" s="6" t="s">
        <v>50</v>
      </c>
      <c r="BA257" s="6" t="s">
        <v>50</v>
      </c>
      <c r="BB257" s="6" t="s">
        <v>50</v>
      </c>
      <c r="BC257" s="6" t="s">
        <v>50</v>
      </c>
      <c r="BD257" s="6" t="s">
        <v>50</v>
      </c>
      <c r="BE257" s="6" t="s">
        <v>50</v>
      </c>
      <c r="BF257" s="6" t="s">
        <v>50</v>
      </c>
      <c r="BG257" s="6" t="s">
        <v>50</v>
      </c>
      <c r="BH257" s="6" t="s">
        <v>50</v>
      </c>
      <c r="BI257">
        <v>1</v>
      </c>
      <c r="BJ257">
        <v>1713</v>
      </c>
      <c r="BK257">
        <v>3</v>
      </c>
      <c r="BL257">
        <v>30</v>
      </c>
      <c r="BM257">
        <v>1</v>
      </c>
      <c r="BN257">
        <v>0</v>
      </c>
      <c r="BO257">
        <v>0</v>
      </c>
    </row>
    <row r="258" spans="1:67" ht="15.75" customHeight="1" x14ac:dyDescent="0.2">
      <c r="A258" s="3">
        <f t="shared" si="3"/>
        <v>2256</v>
      </c>
      <c r="B258" s="3" t="s">
        <v>2150</v>
      </c>
      <c r="C258" s="3" t="s">
        <v>2150</v>
      </c>
      <c r="D258" s="4" t="s">
        <v>2154</v>
      </c>
      <c r="E258" s="4" t="s">
        <v>2740</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50</v>
      </c>
      <c r="Z258" s="3">
        <v>0</v>
      </c>
      <c r="AA258" s="3">
        <v>0</v>
      </c>
      <c r="AB258" s="3">
        <v>20</v>
      </c>
      <c r="AC258" s="3">
        <v>0</v>
      </c>
      <c r="AD258" s="3">
        <v>0</v>
      </c>
      <c r="AE258" s="3">
        <v>10</v>
      </c>
      <c r="AF258" s="3">
        <v>0</v>
      </c>
      <c r="AG258" s="3">
        <v>5</v>
      </c>
      <c r="AH258" s="3">
        <v>5</v>
      </c>
      <c r="AI258" s="3">
        <v>0</v>
      </c>
      <c r="AJ258" s="3">
        <v>0</v>
      </c>
      <c r="AK258" s="3">
        <v>0</v>
      </c>
      <c r="AL258" s="3" t="s">
        <v>31</v>
      </c>
      <c r="AM258" s="3" t="s">
        <v>48</v>
      </c>
      <c r="AN258" s="3" t="s">
        <v>2022</v>
      </c>
      <c r="AO258" s="3" t="s">
        <v>50</v>
      </c>
      <c r="AP258" s="3">
        <v>30</v>
      </c>
      <c r="AQ258" s="3">
        <v>2.2000000000000002</v>
      </c>
      <c r="AR258">
        <v>1500</v>
      </c>
      <c r="AS258">
        <v>1200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1702</v>
      </c>
      <c r="BK258">
        <v>3</v>
      </c>
      <c r="BL258">
        <v>30</v>
      </c>
      <c r="BM258">
        <v>0</v>
      </c>
      <c r="BN258">
        <v>0</v>
      </c>
      <c r="BO258">
        <v>0</v>
      </c>
    </row>
    <row r="259" spans="1:67" ht="15.75" customHeight="1" x14ac:dyDescent="0.2">
      <c r="A259" s="3">
        <f t="shared" ref="A259:A335" si="4">ROW()+1998</f>
        <v>2257</v>
      </c>
      <c r="B259" s="3" t="s">
        <v>3020</v>
      </c>
      <c r="C259" s="3" t="s">
        <v>2730</v>
      </c>
      <c r="D259" s="4" t="s">
        <v>2845</v>
      </c>
      <c r="E259" s="4" t="s">
        <v>2135</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50</v>
      </c>
      <c r="Z259" s="3">
        <v>0</v>
      </c>
      <c r="AA259" s="3">
        <v>50</v>
      </c>
      <c r="AB259" s="3">
        <v>20</v>
      </c>
      <c r="AC259" s="3">
        <v>0</v>
      </c>
      <c r="AD259" s="3">
        <v>0</v>
      </c>
      <c r="AE259" s="3">
        <v>10</v>
      </c>
      <c r="AF259" s="3">
        <v>0</v>
      </c>
      <c r="AG259" s="3">
        <v>5</v>
      </c>
      <c r="AH259" s="3">
        <v>50</v>
      </c>
      <c r="AI259" s="3">
        <v>0</v>
      </c>
      <c r="AJ259" s="3">
        <v>0</v>
      </c>
      <c r="AK259" s="3">
        <v>0</v>
      </c>
      <c r="AL259" s="3" t="s">
        <v>31</v>
      </c>
      <c r="AM259" s="3" t="s">
        <v>48</v>
      </c>
      <c r="AN259" s="3" t="s">
        <v>2063</v>
      </c>
      <c r="AO259" s="3" t="s">
        <v>50</v>
      </c>
      <c r="AP259" s="3">
        <v>30</v>
      </c>
      <c r="AQ259" s="3">
        <v>2.2000000000000002</v>
      </c>
      <c r="AR259">
        <v>1500</v>
      </c>
      <c r="AS259">
        <v>1200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1710</v>
      </c>
      <c r="BK259">
        <v>3</v>
      </c>
      <c r="BL259">
        <v>30</v>
      </c>
      <c r="BM259">
        <v>1</v>
      </c>
      <c r="BN259">
        <v>0</v>
      </c>
      <c r="BO259">
        <v>0</v>
      </c>
    </row>
    <row r="260" spans="1:67" ht="15.75" customHeight="1" x14ac:dyDescent="0.2">
      <c r="A260" s="3">
        <f t="shared" si="4"/>
        <v>2258</v>
      </c>
      <c r="B260" s="3" t="s">
        <v>3018</v>
      </c>
      <c r="C260" s="3" t="s">
        <v>2151</v>
      </c>
      <c r="D260" s="4" t="s">
        <v>2155</v>
      </c>
      <c r="E260" s="4" t="s">
        <v>2131</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50</v>
      </c>
      <c r="Z260" s="3">
        <v>0</v>
      </c>
      <c r="AA260" s="3">
        <v>0</v>
      </c>
      <c r="AB260" s="3">
        <v>20</v>
      </c>
      <c r="AC260" s="3">
        <v>0</v>
      </c>
      <c r="AD260" s="3">
        <v>0</v>
      </c>
      <c r="AE260" s="3">
        <v>20</v>
      </c>
      <c r="AF260" s="3">
        <v>0</v>
      </c>
      <c r="AG260" s="3">
        <v>5</v>
      </c>
      <c r="AH260" s="3">
        <v>10</v>
      </c>
      <c r="AI260" s="3">
        <v>0</v>
      </c>
      <c r="AJ260" s="3">
        <v>0</v>
      </c>
      <c r="AK260" s="3">
        <v>0</v>
      </c>
      <c r="AL260" s="3" t="s">
        <v>31</v>
      </c>
      <c r="AM260" s="3" t="s">
        <v>48</v>
      </c>
      <c r="AN260" s="3" t="s">
        <v>2860</v>
      </c>
      <c r="AO260" s="3" t="s">
        <v>50</v>
      </c>
      <c r="AP260" s="3">
        <v>30</v>
      </c>
      <c r="AQ260" s="3">
        <v>2.2000000000000002</v>
      </c>
      <c r="AR260">
        <v>1500</v>
      </c>
      <c r="AS260">
        <v>1200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1711</v>
      </c>
      <c r="BK260">
        <v>3</v>
      </c>
      <c r="BL260">
        <v>30</v>
      </c>
      <c r="BM260">
        <v>0</v>
      </c>
      <c r="BN260">
        <v>0</v>
      </c>
      <c r="BO260">
        <v>0</v>
      </c>
    </row>
    <row r="261" spans="1:67" ht="15.75" customHeight="1" x14ac:dyDescent="0.2">
      <c r="A261" s="3">
        <f t="shared" si="4"/>
        <v>2259</v>
      </c>
      <c r="B261" s="3" t="s">
        <v>3019</v>
      </c>
      <c r="C261" s="3" t="s">
        <v>2152</v>
      </c>
      <c r="D261" s="4" t="s">
        <v>2156</v>
      </c>
      <c r="E261" s="4" t="s">
        <v>2132</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50</v>
      </c>
      <c r="Z261" s="3">
        <v>0</v>
      </c>
      <c r="AA261" s="3">
        <v>0</v>
      </c>
      <c r="AB261" s="3">
        <v>20</v>
      </c>
      <c r="AC261" s="3">
        <v>40</v>
      </c>
      <c r="AD261" s="3">
        <v>0</v>
      </c>
      <c r="AE261" s="3">
        <v>0</v>
      </c>
      <c r="AF261" s="3">
        <v>20</v>
      </c>
      <c r="AG261" s="3">
        <v>10</v>
      </c>
      <c r="AH261" s="3">
        <v>10</v>
      </c>
      <c r="AI261" s="3">
        <v>0</v>
      </c>
      <c r="AJ261" s="3">
        <v>0</v>
      </c>
      <c r="AK261" s="3">
        <v>0</v>
      </c>
      <c r="AL261" s="3" t="s">
        <v>31</v>
      </c>
      <c r="AM261" s="3" t="s">
        <v>48</v>
      </c>
      <c r="AN261" s="3" t="s">
        <v>2859</v>
      </c>
      <c r="AO261" s="3" t="s">
        <v>50</v>
      </c>
      <c r="AP261" s="3">
        <v>30</v>
      </c>
      <c r="AQ261" s="3">
        <v>2.2000000000000002</v>
      </c>
      <c r="AR261">
        <v>1500</v>
      </c>
      <c r="AS261">
        <v>1200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1712</v>
      </c>
      <c r="BK261">
        <v>3</v>
      </c>
      <c r="BL261">
        <v>30</v>
      </c>
      <c r="BM261">
        <v>0</v>
      </c>
      <c r="BN261">
        <v>0</v>
      </c>
      <c r="BO261">
        <v>0</v>
      </c>
    </row>
    <row r="262" spans="1:67" s="9" customFormat="1" ht="15.75" customHeight="1" x14ac:dyDescent="0.2">
      <c r="A262" s="7">
        <f t="shared" si="4"/>
        <v>2260</v>
      </c>
      <c r="B262" s="7" t="s">
        <v>2057</v>
      </c>
      <c r="C262" s="7" t="s">
        <v>2153</v>
      </c>
      <c r="D262" s="11" t="s">
        <v>2157</v>
      </c>
      <c r="E262" s="11" t="s">
        <v>2141</v>
      </c>
      <c r="F262" s="7">
        <v>1</v>
      </c>
      <c r="G262" s="7">
        <v>300</v>
      </c>
      <c r="H262" s="7">
        <v>0</v>
      </c>
      <c r="I262" s="7">
        <v>20</v>
      </c>
      <c r="J262" s="7">
        <v>150</v>
      </c>
      <c r="K262" s="7">
        <v>1</v>
      </c>
      <c r="L262" s="7">
        <v>0</v>
      </c>
      <c r="M262" s="7">
        <v>20</v>
      </c>
      <c r="N262" s="7">
        <v>20</v>
      </c>
      <c r="O262" s="7">
        <v>0</v>
      </c>
      <c r="P262" s="7">
        <v>0</v>
      </c>
      <c r="Q262" s="7">
        <v>0</v>
      </c>
      <c r="R262" s="7">
        <v>30</v>
      </c>
      <c r="S262" s="7">
        <v>30</v>
      </c>
      <c r="T262" s="7">
        <v>0</v>
      </c>
      <c r="U262" s="7">
        <v>0</v>
      </c>
      <c r="V262" s="7">
        <v>0</v>
      </c>
      <c r="W262" s="7">
        <v>0</v>
      </c>
      <c r="X262" s="7">
        <v>0</v>
      </c>
      <c r="Y262" s="7">
        <v>50</v>
      </c>
      <c r="Z262" s="7">
        <v>0</v>
      </c>
      <c r="AA262" s="7">
        <v>0</v>
      </c>
      <c r="AB262" s="7">
        <v>0</v>
      </c>
      <c r="AC262" s="7">
        <v>0</v>
      </c>
      <c r="AD262" s="7">
        <v>0</v>
      </c>
      <c r="AE262" s="7">
        <v>0</v>
      </c>
      <c r="AF262" s="7">
        <v>0</v>
      </c>
      <c r="AG262" s="7">
        <v>0</v>
      </c>
      <c r="AH262" s="7">
        <v>0</v>
      </c>
      <c r="AI262" s="7">
        <v>0</v>
      </c>
      <c r="AJ262" s="7">
        <v>0</v>
      </c>
      <c r="AK262" s="7">
        <v>0</v>
      </c>
      <c r="AL262" s="7" t="s">
        <v>31</v>
      </c>
      <c r="AM262" s="7" t="s">
        <v>48</v>
      </c>
      <c r="AN262" s="7" t="s">
        <v>2861</v>
      </c>
      <c r="AO262" s="7" t="s">
        <v>50</v>
      </c>
      <c r="AP262" s="7">
        <v>30</v>
      </c>
      <c r="AQ262" s="7">
        <v>2.2000000000000002</v>
      </c>
      <c r="AR262" s="9">
        <v>1500</v>
      </c>
      <c r="AS262" s="9">
        <v>1200</v>
      </c>
      <c r="AT262" s="10" t="s">
        <v>50</v>
      </c>
      <c r="AU262" s="10" t="s">
        <v>50</v>
      </c>
      <c r="AV262" s="10" t="s">
        <v>50</v>
      </c>
      <c r="AW262" s="10" t="s">
        <v>50</v>
      </c>
      <c r="AX262" s="10" t="s">
        <v>50</v>
      </c>
      <c r="AY262" s="10" t="s">
        <v>50</v>
      </c>
      <c r="AZ262" s="10" t="s">
        <v>50</v>
      </c>
      <c r="BA262" s="10" t="s">
        <v>50</v>
      </c>
      <c r="BB262" s="10" t="s">
        <v>50</v>
      </c>
      <c r="BC262" s="10" t="s">
        <v>50</v>
      </c>
      <c r="BD262" s="10" t="s">
        <v>50</v>
      </c>
      <c r="BE262" s="10" t="s">
        <v>50</v>
      </c>
      <c r="BF262" s="10" t="s">
        <v>50</v>
      </c>
      <c r="BG262" s="10" t="s">
        <v>50</v>
      </c>
      <c r="BH262" s="10" t="s">
        <v>50</v>
      </c>
      <c r="BI262" s="9">
        <v>0</v>
      </c>
      <c r="BJ262" s="9">
        <v>0</v>
      </c>
      <c r="BK262" s="9">
        <v>1</v>
      </c>
      <c r="BL262" s="9">
        <v>30</v>
      </c>
      <c r="BM262" s="9">
        <v>0</v>
      </c>
      <c r="BN262" s="9">
        <v>0</v>
      </c>
      <c r="BO262" s="9">
        <v>0</v>
      </c>
    </row>
    <row r="263" spans="1:67" ht="15.75" customHeight="1" x14ac:dyDescent="0.2">
      <c r="A263" s="3">
        <f t="shared" si="4"/>
        <v>2261</v>
      </c>
      <c r="B263" s="3" t="s">
        <v>2843</v>
      </c>
      <c r="C263" s="3" t="s">
        <v>2843</v>
      </c>
      <c r="D263" s="4" t="s">
        <v>2844</v>
      </c>
      <c r="E263" s="4" t="s">
        <v>2841</v>
      </c>
      <c r="F263" s="3">
        <v>1</v>
      </c>
      <c r="G263" s="3">
        <v>300</v>
      </c>
      <c r="H263" s="3">
        <v>0</v>
      </c>
      <c r="I263" s="3">
        <v>20</v>
      </c>
      <c r="J263" s="3">
        <v>150</v>
      </c>
      <c r="K263" s="3">
        <v>1</v>
      </c>
      <c r="L263" s="3">
        <v>0</v>
      </c>
      <c r="M263" s="3">
        <v>20</v>
      </c>
      <c r="N263" s="3">
        <v>20</v>
      </c>
      <c r="O263" s="3">
        <v>0</v>
      </c>
      <c r="P263" s="3">
        <v>0</v>
      </c>
      <c r="Q263" s="3">
        <v>0</v>
      </c>
      <c r="R263" s="3">
        <v>30</v>
      </c>
      <c r="S263" s="3">
        <v>30</v>
      </c>
      <c r="T263" s="3">
        <v>0</v>
      </c>
      <c r="U263" s="3">
        <v>0</v>
      </c>
      <c r="V263" s="3">
        <v>0</v>
      </c>
      <c r="W263" s="3">
        <v>0</v>
      </c>
      <c r="X263" s="3">
        <v>0</v>
      </c>
      <c r="Y263" s="3">
        <v>50</v>
      </c>
      <c r="Z263" s="3">
        <v>0</v>
      </c>
      <c r="AA263" s="3">
        <v>0</v>
      </c>
      <c r="AB263" s="3">
        <v>20</v>
      </c>
      <c r="AC263" s="3">
        <v>0</v>
      </c>
      <c r="AD263" s="3">
        <v>0</v>
      </c>
      <c r="AE263" s="3">
        <v>0</v>
      </c>
      <c r="AF263" s="3">
        <v>20</v>
      </c>
      <c r="AG263" s="3">
        <v>10</v>
      </c>
      <c r="AH263" s="3">
        <v>30</v>
      </c>
      <c r="AI263" s="3">
        <v>0</v>
      </c>
      <c r="AJ263" s="3">
        <v>0</v>
      </c>
      <c r="AK263" s="3">
        <v>0</v>
      </c>
      <c r="AL263" s="3" t="s">
        <v>31</v>
      </c>
      <c r="AM263" s="3" t="s">
        <v>48</v>
      </c>
      <c r="AN263" s="3" t="s">
        <v>2858</v>
      </c>
      <c r="AO263" s="3" t="s">
        <v>51</v>
      </c>
      <c r="AP263" s="3">
        <v>30</v>
      </c>
      <c r="AQ263" s="3">
        <v>2.2000000000000002</v>
      </c>
      <c r="AR263">
        <v>1500</v>
      </c>
      <c r="AS263">
        <v>1200</v>
      </c>
      <c r="AT263" s="6" t="s">
        <v>50</v>
      </c>
      <c r="AU263" s="6" t="s">
        <v>50</v>
      </c>
      <c r="AV263" s="6" t="s">
        <v>50</v>
      </c>
      <c r="AW263" s="6" t="s">
        <v>50</v>
      </c>
      <c r="AX263" s="6" t="s">
        <v>50</v>
      </c>
      <c r="AY263" s="6" t="s">
        <v>50</v>
      </c>
      <c r="AZ263" s="6" t="s">
        <v>50</v>
      </c>
      <c r="BA263" s="6" t="s">
        <v>50</v>
      </c>
      <c r="BB263" s="6" t="s">
        <v>50</v>
      </c>
      <c r="BC263" s="6" t="s">
        <v>50</v>
      </c>
      <c r="BD263" s="6" t="s">
        <v>50</v>
      </c>
      <c r="BE263" s="6" t="s">
        <v>50</v>
      </c>
      <c r="BF263" s="6" t="s">
        <v>50</v>
      </c>
      <c r="BG263" s="6" t="s">
        <v>50</v>
      </c>
      <c r="BH263" s="6" t="s">
        <v>50</v>
      </c>
      <c r="BI263">
        <v>1</v>
      </c>
      <c r="BJ263">
        <v>1713</v>
      </c>
      <c r="BK263">
        <v>3</v>
      </c>
      <c r="BL263">
        <v>30</v>
      </c>
      <c r="BM263">
        <v>1</v>
      </c>
      <c r="BN263">
        <v>0</v>
      </c>
      <c r="BO263">
        <v>0</v>
      </c>
    </row>
    <row r="264" spans="1:67" s="18" customFormat="1" ht="15.75" customHeight="1" x14ac:dyDescent="0.2">
      <c r="A264" s="16">
        <f t="shared" si="4"/>
        <v>2262</v>
      </c>
      <c r="B264" s="16" t="s">
        <v>2150</v>
      </c>
      <c r="C264" s="16" t="s">
        <v>3482</v>
      </c>
      <c r="D264" s="20" t="s">
        <v>3491</v>
      </c>
      <c r="E264" s="20" t="s">
        <v>3507</v>
      </c>
      <c r="F264" s="16">
        <v>1</v>
      </c>
      <c r="G264" s="16">
        <v>300</v>
      </c>
      <c r="H264" s="16">
        <v>0</v>
      </c>
      <c r="I264" s="16">
        <v>20</v>
      </c>
      <c r="J264" s="16">
        <v>150</v>
      </c>
      <c r="K264" s="16">
        <v>1</v>
      </c>
      <c r="L264" s="16">
        <v>0</v>
      </c>
      <c r="M264" s="16">
        <v>20</v>
      </c>
      <c r="N264" s="16">
        <v>20</v>
      </c>
      <c r="O264" s="16">
        <v>0</v>
      </c>
      <c r="P264" s="16">
        <v>0</v>
      </c>
      <c r="Q264" s="16">
        <v>0</v>
      </c>
      <c r="R264" s="16">
        <v>30</v>
      </c>
      <c r="S264" s="16">
        <v>30</v>
      </c>
      <c r="T264" s="16">
        <v>0</v>
      </c>
      <c r="U264" s="16">
        <v>0</v>
      </c>
      <c r="V264" s="16">
        <v>0</v>
      </c>
      <c r="W264" s="16">
        <v>0</v>
      </c>
      <c r="X264" s="16">
        <v>0</v>
      </c>
      <c r="Y264" s="16">
        <v>50</v>
      </c>
      <c r="Z264" s="16">
        <v>0</v>
      </c>
      <c r="AA264" s="16">
        <v>0</v>
      </c>
      <c r="AB264" s="16">
        <v>20</v>
      </c>
      <c r="AC264" s="16">
        <v>0</v>
      </c>
      <c r="AD264" s="16">
        <v>0</v>
      </c>
      <c r="AE264" s="16">
        <v>10</v>
      </c>
      <c r="AF264" s="16">
        <v>0</v>
      </c>
      <c r="AG264" s="16">
        <v>5</v>
      </c>
      <c r="AH264" s="16">
        <v>5</v>
      </c>
      <c r="AI264" s="16">
        <v>0</v>
      </c>
      <c r="AJ264" s="16">
        <v>0</v>
      </c>
      <c r="AK264" s="16">
        <v>0</v>
      </c>
      <c r="AL264" s="16" t="s">
        <v>31</v>
      </c>
      <c r="AM264" s="16" t="s">
        <v>48</v>
      </c>
      <c r="AN264" s="16" t="s">
        <v>2022</v>
      </c>
      <c r="AO264" s="16" t="s">
        <v>50</v>
      </c>
      <c r="AP264" s="16">
        <v>30</v>
      </c>
      <c r="AQ264" s="16">
        <v>2.2000000000000002</v>
      </c>
      <c r="AR264" s="18">
        <v>1500</v>
      </c>
      <c r="AS264" s="18">
        <v>1200</v>
      </c>
      <c r="AT264" s="19" t="s">
        <v>50</v>
      </c>
      <c r="AU264" s="19" t="s">
        <v>50</v>
      </c>
      <c r="AV264" s="19" t="s">
        <v>50</v>
      </c>
      <c r="AW264" s="19" t="s">
        <v>50</v>
      </c>
      <c r="AX264" s="19" t="s">
        <v>50</v>
      </c>
      <c r="AY264" s="19" t="s">
        <v>50</v>
      </c>
      <c r="AZ264" s="19" t="s">
        <v>50</v>
      </c>
      <c r="BA264" s="19" t="s">
        <v>50</v>
      </c>
      <c r="BB264" s="19" t="s">
        <v>50</v>
      </c>
      <c r="BC264" s="19" t="s">
        <v>50</v>
      </c>
      <c r="BD264" s="19" t="s">
        <v>50</v>
      </c>
      <c r="BE264" s="19" t="s">
        <v>50</v>
      </c>
      <c r="BF264" s="19" t="s">
        <v>50</v>
      </c>
      <c r="BG264" s="19" t="s">
        <v>50</v>
      </c>
      <c r="BH264" s="19" t="s">
        <v>50</v>
      </c>
      <c r="BI264" s="18">
        <v>1</v>
      </c>
      <c r="BJ264" s="18">
        <v>1702</v>
      </c>
      <c r="BK264" s="18">
        <v>3</v>
      </c>
      <c r="BL264" s="18">
        <v>30</v>
      </c>
      <c r="BM264" s="18">
        <v>0</v>
      </c>
      <c r="BN264" s="18">
        <v>0</v>
      </c>
      <c r="BO264" s="18">
        <v>0</v>
      </c>
    </row>
    <row r="265" spans="1:67" s="18" customFormat="1" ht="15.75" customHeight="1" x14ac:dyDescent="0.2">
      <c r="A265" s="16">
        <f t="shared" si="4"/>
        <v>2263</v>
      </c>
      <c r="B265" s="16" t="s">
        <v>3020</v>
      </c>
      <c r="C265" s="16" t="s">
        <v>3483</v>
      </c>
      <c r="D265" s="20" t="s">
        <v>3487</v>
      </c>
      <c r="E265" s="20" t="s">
        <v>2135</v>
      </c>
      <c r="F265" s="16">
        <v>1</v>
      </c>
      <c r="G265" s="16">
        <v>300</v>
      </c>
      <c r="H265" s="16">
        <v>0</v>
      </c>
      <c r="I265" s="16">
        <v>20</v>
      </c>
      <c r="J265" s="16">
        <v>150</v>
      </c>
      <c r="K265" s="16">
        <v>1</v>
      </c>
      <c r="L265" s="16">
        <v>0</v>
      </c>
      <c r="M265" s="16">
        <v>20</v>
      </c>
      <c r="N265" s="16">
        <v>20</v>
      </c>
      <c r="O265" s="16">
        <v>0</v>
      </c>
      <c r="P265" s="16">
        <v>0</v>
      </c>
      <c r="Q265" s="16">
        <v>0</v>
      </c>
      <c r="R265" s="16">
        <v>30</v>
      </c>
      <c r="S265" s="16">
        <v>30</v>
      </c>
      <c r="T265" s="16">
        <v>0</v>
      </c>
      <c r="U265" s="16">
        <v>0</v>
      </c>
      <c r="V265" s="16">
        <v>0</v>
      </c>
      <c r="W265" s="16">
        <v>0</v>
      </c>
      <c r="X265" s="16">
        <v>0</v>
      </c>
      <c r="Y265" s="16">
        <v>50</v>
      </c>
      <c r="Z265" s="16">
        <v>0</v>
      </c>
      <c r="AA265" s="16">
        <v>50</v>
      </c>
      <c r="AB265" s="16">
        <v>20</v>
      </c>
      <c r="AC265" s="16">
        <v>0</v>
      </c>
      <c r="AD265" s="16">
        <v>0</v>
      </c>
      <c r="AE265" s="16">
        <v>10</v>
      </c>
      <c r="AF265" s="16">
        <v>0</v>
      </c>
      <c r="AG265" s="16">
        <v>5</v>
      </c>
      <c r="AH265" s="16">
        <v>50</v>
      </c>
      <c r="AI265" s="16">
        <v>0</v>
      </c>
      <c r="AJ265" s="16">
        <v>0</v>
      </c>
      <c r="AK265" s="16">
        <v>0</v>
      </c>
      <c r="AL265" s="16" t="s">
        <v>31</v>
      </c>
      <c r="AM265" s="16" t="s">
        <v>48</v>
      </c>
      <c r="AN265" s="16" t="s">
        <v>2063</v>
      </c>
      <c r="AO265" s="16" t="s">
        <v>50</v>
      </c>
      <c r="AP265" s="16">
        <v>30</v>
      </c>
      <c r="AQ265" s="16">
        <v>2.2000000000000002</v>
      </c>
      <c r="AR265" s="18">
        <v>1500</v>
      </c>
      <c r="AS265" s="18">
        <v>1200</v>
      </c>
      <c r="AT265" s="19" t="s">
        <v>50</v>
      </c>
      <c r="AU265" s="19" t="s">
        <v>50</v>
      </c>
      <c r="AV265" s="19" t="s">
        <v>50</v>
      </c>
      <c r="AW265" s="19" t="s">
        <v>50</v>
      </c>
      <c r="AX265" s="19" t="s">
        <v>50</v>
      </c>
      <c r="AY265" s="19" t="s">
        <v>50</v>
      </c>
      <c r="AZ265" s="19" t="s">
        <v>50</v>
      </c>
      <c r="BA265" s="19" t="s">
        <v>50</v>
      </c>
      <c r="BB265" s="19" t="s">
        <v>50</v>
      </c>
      <c r="BC265" s="19" t="s">
        <v>50</v>
      </c>
      <c r="BD265" s="19" t="s">
        <v>50</v>
      </c>
      <c r="BE265" s="19" t="s">
        <v>50</v>
      </c>
      <c r="BF265" s="19" t="s">
        <v>50</v>
      </c>
      <c r="BG265" s="19" t="s">
        <v>50</v>
      </c>
      <c r="BH265" s="19" t="s">
        <v>50</v>
      </c>
      <c r="BI265" s="18">
        <v>1</v>
      </c>
      <c r="BJ265" s="18">
        <v>1710</v>
      </c>
      <c r="BK265" s="18">
        <v>3</v>
      </c>
      <c r="BL265" s="18">
        <v>30</v>
      </c>
      <c r="BM265" s="18">
        <v>1</v>
      </c>
      <c r="BN265" s="18">
        <v>0</v>
      </c>
      <c r="BO265" s="18">
        <v>0</v>
      </c>
    </row>
    <row r="266" spans="1:67" s="18" customFormat="1" ht="15.75" customHeight="1" x14ac:dyDescent="0.2">
      <c r="A266" s="16">
        <f t="shared" si="4"/>
        <v>2264</v>
      </c>
      <c r="B266" s="16" t="s">
        <v>3018</v>
      </c>
      <c r="C266" s="16" t="s">
        <v>3484</v>
      </c>
      <c r="D266" s="20" t="s">
        <v>3488</v>
      </c>
      <c r="E266" s="20" t="s">
        <v>2131</v>
      </c>
      <c r="F266" s="16">
        <v>1</v>
      </c>
      <c r="G266" s="16">
        <v>300</v>
      </c>
      <c r="H266" s="16">
        <v>0</v>
      </c>
      <c r="I266" s="16">
        <v>20</v>
      </c>
      <c r="J266" s="16">
        <v>150</v>
      </c>
      <c r="K266" s="16">
        <v>1</v>
      </c>
      <c r="L266" s="16">
        <v>0</v>
      </c>
      <c r="M266" s="16">
        <v>20</v>
      </c>
      <c r="N266" s="16">
        <v>20</v>
      </c>
      <c r="O266" s="16">
        <v>0</v>
      </c>
      <c r="P266" s="16">
        <v>0</v>
      </c>
      <c r="Q266" s="16">
        <v>0</v>
      </c>
      <c r="R266" s="16">
        <v>30</v>
      </c>
      <c r="S266" s="16">
        <v>30</v>
      </c>
      <c r="T266" s="16">
        <v>0</v>
      </c>
      <c r="U266" s="16">
        <v>0</v>
      </c>
      <c r="V266" s="16">
        <v>0</v>
      </c>
      <c r="W266" s="16">
        <v>0</v>
      </c>
      <c r="X266" s="16">
        <v>0</v>
      </c>
      <c r="Y266" s="16">
        <v>50</v>
      </c>
      <c r="Z266" s="16">
        <v>0</v>
      </c>
      <c r="AA266" s="16">
        <v>0</v>
      </c>
      <c r="AB266" s="16">
        <v>20</v>
      </c>
      <c r="AC266" s="16">
        <v>0</v>
      </c>
      <c r="AD266" s="16">
        <v>0</v>
      </c>
      <c r="AE266" s="16">
        <v>20</v>
      </c>
      <c r="AF266" s="16">
        <v>0</v>
      </c>
      <c r="AG266" s="16">
        <v>5</v>
      </c>
      <c r="AH266" s="16">
        <v>10</v>
      </c>
      <c r="AI266" s="16">
        <v>0</v>
      </c>
      <c r="AJ266" s="16">
        <v>0</v>
      </c>
      <c r="AK266" s="16">
        <v>0</v>
      </c>
      <c r="AL266" s="16" t="s">
        <v>31</v>
      </c>
      <c r="AM266" s="16" t="s">
        <v>48</v>
      </c>
      <c r="AN266" s="16" t="s">
        <v>2860</v>
      </c>
      <c r="AO266" s="16" t="s">
        <v>50</v>
      </c>
      <c r="AP266" s="16">
        <v>30</v>
      </c>
      <c r="AQ266" s="16">
        <v>2.2000000000000002</v>
      </c>
      <c r="AR266" s="18">
        <v>1500</v>
      </c>
      <c r="AS266" s="18">
        <v>1200</v>
      </c>
      <c r="AT266" s="19" t="s">
        <v>50</v>
      </c>
      <c r="AU266" s="19" t="s">
        <v>50</v>
      </c>
      <c r="AV266" s="19" t="s">
        <v>50</v>
      </c>
      <c r="AW266" s="19" t="s">
        <v>50</v>
      </c>
      <c r="AX266" s="19" t="s">
        <v>50</v>
      </c>
      <c r="AY266" s="19" t="s">
        <v>50</v>
      </c>
      <c r="AZ266" s="19" t="s">
        <v>50</v>
      </c>
      <c r="BA266" s="19" t="s">
        <v>50</v>
      </c>
      <c r="BB266" s="19" t="s">
        <v>50</v>
      </c>
      <c r="BC266" s="19" t="s">
        <v>50</v>
      </c>
      <c r="BD266" s="19" t="s">
        <v>50</v>
      </c>
      <c r="BE266" s="19" t="s">
        <v>50</v>
      </c>
      <c r="BF266" s="19" t="s">
        <v>50</v>
      </c>
      <c r="BG266" s="19" t="s">
        <v>50</v>
      </c>
      <c r="BH266" s="19" t="s">
        <v>50</v>
      </c>
      <c r="BI266" s="18">
        <v>1</v>
      </c>
      <c r="BJ266" s="18">
        <v>1711</v>
      </c>
      <c r="BK266" s="18">
        <v>3</v>
      </c>
      <c r="BL266" s="18">
        <v>30</v>
      </c>
      <c r="BM266" s="18">
        <v>0</v>
      </c>
      <c r="BN266" s="18">
        <v>0</v>
      </c>
      <c r="BO266" s="18">
        <v>0</v>
      </c>
    </row>
    <row r="267" spans="1:67" s="18" customFormat="1" ht="15.75" customHeight="1" x14ac:dyDescent="0.2">
      <c r="A267" s="16">
        <f t="shared" si="4"/>
        <v>2265</v>
      </c>
      <c r="B267" s="16" t="s">
        <v>3019</v>
      </c>
      <c r="C267" s="16" t="s">
        <v>3485</v>
      </c>
      <c r="D267" s="20" t="s">
        <v>3489</v>
      </c>
      <c r="E267" s="20" t="s">
        <v>2132</v>
      </c>
      <c r="F267" s="16">
        <v>1</v>
      </c>
      <c r="G267" s="16">
        <v>300</v>
      </c>
      <c r="H267" s="16">
        <v>0</v>
      </c>
      <c r="I267" s="16">
        <v>20</v>
      </c>
      <c r="J267" s="16">
        <v>150</v>
      </c>
      <c r="K267" s="16">
        <v>1</v>
      </c>
      <c r="L267" s="16">
        <v>0</v>
      </c>
      <c r="M267" s="16">
        <v>20</v>
      </c>
      <c r="N267" s="16">
        <v>20</v>
      </c>
      <c r="O267" s="16">
        <v>0</v>
      </c>
      <c r="P267" s="16">
        <v>0</v>
      </c>
      <c r="Q267" s="16">
        <v>0</v>
      </c>
      <c r="R267" s="16">
        <v>30</v>
      </c>
      <c r="S267" s="16">
        <v>30</v>
      </c>
      <c r="T267" s="16">
        <v>0</v>
      </c>
      <c r="U267" s="16">
        <v>0</v>
      </c>
      <c r="V267" s="16">
        <v>0</v>
      </c>
      <c r="W267" s="16">
        <v>0</v>
      </c>
      <c r="X267" s="16">
        <v>0</v>
      </c>
      <c r="Y267" s="16">
        <v>50</v>
      </c>
      <c r="Z267" s="16">
        <v>0</v>
      </c>
      <c r="AA267" s="16">
        <v>0</v>
      </c>
      <c r="AB267" s="16">
        <v>20</v>
      </c>
      <c r="AC267" s="16">
        <v>40</v>
      </c>
      <c r="AD267" s="16">
        <v>0</v>
      </c>
      <c r="AE267" s="16">
        <v>0</v>
      </c>
      <c r="AF267" s="16">
        <v>20</v>
      </c>
      <c r="AG267" s="16">
        <v>10</v>
      </c>
      <c r="AH267" s="16">
        <v>10</v>
      </c>
      <c r="AI267" s="16">
        <v>0</v>
      </c>
      <c r="AJ267" s="16">
        <v>0</v>
      </c>
      <c r="AK267" s="16">
        <v>0</v>
      </c>
      <c r="AL267" s="16" t="s">
        <v>31</v>
      </c>
      <c r="AM267" s="16" t="s">
        <v>48</v>
      </c>
      <c r="AN267" s="16" t="s">
        <v>2859</v>
      </c>
      <c r="AO267" s="16" t="s">
        <v>50</v>
      </c>
      <c r="AP267" s="16">
        <v>30</v>
      </c>
      <c r="AQ267" s="16">
        <v>2.2000000000000002</v>
      </c>
      <c r="AR267" s="18">
        <v>1500</v>
      </c>
      <c r="AS267" s="18">
        <v>1200</v>
      </c>
      <c r="AT267" s="19" t="s">
        <v>50</v>
      </c>
      <c r="AU267" s="19" t="s">
        <v>50</v>
      </c>
      <c r="AV267" s="19" t="s">
        <v>50</v>
      </c>
      <c r="AW267" s="19" t="s">
        <v>50</v>
      </c>
      <c r="AX267" s="19" t="s">
        <v>50</v>
      </c>
      <c r="AY267" s="19" t="s">
        <v>50</v>
      </c>
      <c r="AZ267" s="19" t="s">
        <v>50</v>
      </c>
      <c r="BA267" s="19" t="s">
        <v>50</v>
      </c>
      <c r="BB267" s="19" t="s">
        <v>50</v>
      </c>
      <c r="BC267" s="19" t="s">
        <v>50</v>
      </c>
      <c r="BD267" s="19" t="s">
        <v>50</v>
      </c>
      <c r="BE267" s="19" t="s">
        <v>50</v>
      </c>
      <c r="BF267" s="19" t="s">
        <v>50</v>
      </c>
      <c r="BG267" s="19" t="s">
        <v>50</v>
      </c>
      <c r="BH267" s="19" t="s">
        <v>50</v>
      </c>
      <c r="BI267" s="18">
        <v>1</v>
      </c>
      <c r="BJ267" s="18">
        <v>1712</v>
      </c>
      <c r="BK267" s="18">
        <v>3</v>
      </c>
      <c r="BL267" s="18">
        <v>30</v>
      </c>
      <c r="BM267" s="18">
        <v>0</v>
      </c>
      <c r="BN267" s="18">
        <v>0</v>
      </c>
      <c r="BO267" s="18">
        <v>0</v>
      </c>
    </row>
    <row r="268" spans="1:67" s="9" customFormat="1" ht="15.75" customHeight="1" x14ac:dyDescent="0.2">
      <c r="A268" s="7">
        <f t="shared" si="4"/>
        <v>2266</v>
      </c>
      <c r="B268" s="7" t="s">
        <v>2057</v>
      </c>
      <c r="C268" s="7" t="s">
        <v>3498</v>
      </c>
      <c r="D268" s="11" t="s">
        <v>3505</v>
      </c>
      <c r="E268" s="11" t="s">
        <v>2141</v>
      </c>
      <c r="F268" s="7">
        <v>1</v>
      </c>
      <c r="G268" s="7">
        <v>300</v>
      </c>
      <c r="H268" s="7">
        <v>0</v>
      </c>
      <c r="I268" s="7">
        <v>20</v>
      </c>
      <c r="J268" s="7">
        <v>150</v>
      </c>
      <c r="K268" s="7">
        <v>1</v>
      </c>
      <c r="L268" s="7">
        <v>0</v>
      </c>
      <c r="M268" s="7">
        <v>20</v>
      </c>
      <c r="N268" s="7">
        <v>20</v>
      </c>
      <c r="O268" s="7">
        <v>0</v>
      </c>
      <c r="P268" s="7">
        <v>0</v>
      </c>
      <c r="Q268" s="7">
        <v>0</v>
      </c>
      <c r="R268" s="7">
        <v>30</v>
      </c>
      <c r="S268" s="7">
        <v>30</v>
      </c>
      <c r="T268" s="7">
        <v>0</v>
      </c>
      <c r="U268" s="7">
        <v>0</v>
      </c>
      <c r="V268" s="7">
        <v>0</v>
      </c>
      <c r="W268" s="7">
        <v>0</v>
      </c>
      <c r="X268" s="7">
        <v>0</v>
      </c>
      <c r="Y268" s="7">
        <v>50</v>
      </c>
      <c r="Z268" s="7">
        <v>0</v>
      </c>
      <c r="AA268" s="7">
        <v>0</v>
      </c>
      <c r="AB268" s="7">
        <v>0</v>
      </c>
      <c r="AC268" s="7">
        <v>0</v>
      </c>
      <c r="AD268" s="7">
        <v>0</v>
      </c>
      <c r="AE268" s="7">
        <v>0</v>
      </c>
      <c r="AF268" s="7">
        <v>0</v>
      </c>
      <c r="AG268" s="7">
        <v>0</v>
      </c>
      <c r="AH268" s="7">
        <v>0</v>
      </c>
      <c r="AI268" s="7">
        <v>0</v>
      </c>
      <c r="AJ268" s="7">
        <v>0</v>
      </c>
      <c r="AK268" s="7">
        <v>0</v>
      </c>
      <c r="AL268" s="7" t="s">
        <v>31</v>
      </c>
      <c r="AM268" s="7" t="s">
        <v>48</v>
      </c>
      <c r="AN268" s="7" t="s">
        <v>2861</v>
      </c>
      <c r="AO268" s="7" t="s">
        <v>50</v>
      </c>
      <c r="AP268" s="7">
        <v>30</v>
      </c>
      <c r="AQ268" s="7">
        <v>2.2000000000000002</v>
      </c>
      <c r="AR268" s="9">
        <v>1500</v>
      </c>
      <c r="AS268" s="9">
        <v>1200</v>
      </c>
      <c r="AT268" s="10" t="s">
        <v>50</v>
      </c>
      <c r="AU268" s="10" t="s">
        <v>50</v>
      </c>
      <c r="AV268" s="10" t="s">
        <v>50</v>
      </c>
      <c r="AW268" s="10" t="s">
        <v>50</v>
      </c>
      <c r="AX268" s="10" t="s">
        <v>50</v>
      </c>
      <c r="AY268" s="10" t="s">
        <v>50</v>
      </c>
      <c r="AZ268" s="10" t="s">
        <v>50</v>
      </c>
      <c r="BA268" s="10" t="s">
        <v>50</v>
      </c>
      <c r="BB268" s="10" t="s">
        <v>50</v>
      </c>
      <c r="BC268" s="10" t="s">
        <v>50</v>
      </c>
      <c r="BD268" s="10" t="s">
        <v>50</v>
      </c>
      <c r="BE268" s="10" t="s">
        <v>50</v>
      </c>
      <c r="BF268" s="10" t="s">
        <v>50</v>
      </c>
      <c r="BG268" s="10" t="s">
        <v>50</v>
      </c>
      <c r="BH268" s="10" t="s">
        <v>50</v>
      </c>
      <c r="BI268" s="9">
        <v>0</v>
      </c>
      <c r="BJ268" s="9">
        <v>0</v>
      </c>
      <c r="BK268" s="9">
        <v>1</v>
      </c>
      <c r="BL268" s="9">
        <v>30</v>
      </c>
      <c r="BM268" s="9">
        <v>0</v>
      </c>
      <c r="BN268" s="9">
        <v>0</v>
      </c>
      <c r="BO268" s="9">
        <v>0</v>
      </c>
    </row>
    <row r="269" spans="1:67" s="18" customFormat="1" ht="15.75" customHeight="1" x14ac:dyDescent="0.2">
      <c r="A269" s="16">
        <f t="shared" si="4"/>
        <v>2267</v>
      </c>
      <c r="B269" s="16" t="s">
        <v>2843</v>
      </c>
      <c r="C269" s="16" t="s">
        <v>3486</v>
      </c>
      <c r="D269" s="20" t="s">
        <v>3490</v>
      </c>
      <c r="E269" s="20" t="s">
        <v>2841</v>
      </c>
      <c r="F269" s="16">
        <v>1</v>
      </c>
      <c r="G269" s="16">
        <v>300</v>
      </c>
      <c r="H269" s="16">
        <v>0</v>
      </c>
      <c r="I269" s="16">
        <v>20</v>
      </c>
      <c r="J269" s="16">
        <v>150</v>
      </c>
      <c r="K269" s="16">
        <v>1</v>
      </c>
      <c r="L269" s="16">
        <v>0</v>
      </c>
      <c r="M269" s="16">
        <v>20</v>
      </c>
      <c r="N269" s="16">
        <v>20</v>
      </c>
      <c r="O269" s="16">
        <v>0</v>
      </c>
      <c r="P269" s="16">
        <v>0</v>
      </c>
      <c r="Q269" s="16">
        <v>0</v>
      </c>
      <c r="R269" s="16">
        <v>30</v>
      </c>
      <c r="S269" s="16">
        <v>30</v>
      </c>
      <c r="T269" s="16">
        <v>0</v>
      </c>
      <c r="U269" s="16">
        <v>0</v>
      </c>
      <c r="V269" s="16">
        <v>0</v>
      </c>
      <c r="W269" s="16">
        <v>0</v>
      </c>
      <c r="X269" s="16">
        <v>0</v>
      </c>
      <c r="Y269" s="16">
        <v>50</v>
      </c>
      <c r="Z269" s="16">
        <v>0</v>
      </c>
      <c r="AA269" s="16">
        <v>0</v>
      </c>
      <c r="AB269" s="16">
        <v>20</v>
      </c>
      <c r="AC269" s="16">
        <v>0</v>
      </c>
      <c r="AD269" s="16">
        <v>0</v>
      </c>
      <c r="AE269" s="16">
        <v>0</v>
      </c>
      <c r="AF269" s="16">
        <v>20</v>
      </c>
      <c r="AG269" s="16">
        <v>10</v>
      </c>
      <c r="AH269" s="16">
        <v>30</v>
      </c>
      <c r="AI269" s="16">
        <v>0</v>
      </c>
      <c r="AJ269" s="16">
        <v>0</v>
      </c>
      <c r="AK269" s="16">
        <v>0</v>
      </c>
      <c r="AL269" s="16" t="s">
        <v>31</v>
      </c>
      <c r="AM269" s="16" t="s">
        <v>48</v>
      </c>
      <c r="AN269" s="16" t="s">
        <v>2858</v>
      </c>
      <c r="AO269" s="16" t="s">
        <v>51</v>
      </c>
      <c r="AP269" s="16">
        <v>30</v>
      </c>
      <c r="AQ269" s="16">
        <v>2.2000000000000002</v>
      </c>
      <c r="AR269" s="18">
        <v>1500</v>
      </c>
      <c r="AS269" s="18">
        <v>1200</v>
      </c>
      <c r="AT269" s="19" t="s">
        <v>50</v>
      </c>
      <c r="AU269" s="19" t="s">
        <v>50</v>
      </c>
      <c r="AV269" s="19" t="s">
        <v>50</v>
      </c>
      <c r="AW269" s="19" t="s">
        <v>50</v>
      </c>
      <c r="AX269" s="19" t="s">
        <v>50</v>
      </c>
      <c r="AY269" s="19" t="s">
        <v>50</v>
      </c>
      <c r="AZ269" s="19" t="s">
        <v>50</v>
      </c>
      <c r="BA269" s="19" t="s">
        <v>50</v>
      </c>
      <c r="BB269" s="19" t="s">
        <v>50</v>
      </c>
      <c r="BC269" s="19" t="s">
        <v>50</v>
      </c>
      <c r="BD269" s="19" t="s">
        <v>50</v>
      </c>
      <c r="BE269" s="19" t="s">
        <v>50</v>
      </c>
      <c r="BF269" s="19" t="s">
        <v>50</v>
      </c>
      <c r="BG269" s="19" t="s">
        <v>50</v>
      </c>
      <c r="BH269" s="19" t="s">
        <v>50</v>
      </c>
      <c r="BI269" s="18">
        <v>1</v>
      </c>
      <c r="BJ269" s="18">
        <v>1713</v>
      </c>
      <c r="BK269" s="18">
        <v>3</v>
      </c>
      <c r="BL269" s="18">
        <v>30</v>
      </c>
      <c r="BM269" s="18">
        <v>1</v>
      </c>
      <c r="BN269" s="18">
        <v>0</v>
      </c>
      <c r="BO269" s="18">
        <v>0</v>
      </c>
    </row>
    <row r="270" spans="1:67" s="18" customFormat="1" ht="15.75" customHeight="1" x14ac:dyDescent="0.2">
      <c r="A270" s="16">
        <f t="shared" si="4"/>
        <v>2268</v>
      </c>
      <c r="B270" s="16" t="s">
        <v>3492</v>
      </c>
      <c r="C270" s="16" t="s">
        <v>3492</v>
      </c>
      <c r="D270" s="20" t="s">
        <v>3499</v>
      </c>
      <c r="E270" s="20" t="s">
        <v>3506</v>
      </c>
      <c r="F270" s="16">
        <v>1</v>
      </c>
      <c r="G270" s="16">
        <v>300</v>
      </c>
      <c r="H270" s="16">
        <v>0</v>
      </c>
      <c r="I270" s="16">
        <v>20</v>
      </c>
      <c r="J270" s="16">
        <v>150</v>
      </c>
      <c r="K270" s="16">
        <v>1</v>
      </c>
      <c r="L270" s="16">
        <v>0</v>
      </c>
      <c r="M270" s="16">
        <v>20</v>
      </c>
      <c r="N270" s="16">
        <v>20</v>
      </c>
      <c r="O270" s="16">
        <v>0</v>
      </c>
      <c r="P270" s="16">
        <v>0</v>
      </c>
      <c r="Q270" s="16">
        <v>0</v>
      </c>
      <c r="R270" s="16">
        <v>30</v>
      </c>
      <c r="S270" s="16">
        <v>30</v>
      </c>
      <c r="T270" s="16">
        <v>0</v>
      </c>
      <c r="U270" s="16">
        <v>0</v>
      </c>
      <c r="V270" s="16">
        <v>0</v>
      </c>
      <c r="W270" s="16">
        <v>0</v>
      </c>
      <c r="X270" s="16">
        <v>0</v>
      </c>
      <c r="Y270" s="16">
        <v>50</v>
      </c>
      <c r="Z270" s="16">
        <v>0</v>
      </c>
      <c r="AA270" s="16">
        <v>0</v>
      </c>
      <c r="AB270" s="16">
        <v>20</v>
      </c>
      <c r="AC270" s="16">
        <v>0</v>
      </c>
      <c r="AD270" s="16">
        <v>0</v>
      </c>
      <c r="AE270" s="16">
        <v>10</v>
      </c>
      <c r="AF270" s="16">
        <v>0</v>
      </c>
      <c r="AG270" s="16">
        <v>5</v>
      </c>
      <c r="AH270" s="16">
        <v>5</v>
      </c>
      <c r="AI270" s="16">
        <v>0</v>
      </c>
      <c r="AJ270" s="16">
        <v>0</v>
      </c>
      <c r="AK270" s="16">
        <v>0</v>
      </c>
      <c r="AL270" s="16" t="s">
        <v>31</v>
      </c>
      <c r="AM270" s="16" t="s">
        <v>48</v>
      </c>
      <c r="AN270" s="16" t="s">
        <v>2022</v>
      </c>
      <c r="AO270" s="16" t="s">
        <v>50</v>
      </c>
      <c r="AP270" s="16">
        <v>30</v>
      </c>
      <c r="AQ270" s="16">
        <v>2.2000000000000002</v>
      </c>
      <c r="AR270" s="18">
        <v>1500</v>
      </c>
      <c r="AS270" s="18">
        <v>1200</v>
      </c>
      <c r="AT270" s="19" t="s">
        <v>50</v>
      </c>
      <c r="AU270" s="19" t="s">
        <v>50</v>
      </c>
      <c r="AV270" s="19" t="s">
        <v>50</v>
      </c>
      <c r="AW270" s="19" t="s">
        <v>50</v>
      </c>
      <c r="AX270" s="19" t="s">
        <v>50</v>
      </c>
      <c r="AY270" s="19" t="s">
        <v>50</v>
      </c>
      <c r="AZ270" s="19" t="s">
        <v>50</v>
      </c>
      <c r="BA270" s="19" t="s">
        <v>50</v>
      </c>
      <c r="BB270" s="19" t="s">
        <v>50</v>
      </c>
      <c r="BC270" s="19" t="s">
        <v>50</v>
      </c>
      <c r="BD270" s="19" t="s">
        <v>50</v>
      </c>
      <c r="BE270" s="19" t="s">
        <v>50</v>
      </c>
      <c r="BF270" s="19" t="s">
        <v>50</v>
      </c>
      <c r="BG270" s="19" t="s">
        <v>50</v>
      </c>
      <c r="BH270" s="19" t="s">
        <v>50</v>
      </c>
      <c r="BI270" s="18">
        <v>1</v>
      </c>
      <c r="BJ270" s="18">
        <v>1702</v>
      </c>
      <c r="BK270" s="18">
        <v>3</v>
      </c>
      <c r="BL270" s="18">
        <v>30</v>
      </c>
      <c r="BM270" s="18">
        <v>0</v>
      </c>
      <c r="BN270" s="18">
        <v>0</v>
      </c>
      <c r="BO270" s="18">
        <v>0</v>
      </c>
    </row>
    <row r="271" spans="1:67" s="9" customFormat="1" ht="15.75" customHeight="1" x14ac:dyDescent="0.2">
      <c r="A271" s="7">
        <f t="shared" si="4"/>
        <v>2269</v>
      </c>
      <c r="B271" s="7" t="s">
        <v>3020</v>
      </c>
      <c r="C271" s="7" t="s">
        <v>3493</v>
      </c>
      <c r="D271" s="11" t="s">
        <v>3500</v>
      </c>
      <c r="E271" s="11" t="s">
        <v>2135</v>
      </c>
      <c r="F271" s="7">
        <v>1</v>
      </c>
      <c r="G271" s="7">
        <v>300</v>
      </c>
      <c r="H271" s="7">
        <v>0</v>
      </c>
      <c r="I271" s="7">
        <v>20</v>
      </c>
      <c r="J271" s="7">
        <v>150</v>
      </c>
      <c r="K271" s="7">
        <v>1</v>
      </c>
      <c r="L271" s="7">
        <v>0</v>
      </c>
      <c r="M271" s="7">
        <v>20</v>
      </c>
      <c r="N271" s="7">
        <v>20</v>
      </c>
      <c r="O271" s="7">
        <v>0</v>
      </c>
      <c r="P271" s="7">
        <v>0</v>
      </c>
      <c r="Q271" s="7">
        <v>0</v>
      </c>
      <c r="R271" s="7">
        <v>30</v>
      </c>
      <c r="S271" s="7">
        <v>30</v>
      </c>
      <c r="T271" s="7">
        <v>0</v>
      </c>
      <c r="U271" s="7">
        <v>0</v>
      </c>
      <c r="V271" s="7">
        <v>0</v>
      </c>
      <c r="W271" s="7">
        <v>0</v>
      </c>
      <c r="X271" s="7">
        <v>0</v>
      </c>
      <c r="Y271" s="7">
        <v>50</v>
      </c>
      <c r="Z271" s="7">
        <v>0</v>
      </c>
      <c r="AA271" s="7">
        <v>50</v>
      </c>
      <c r="AB271" s="7">
        <v>20</v>
      </c>
      <c r="AC271" s="7">
        <v>0</v>
      </c>
      <c r="AD271" s="7">
        <v>0</v>
      </c>
      <c r="AE271" s="7">
        <v>10</v>
      </c>
      <c r="AF271" s="7">
        <v>0</v>
      </c>
      <c r="AG271" s="7">
        <v>5</v>
      </c>
      <c r="AH271" s="7">
        <v>50</v>
      </c>
      <c r="AI271" s="7">
        <v>0</v>
      </c>
      <c r="AJ271" s="7">
        <v>0</v>
      </c>
      <c r="AK271" s="7">
        <v>0</v>
      </c>
      <c r="AL271" s="7" t="s">
        <v>31</v>
      </c>
      <c r="AM271" s="7" t="s">
        <v>48</v>
      </c>
      <c r="AN271" s="7" t="s">
        <v>2063</v>
      </c>
      <c r="AO271" s="7" t="s">
        <v>50</v>
      </c>
      <c r="AP271" s="7">
        <v>30</v>
      </c>
      <c r="AQ271" s="7">
        <v>2.2000000000000002</v>
      </c>
      <c r="AR271" s="9">
        <v>1500</v>
      </c>
      <c r="AS271" s="9">
        <v>1200</v>
      </c>
      <c r="AT271" s="10" t="s">
        <v>50</v>
      </c>
      <c r="AU271" s="10" t="s">
        <v>50</v>
      </c>
      <c r="AV271" s="10" t="s">
        <v>50</v>
      </c>
      <c r="AW271" s="10" t="s">
        <v>50</v>
      </c>
      <c r="AX271" s="10" t="s">
        <v>50</v>
      </c>
      <c r="AY271" s="10" t="s">
        <v>50</v>
      </c>
      <c r="AZ271" s="10" t="s">
        <v>50</v>
      </c>
      <c r="BA271" s="10" t="s">
        <v>50</v>
      </c>
      <c r="BB271" s="10" t="s">
        <v>50</v>
      </c>
      <c r="BC271" s="10" t="s">
        <v>50</v>
      </c>
      <c r="BD271" s="10" t="s">
        <v>50</v>
      </c>
      <c r="BE271" s="10" t="s">
        <v>50</v>
      </c>
      <c r="BF271" s="10" t="s">
        <v>50</v>
      </c>
      <c r="BG271" s="10" t="s">
        <v>50</v>
      </c>
      <c r="BH271" s="10" t="s">
        <v>50</v>
      </c>
      <c r="BI271" s="9">
        <v>1</v>
      </c>
      <c r="BJ271" s="9">
        <v>1710</v>
      </c>
      <c r="BK271" s="9">
        <v>3</v>
      </c>
      <c r="BL271" s="9">
        <v>30</v>
      </c>
      <c r="BM271" s="9">
        <v>1</v>
      </c>
      <c r="BN271" s="9">
        <v>0</v>
      </c>
      <c r="BO271" s="9">
        <v>0</v>
      </c>
    </row>
    <row r="272" spans="1:67" s="9" customFormat="1" ht="15.75" customHeight="1" x14ac:dyDescent="0.2">
      <c r="A272" s="7">
        <f t="shared" si="4"/>
        <v>2270</v>
      </c>
      <c r="B272" s="7" t="s">
        <v>3018</v>
      </c>
      <c r="C272" s="7" t="s">
        <v>3494</v>
      </c>
      <c r="D272" s="11" t="s">
        <v>3501</v>
      </c>
      <c r="E272" s="11" t="s">
        <v>2131</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0</v>
      </c>
      <c r="AB272" s="7">
        <v>20</v>
      </c>
      <c r="AC272" s="7">
        <v>0</v>
      </c>
      <c r="AD272" s="7">
        <v>0</v>
      </c>
      <c r="AE272" s="7">
        <v>20</v>
      </c>
      <c r="AF272" s="7">
        <v>0</v>
      </c>
      <c r="AG272" s="7">
        <v>5</v>
      </c>
      <c r="AH272" s="7">
        <v>10</v>
      </c>
      <c r="AI272" s="7">
        <v>0</v>
      </c>
      <c r="AJ272" s="7">
        <v>0</v>
      </c>
      <c r="AK272" s="7">
        <v>0</v>
      </c>
      <c r="AL272" s="7" t="s">
        <v>31</v>
      </c>
      <c r="AM272" s="7" t="s">
        <v>48</v>
      </c>
      <c r="AN272" s="7" t="s">
        <v>2860</v>
      </c>
      <c r="AO272" s="7" t="s">
        <v>50</v>
      </c>
      <c r="AP272" s="7">
        <v>30</v>
      </c>
      <c r="AQ272" s="7">
        <v>2.2000000000000002</v>
      </c>
      <c r="AR272" s="9">
        <v>1500</v>
      </c>
      <c r="AS272" s="9">
        <v>1200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1711</v>
      </c>
      <c r="BK272" s="9">
        <v>3</v>
      </c>
      <c r="BL272" s="9">
        <v>30</v>
      </c>
      <c r="BM272" s="9">
        <v>0</v>
      </c>
      <c r="BN272" s="9">
        <v>0</v>
      </c>
      <c r="BO272" s="9">
        <v>0</v>
      </c>
    </row>
    <row r="273" spans="1:67" s="9" customFormat="1" ht="15.75" customHeight="1" x14ac:dyDescent="0.2">
      <c r="A273" s="7">
        <f t="shared" si="4"/>
        <v>2271</v>
      </c>
      <c r="B273" s="7" t="s">
        <v>3019</v>
      </c>
      <c r="C273" s="7" t="s">
        <v>3495</v>
      </c>
      <c r="D273" s="11" t="s">
        <v>3502</v>
      </c>
      <c r="E273" s="11" t="s">
        <v>2132</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40</v>
      </c>
      <c r="AD273" s="7">
        <v>0</v>
      </c>
      <c r="AE273" s="7">
        <v>0</v>
      </c>
      <c r="AF273" s="7">
        <v>20</v>
      </c>
      <c r="AG273" s="7">
        <v>10</v>
      </c>
      <c r="AH273" s="7">
        <v>10</v>
      </c>
      <c r="AI273" s="7">
        <v>0</v>
      </c>
      <c r="AJ273" s="7">
        <v>0</v>
      </c>
      <c r="AK273" s="7">
        <v>0</v>
      </c>
      <c r="AL273" s="7" t="s">
        <v>31</v>
      </c>
      <c r="AM273" s="7" t="s">
        <v>48</v>
      </c>
      <c r="AN273" s="7" t="s">
        <v>2859</v>
      </c>
      <c r="AO273" s="7" t="s">
        <v>50</v>
      </c>
      <c r="AP273" s="7">
        <v>30</v>
      </c>
      <c r="AQ273" s="7">
        <v>2.2000000000000002</v>
      </c>
      <c r="AR273" s="9">
        <v>1500</v>
      </c>
      <c r="AS273" s="9">
        <v>1200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1712</v>
      </c>
      <c r="BK273" s="9">
        <v>3</v>
      </c>
      <c r="BL273" s="9">
        <v>30</v>
      </c>
      <c r="BM273" s="9">
        <v>0</v>
      </c>
      <c r="BN273" s="9">
        <v>0</v>
      </c>
      <c r="BO273" s="9">
        <v>0</v>
      </c>
    </row>
    <row r="274" spans="1:67" s="9" customFormat="1" ht="15.75" customHeight="1" x14ac:dyDescent="0.2">
      <c r="A274" s="7">
        <f t="shared" si="4"/>
        <v>2272</v>
      </c>
      <c r="B274" s="7" t="s">
        <v>2057</v>
      </c>
      <c r="C274" s="7" t="s">
        <v>3497</v>
      </c>
      <c r="D274" s="11" t="s">
        <v>3504</v>
      </c>
      <c r="E274" s="11" t="s">
        <v>2141</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0</v>
      </c>
      <c r="AC274" s="7">
        <v>0</v>
      </c>
      <c r="AD274" s="7">
        <v>0</v>
      </c>
      <c r="AE274" s="7">
        <v>0</v>
      </c>
      <c r="AF274" s="7">
        <v>0</v>
      </c>
      <c r="AG274" s="7">
        <v>0</v>
      </c>
      <c r="AH274" s="7">
        <v>0</v>
      </c>
      <c r="AI274" s="7">
        <v>0</v>
      </c>
      <c r="AJ274" s="7">
        <v>0</v>
      </c>
      <c r="AK274" s="7">
        <v>0</v>
      </c>
      <c r="AL274" s="7" t="s">
        <v>31</v>
      </c>
      <c r="AM274" s="7" t="s">
        <v>48</v>
      </c>
      <c r="AN274" s="7" t="s">
        <v>2861</v>
      </c>
      <c r="AO274" s="7" t="s">
        <v>50</v>
      </c>
      <c r="AP274" s="7">
        <v>30</v>
      </c>
      <c r="AQ274" s="7">
        <v>2.2000000000000002</v>
      </c>
      <c r="AR274" s="9">
        <v>1500</v>
      </c>
      <c r="AS274" s="9">
        <v>1200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0</v>
      </c>
      <c r="BJ274" s="9">
        <v>0</v>
      </c>
      <c r="BK274" s="9">
        <v>1</v>
      </c>
      <c r="BL274" s="9">
        <v>30</v>
      </c>
      <c r="BM274" s="9">
        <v>0</v>
      </c>
      <c r="BN274" s="9">
        <v>0</v>
      </c>
      <c r="BO274" s="9">
        <v>0</v>
      </c>
    </row>
    <row r="275" spans="1:67" s="9" customFormat="1" ht="15.75" customHeight="1" x14ac:dyDescent="0.2">
      <c r="A275" s="7">
        <f t="shared" si="4"/>
        <v>2273</v>
      </c>
      <c r="B275" s="7" t="s">
        <v>2843</v>
      </c>
      <c r="C275" s="7" t="s">
        <v>3496</v>
      </c>
      <c r="D275" s="11" t="s">
        <v>3503</v>
      </c>
      <c r="E275" s="11" t="s">
        <v>2841</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20</v>
      </c>
      <c r="AC275" s="7">
        <v>0</v>
      </c>
      <c r="AD275" s="7">
        <v>0</v>
      </c>
      <c r="AE275" s="7">
        <v>0</v>
      </c>
      <c r="AF275" s="7">
        <v>20</v>
      </c>
      <c r="AG275" s="7">
        <v>10</v>
      </c>
      <c r="AH275" s="7">
        <v>30</v>
      </c>
      <c r="AI275" s="7">
        <v>0</v>
      </c>
      <c r="AJ275" s="7">
        <v>0</v>
      </c>
      <c r="AK275" s="7">
        <v>0</v>
      </c>
      <c r="AL275" s="7" t="s">
        <v>31</v>
      </c>
      <c r="AM275" s="7" t="s">
        <v>48</v>
      </c>
      <c r="AN275" s="7" t="s">
        <v>2858</v>
      </c>
      <c r="AO275" s="7" t="s">
        <v>51</v>
      </c>
      <c r="AP275" s="7">
        <v>30</v>
      </c>
      <c r="AQ275" s="7">
        <v>2.2000000000000002</v>
      </c>
      <c r="AR275" s="9">
        <v>1500</v>
      </c>
      <c r="AS275" s="9">
        <v>1200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1</v>
      </c>
      <c r="BJ275" s="9">
        <v>1713</v>
      </c>
      <c r="BK275" s="9">
        <v>3</v>
      </c>
      <c r="BL275" s="9">
        <v>30</v>
      </c>
      <c r="BM275" s="9">
        <v>1</v>
      </c>
      <c r="BN275" s="9">
        <v>0</v>
      </c>
      <c r="BO275" s="9">
        <v>0</v>
      </c>
    </row>
    <row r="276" spans="1:67" s="9" customFormat="1" ht="15.75" customHeight="1" x14ac:dyDescent="0.2">
      <c r="A276" s="3">
        <f t="shared" si="4"/>
        <v>2274</v>
      </c>
      <c r="B276" s="7" t="s">
        <v>248</v>
      </c>
      <c r="C276" s="7" t="s">
        <v>248</v>
      </c>
      <c r="D276" s="11" t="s">
        <v>67</v>
      </c>
      <c r="E276" s="11" t="s">
        <v>177</v>
      </c>
      <c r="F276" s="7">
        <v>1</v>
      </c>
      <c r="G276" s="7">
        <v>300</v>
      </c>
      <c r="H276" s="7">
        <v>0</v>
      </c>
      <c r="I276" s="7">
        <v>90</v>
      </c>
      <c r="J276" s="7">
        <v>2000</v>
      </c>
      <c r="K276" s="7">
        <v>1</v>
      </c>
      <c r="L276" s="7">
        <v>0</v>
      </c>
      <c r="M276" s="7">
        <v>50</v>
      </c>
      <c r="N276" s="7">
        <v>20</v>
      </c>
      <c r="O276" s="7">
        <v>0</v>
      </c>
      <c r="P276" s="7">
        <v>0</v>
      </c>
      <c r="Q276" s="7">
        <v>0</v>
      </c>
      <c r="R276" s="7">
        <v>30</v>
      </c>
      <c r="S276" s="7">
        <v>30</v>
      </c>
      <c r="T276" s="7">
        <v>0</v>
      </c>
      <c r="U276" s="7">
        <v>0</v>
      </c>
      <c r="V276" s="7">
        <v>0</v>
      </c>
      <c r="W276" s="7">
        <v>0</v>
      </c>
      <c r="X276" s="7">
        <v>0</v>
      </c>
      <c r="Y276" s="7">
        <v>50</v>
      </c>
      <c r="Z276" s="7">
        <v>0</v>
      </c>
      <c r="AA276" s="7">
        <v>0</v>
      </c>
      <c r="AB276" s="7">
        <v>0</v>
      </c>
      <c r="AC276" s="7">
        <v>0</v>
      </c>
      <c r="AD276" s="7">
        <v>0</v>
      </c>
      <c r="AE276" s="7">
        <v>0</v>
      </c>
      <c r="AF276" s="7">
        <v>0</v>
      </c>
      <c r="AG276" s="7">
        <v>0</v>
      </c>
      <c r="AH276" s="7">
        <v>0</v>
      </c>
      <c r="AI276" s="7">
        <v>0</v>
      </c>
      <c r="AJ276" s="7">
        <v>0</v>
      </c>
      <c r="AK276" s="7">
        <v>0</v>
      </c>
      <c r="AL276" s="7" t="s">
        <v>31</v>
      </c>
      <c r="AM276" s="7" t="s">
        <v>48</v>
      </c>
      <c r="AN276" s="7" t="s">
        <v>2022</v>
      </c>
      <c r="AO276" s="7" t="s">
        <v>1853</v>
      </c>
      <c r="AP276" s="7">
        <v>30</v>
      </c>
      <c r="AQ276" s="7">
        <v>3</v>
      </c>
      <c r="AR276" s="9">
        <v>9999</v>
      </c>
      <c r="AS276" s="9">
        <v>8800</v>
      </c>
      <c r="AT276" s="10" t="s">
        <v>150</v>
      </c>
      <c r="AU276" s="10" t="s">
        <v>150</v>
      </c>
      <c r="AV276" s="10" t="s">
        <v>150</v>
      </c>
      <c r="AW276" s="10" t="s">
        <v>150</v>
      </c>
      <c r="AX276" s="10" t="s">
        <v>150</v>
      </c>
      <c r="AY276" s="10" t="s">
        <v>150</v>
      </c>
      <c r="AZ276" s="10" t="s">
        <v>150</v>
      </c>
      <c r="BA276" s="10" t="s">
        <v>150</v>
      </c>
      <c r="BB276" s="10" t="s">
        <v>150</v>
      </c>
      <c r="BC276" s="10" t="s">
        <v>150</v>
      </c>
      <c r="BD276" s="10" t="s">
        <v>50</v>
      </c>
      <c r="BE276" s="10" t="s">
        <v>50</v>
      </c>
      <c r="BF276" s="10" t="s">
        <v>50</v>
      </c>
      <c r="BG276" s="10" t="s">
        <v>50</v>
      </c>
      <c r="BH276" s="10" t="s">
        <v>50</v>
      </c>
      <c r="BI276" s="9">
        <v>1</v>
      </c>
      <c r="BJ276" s="9">
        <v>0</v>
      </c>
      <c r="BK276" s="9">
        <v>1</v>
      </c>
      <c r="BL276" s="9">
        <v>30</v>
      </c>
      <c r="BM276">
        <v>1</v>
      </c>
      <c r="BN276">
        <v>0</v>
      </c>
      <c r="BO276" s="9">
        <v>0</v>
      </c>
    </row>
    <row r="277" spans="1:67" s="37" customFormat="1" ht="15.75" customHeight="1" x14ac:dyDescent="0.2">
      <c r="A277" s="34">
        <f t="shared" si="4"/>
        <v>2275</v>
      </c>
      <c r="B277" s="34" t="s">
        <v>249</v>
      </c>
      <c r="C277" s="34" t="s">
        <v>249</v>
      </c>
      <c r="D277" s="36" t="s">
        <v>2354</v>
      </c>
      <c r="E277" s="36" t="s">
        <v>3456</v>
      </c>
      <c r="F277" s="34">
        <v>1</v>
      </c>
      <c r="G277" s="34">
        <v>300</v>
      </c>
      <c r="H277" s="34">
        <v>0</v>
      </c>
      <c r="I277" s="34">
        <v>100</v>
      </c>
      <c r="J277" s="34">
        <v>2000</v>
      </c>
      <c r="K277" s="34">
        <v>1</v>
      </c>
      <c r="L277" s="34">
        <v>0</v>
      </c>
      <c r="M277" s="34">
        <v>50</v>
      </c>
      <c r="N277" s="34">
        <v>20</v>
      </c>
      <c r="O277" s="34">
        <v>0</v>
      </c>
      <c r="P277" s="34">
        <v>0</v>
      </c>
      <c r="Q277" s="34">
        <v>0</v>
      </c>
      <c r="R277" s="34">
        <v>30</v>
      </c>
      <c r="S277" s="34">
        <v>30</v>
      </c>
      <c r="T277" s="34">
        <v>0</v>
      </c>
      <c r="U277" s="34">
        <v>0</v>
      </c>
      <c r="V277" s="34">
        <v>0</v>
      </c>
      <c r="W277" s="34">
        <v>0</v>
      </c>
      <c r="X277" s="34">
        <v>0</v>
      </c>
      <c r="Y277" s="34">
        <v>50</v>
      </c>
      <c r="Z277" s="34">
        <v>0</v>
      </c>
      <c r="AA277" s="34">
        <v>0</v>
      </c>
      <c r="AB277" s="34">
        <v>0</v>
      </c>
      <c r="AC277" s="34">
        <v>0</v>
      </c>
      <c r="AD277" s="34">
        <v>0</v>
      </c>
      <c r="AE277" s="34">
        <v>0</v>
      </c>
      <c r="AF277" s="34">
        <v>0</v>
      </c>
      <c r="AG277" s="34">
        <v>0</v>
      </c>
      <c r="AH277" s="34">
        <v>0</v>
      </c>
      <c r="AI277" s="34">
        <v>0</v>
      </c>
      <c r="AJ277" s="34">
        <v>0</v>
      </c>
      <c r="AK277" s="34">
        <v>0</v>
      </c>
      <c r="AL277" s="34" t="s">
        <v>31</v>
      </c>
      <c r="AM277" s="34" t="s">
        <v>48</v>
      </c>
      <c r="AN277" s="34" t="s">
        <v>2022</v>
      </c>
      <c r="AO277" s="34" t="s">
        <v>1853</v>
      </c>
      <c r="AP277" s="34">
        <v>30</v>
      </c>
      <c r="AQ277" s="34">
        <v>3</v>
      </c>
      <c r="AR277" s="37">
        <v>99999</v>
      </c>
      <c r="AS277" s="37">
        <v>7800</v>
      </c>
      <c r="AT277" s="38" t="s">
        <v>150</v>
      </c>
      <c r="AU277" s="38" t="s">
        <v>150</v>
      </c>
      <c r="AV277" s="38" t="s">
        <v>150</v>
      </c>
      <c r="AW277" s="38" t="s">
        <v>150</v>
      </c>
      <c r="AX277" s="38" t="s">
        <v>150</v>
      </c>
      <c r="AY277" s="38" t="s">
        <v>150</v>
      </c>
      <c r="AZ277" s="38" t="s">
        <v>150</v>
      </c>
      <c r="BA277" s="38" t="s">
        <v>150</v>
      </c>
      <c r="BB277" s="38" t="s">
        <v>150</v>
      </c>
      <c r="BC277" s="38" t="s">
        <v>150</v>
      </c>
      <c r="BD277" s="38" t="s">
        <v>50</v>
      </c>
      <c r="BE277" s="38" t="s">
        <v>50</v>
      </c>
      <c r="BF277" s="38" t="s">
        <v>50</v>
      </c>
      <c r="BG277" s="38" t="s">
        <v>50</v>
      </c>
      <c r="BH277" s="38" t="s">
        <v>50</v>
      </c>
      <c r="BI277" s="37">
        <v>1</v>
      </c>
      <c r="BJ277" s="37">
        <v>0</v>
      </c>
      <c r="BK277" s="37">
        <v>4</v>
      </c>
      <c r="BL277" s="37">
        <v>30</v>
      </c>
      <c r="BM277" s="37">
        <v>1</v>
      </c>
      <c r="BN277" s="37">
        <v>0</v>
      </c>
      <c r="BO277" s="37">
        <v>1</v>
      </c>
    </row>
    <row r="278" spans="1:67" ht="15.75" customHeight="1" x14ac:dyDescent="0.2">
      <c r="A278" s="3">
        <f t="shared" si="4"/>
        <v>2276</v>
      </c>
      <c r="B278" s="3" t="s">
        <v>3425</v>
      </c>
      <c r="C278" s="3" t="s">
        <v>2158</v>
      </c>
      <c r="D278" s="4" t="s">
        <v>175</v>
      </c>
      <c r="E278" s="4" t="s">
        <v>176</v>
      </c>
      <c r="F278" s="3">
        <v>1</v>
      </c>
      <c r="G278" s="3">
        <v>300</v>
      </c>
      <c r="H278" s="3">
        <v>0</v>
      </c>
      <c r="I278" s="3">
        <v>50</v>
      </c>
      <c r="J278" s="3">
        <v>3000</v>
      </c>
      <c r="K278" s="3">
        <v>1</v>
      </c>
      <c r="L278" s="3">
        <v>0</v>
      </c>
      <c r="M278" s="3">
        <v>50</v>
      </c>
      <c r="N278" s="3">
        <v>30</v>
      </c>
      <c r="O278" s="3">
        <v>0</v>
      </c>
      <c r="P278" s="3">
        <v>0</v>
      </c>
      <c r="Q278" s="3">
        <v>0</v>
      </c>
      <c r="R278" s="3">
        <v>50</v>
      </c>
      <c r="S278" s="3">
        <v>30</v>
      </c>
      <c r="T278" s="3">
        <v>0</v>
      </c>
      <c r="U278" s="3">
        <v>0</v>
      </c>
      <c r="V278" s="3">
        <v>0</v>
      </c>
      <c r="W278" s="3">
        <v>0</v>
      </c>
      <c r="X278" s="3">
        <v>0</v>
      </c>
      <c r="Y278" s="3">
        <v>50</v>
      </c>
      <c r="Z278" s="3">
        <v>0</v>
      </c>
      <c r="AA278" s="3">
        <v>0</v>
      </c>
      <c r="AB278" s="3">
        <v>80</v>
      </c>
      <c r="AC278" s="3">
        <v>30</v>
      </c>
      <c r="AD278" s="3">
        <v>0</v>
      </c>
      <c r="AE278" s="3">
        <v>50</v>
      </c>
      <c r="AF278" s="3">
        <v>5</v>
      </c>
      <c r="AG278" s="3">
        <v>20</v>
      </c>
      <c r="AH278" s="3">
        <v>0</v>
      </c>
      <c r="AI278" s="3">
        <v>0</v>
      </c>
      <c r="AJ278" s="3">
        <v>0</v>
      </c>
      <c r="AK278" s="3">
        <v>0</v>
      </c>
      <c r="AL278" s="3" t="s">
        <v>31</v>
      </c>
      <c r="AM278" s="3" t="s">
        <v>48</v>
      </c>
      <c r="AN278" s="3" t="s">
        <v>2022</v>
      </c>
      <c r="AO278" s="3" t="s">
        <v>1853</v>
      </c>
      <c r="AP278" s="3">
        <v>30</v>
      </c>
      <c r="AQ278" s="3">
        <v>2.5</v>
      </c>
      <c r="AR278">
        <v>12345</v>
      </c>
      <c r="AS278">
        <v>12000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1705</v>
      </c>
      <c r="BK278">
        <v>4</v>
      </c>
      <c r="BL278">
        <v>30</v>
      </c>
      <c r="BM278">
        <v>0</v>
      </c>
      <c r="BN278">
        <v>0</v>
      </c>
      <c r="BO278">
        <v>0</v>
      </c>
    </row>
    <row r="279" spans="1:67" s="43" customFormat="1" ht="15.75" customHeight="1" x14ac:dyDescent="0.2">
      <c r="A279" s="40">
        <f t="shared" si="4"/>
        <v>2277</v>
      </c>
      <c r="B279" s="40" t="s">
        <v>2057</v>
      </c>
      <c r="C279" s="40" t="s">
        <v>2376</v>
      </c>
      <c r="D279" s="45" t="s">
        <v>2535</v>
      </c>
      <c r="E279" s="45" t="s">
        <v>2377</v>
      </c>
      <c r="F279" s="40">
        <v>1</v>
      </c>
      <c r="G279" s="40">
        <v>300</v>
      </c>
      <c r="H279" s="40">
        <v>0</v>
      </c>
      <c r="I279" s="40">
        <v>50</v>
      </c>
      <c r="J279" s="40">
        <v>3000</v>
      </c>
      <c r="K279" s="40">
        <v>1</v>
      </c>
      <c r="L279" s="40">
        <v>0</v>
      </c>
      <c r="M279" s="40">
        <v>50</v>
      </c>
      <c r="N279" s="40">
        <v>30</v>
      </c>
      <c r="O279" s="40">
        <v>0</v>
      </c>
      <c r="P279" s="40">
        <v>0</v>
      </c>
      <c r="Q279" s="40">
        <v>0</v>
      </c>
      <c r="R279" s="40">
        <v>50</v>
      </c>
      <c r="S279" s="40">
        <v>30</v>
      </c>
      <c r="T279" s="40">
        <v>0</v>
      </c>
      <c r="U279" s="40">
        <v>0</v>
      </c>
      <c r="V279" s="40">
        <v>0</v>
      </c>
      <c r="W279" s="40">
        <v>0</v>
      </c>
      <c r="X279" s="40">
        <v>0</v>
      </c>
      <c r="Y279" s="40">
        <v>50</v>
      </c>
      <c r="Z279" s="40">
        <v>0</v>
      </c>
      <c r="AA279" s="40">
        <v>0</v>
      </c>
      <c r="AB279" s="40">
        <v>0</v>
      </c>
      <c r="AC279" s="40">
        <v>0</v>
      </c>
      <c r="AD279" s="40">
        <v>0</v>
      </c>
      <c r="AE279" s="40">
        <v>0</v>
      </c>
      <c r="AF279" s="40">
        <v>0</v>
      </c>
      <c r="AG279" s="40">
        <v>0</v>
      </c>
      <c r="AH279" s="40">
        <v>0</v>
      </c>
      <c r="AI279" s="40">
        <v>0</v>
      </c>
      <c r="AJ279" s="40">
        <v>0</v>
      </c>
      <c r="AK279" s="40">
        <v>0</v>
      </c>
      <c r="AL279" s="40" t="s">
        <v>31</v>
      </c>
      <c r="AM279" s="40" t="s">
        <v>48</v>
      </c>
      <c r="AN279" s="40" t="s">
        <v>2022</v>
      </c>
      <c r="AO279" s="40" t="s">
        <v>50</v>
      </c>
      <c r="AP279" s="40">
        <v>30</v>
      </c>
      <c r="AQ279" s="40">
        <v>2.7</v>
      </c>
      <c r="AR279" s="43">
        <v>12345</v>
      </c>
      <c r="AS279" s="43">
        <v>12000</v>
      </c>
      <c r="AT279" s="44" t="s">
        <v>50</v>
      </c>
      <c r="AU279" s="44" t="s">
        <v>50</v>
      </c>
      <c r="AV279" s="44" t="s">
        <v>50</v>
      </c>
      <c r="AW279" s="44" t="s">
        <v>50</v>
      </c>
      <c r="AX279" s="44" t="s">
        <v>50</v>
      </c>
      <c r="AY279" s="44" t="s">
        <v>50</v>
      </c>
      <c r="AZ279" s="44" t="s">
        <v>50</v>
      </c>
      <c r="BA279" s="44" t="s">
        <v>50</v>
      </c>
      <c r="BB279" s="44" t="s">
        <v>50</v>
      </c>
      <c r="BC279" s="44" t="s">
        <v>50</v>
      </c>
      <c r="BD279" s="44" t="s">
        <v>50</v>
      </c>
      <c r="BE279" s="44" t="s">
        <v>50</v>
      </c>
      <c r="BF279" s="44" t="s">
        <v>50</v>
      </c>
      <c r="BG279" s="44" t="s">
        <v>50</v>
      </c>
      <c r="BH279" s="44" t="s">
        <v>50</v>
      </c>
      <c r="BI279" s="43">
        <v>1</v>
      </c>
      <c r="BJ279" s="43">
        <v>1720</v>
      </c>
      <c r="BK279" s="43">
        <v>4</v>
      </c>
      <c r="BL279" s="43">
        <v>30</v>
      </c>
      <c r="BM279" s="43">
        <v>0</v>
      </c>
      <c r="BN279" s="43">
        <v>0</v>
      </c>
      <c r="BO279" s="43">
        <v>1</v>
      </c>
    </row>
    <row r="280" spans="1:67" ht="15.75" customHeight="1" x14ac:dyDescent="0.2">
      <c r="A280" s="3">
        <f t="shared" si="4"/>
        <v>2278</v>
      </c>
      <c r="B280" s="3" t="s">
        <v>2310</v>
      </c>
      <c r="C280" s="3" t="s">
        <v>2310</v>
      </c>
      <c r="D280" s="4" t="s">
        <v>2308</v>
      </c>
      <c r="E280" s="4" t="s">
        <v>2309</v>
      </c>
      <c r="F280" s="3">
        <v>1</v>
      </c>
      <c r="G280" s="3">
        <v>300</v>
      </c>
      <c r="H280" s="3">
        <v>0</v>
      </c>
      <c r="I280" s="3">
        <v>20</v>
      </c>
      <c r="J280" s="3">
        <v>150</v>
      </c>
      <c r="K280" s="3">
        <v>1</v>
      </c>
      <c r="L280" s="3">
        <v>0</v>
      </c>
      <c r="M280" s="3">
        <v>20</v>
      </c>
      <c r="N280" s="3">
        <v>20</v>
      </c>
      <c r="O280" s="3">
        <v>0</v>
      </c>
      <c r="P280" s="3">
        <v>0</v>
      </c>
      <c r="Q280" s="3">
        <v>0</v>
      </c>
      <c r="R280" s="3">
        <v>30</v>
      </c>
      <c r="S280" s="3">
        <v>30</v>
      </c>
      <c r="T280" s="3">
        <v>0</v>
      </c>
      <c r="U280" s="3">
        <v>0</v>
      </c>
      <c r="V280" s="3">
        <v>0</v>
      </c>
      <c r="W280" s="3">
        <v>0</v>
      </c>
      <c r="X280" s="3">
        <v>0</v>
      </c>
      <c r="Y280" s="3">
        <v>50</v>
      </c>
      <c r="Z280" s="3">
        <v>0</v>
      </c>
      <c r="AA280" s="3">
        <v>0</v>
      </c>
      <c r="AB280" s="3">
        <v>0</v>
      </c>
      <c r="AC280" s="3">
        <v>5</v>
      </c>
      <c r="AD280" s="3">
        <v>0</v>
      </c>
      <c r="AE280" s="3">
        <v>-50</v>
      </c>
      <c r="AF280" s="3">
        <v>50</v>
      </c>
      <c r="AG280" s="3">
        <v>30</v>
      </c>
      <c r="AH280" s="3">
        <v>0</v>
      </c>
      <c r="AI280" s="3">
        <v>0</v>
      </c>
      <c r="AJ280" s="3">
        <v>0</v>
      </c>
      <c r="AK280" s="3">
        <v>0</v>
      </c>
      <c r="AL280" s="3" t="s">
        <v>31</v>
      </c>
      <c r="AM280" s="3" t="s">
        <v>48</v>
      </c>
      <c r="AN280" s="3" t="s">
        <v>3480</v>
      </c>
      <c r="AO280" s="3" t="s">
        <v>50</v>
      </c>
      <c r="AP280" s="3">
        <v>30</v>
      </c>
      <c r="AQ280" s="3">
        <v>1.4</v>
      </c>
      <c r="AR280">
        <v>1500</v>
      </c>
      <c r="AS280">
        <v>1200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1730</v>
      </c>
      <c r="BK280">
        <v>2</v>
      </c>
      <c r="BL280">
        <v>30</v>
      </c>
      <c r="BM280">
        <v>0</v>
      </c>
      <c r="BN280">
        <v>0</v>
      </c>
      <c r="BO280">
        <v>0</v>
      </c>
    </row>
    <row r="281" spans="1:67" ht="15.75" customHeight="1" x14ac:dyDescent="0.2">
      <c r="A281" s="3">
        <f t="shared" si="4"/>
        <v>2279</v>
      </c>
      <c r="B281" s="3" t="s">
        <v>2312</v>
      </c>
      <c r="C281" s="3" t="s">
        <v>2312</v>
      </c>
      <c r="D281" s="4" t="s">
        <v>2311</v>
      </c>
      <c r="E281" s="4" t="s">
        <v>2313</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50</v>
      </c>
      <c r="Z281" s="3">
        <v>0</v>
      </c>
      <c r="AA281" s="3">
        <v>0</v>
      </c>
      <c r="AB281" s="3">
        <v>0</v>
      </c>
      <c r="AC281" s="3">
        <v>5</v>
      </c>
      <c r="AD281" s="3">
        <v>0</v>
      </c>
      <c r="AE281" s="3">
        <v>-50</v>
      </c>
      <c r="AF281" s="3">
        <v>50</v>
      </c>
      <c r="AG281" s="3">
        <v>30</v>
      </c>
      <c r="AH281" s="3">
        <v>0</v>
      </c>
      <c r="AI281" s="3">
        <v>0</v>
      </c>
      <c r="AJ281" s="3">
        <v>0</v>
      </c>
      <c r="AK281" s="3">
        <v>0</v>
      </c>
      <c r="AL281" s="3" t="s">
        <v>31</v>
      </c>
      <c r="AM281" s="3" t="s">
        <v>48</v>
      </c>
      <c r="AN281" s="3" t="s">
        <v>3480</v>
      </c>
      <c r="AO281" s="3" t="s">
        <v>50</v>
      </c>
      <c r="AP281" s="3">
        <v>30</v>
      </c>
      <c r="AQ281" s="3">
        <v>1.4</v>
      </c>
      <c r="AR281">
        <v>1500</v>
      </c>
      <c r="AS281">
        <v>1200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1731</v>
      </c>
      <c r="BK281">
        <v>2</v>
      </c>
      <c r="BL281">
        <v>30</v>
      </c>
      <c r="BM281">
        <v>0</v>
      </c>
      <c r="BN281">
        <v>0</v>
      </c>
      <c r="BO281">
        <v>0</v>
      </c>
    </row>
    <row r="282" spans="1:67" s="9" customFormat="1" ht="15.75" customHeight="1" x14ac:dyDescent="0.2">
      <c r="A282" s="3">
        <f t="shared" si="4"/>
        <v>2280</v>
      </c>
      <c r="B282" s="7" t="s">
        <v>2057</v>
      </c>
      <c r="C282" s="7" t="s">
        <v>2126</v>
      </c>
      <c r="D282" s="11" t="s">
        <v>2125</v>
      </c>
      <c r="E282" s="11" t="s">
        <v>135</v>
      </c>
      <c r="F282" s="7">
        <v>1</v>
      </c>
      <c r="G282" s="7">
        <v>300</v>
      </c>
      <c r="H282" s="7">
        <v>0</v>
      </c>
      <c r="I282" s="7">
        <v>20</v>
      </c>
      <c r="J282" s="7">
        <v>0</v>
      </c>
      <c r="K282" s="7">
        <v>1</v>
      </c>
      <c r="L282" s="7">
        <v>0</v>
      </c>
      <c r="M282" s="7">
        <v>10</v>
      </c>
      <c r="N282" s="7">
        <v>20</v>
      </c>
      <c r="O282" s="7">
        <v>0</v>
      </c>
      <c r="P282" s="7">
        <v>0</v>
      </c>
      <c r="Q282" s="7">
        <v>0</v>
      </c>
      <c r="R282" s="7">
        <v>30</v>
      </c>
      <c r="S282" s="7">
        <v>30</v>
      </c>
      <c r="T282" s="7">
        <v>0</v>
      </c>
      <c r="U282" s="7">
        <v>0</v>
      </c>
      <c r="V282" s="7">
        <v>0</v>
      </c>
      <c r="W282" s="7">
        <v>0</v>
      </c>
      <c r="X282" s="7">
        <v>0</v>
      </c>
      <c r="Y282" s="7">
        <v>50</v>
      </c>
      <c r="Z282" s="7">
        <v>0</v>
      </c>
      <c r="AA282" s="7">
        <v>0</v>
      </c>
      <c r="AB282" s="7">
        <v>0</v>
      </c>
      <c r="AC282" s="7">
        <v>0</v>
      </c>
      <c r="AD282" s="7">
        <v>0</v>
      </c>
      <c r="AE282" s="7">
        <v>0</v>
      </c>
      <c r="AF282" s="7">
        <v>0</v>
      </c>
      <c r="AG282" s="7">
        <v>0</v>
      </c>
      <c r="AH282" s="7">
        <v>0</v>
      </c>
      <c r="AI282" s="7">
        <v>0</v>
      </c>
      <c r="AJ282" s="7">
        <v>0</v>
      </c>
      <c r="AK282" s="7">
        <v>0</v>
      </c>
      <c r="AL282" s="7" t="s">
        <v>31</v>
      </c>
      <c r="AM282" s="7" t="s">
        <v>48</v>
      </c>
      <c r="AN282" s="7" t="s">
        <v>2022</v>
      </c>
      <c r="AO282" s="7" t="s">
        <v>1853</v>
      </c>
      <c r="AP282" s="7">
        <v>30</v>
      </c>
      <c r="AQ282" s="7">
        <v>2</v>
      </c>
      <c r="AR282" s="9">
        <v>3000</v>
      </c>
      <c r="AS282" s="9">
        <v>1600</v>
      </c>
      <c r="AT282" s="10" t="s">
        <v>150</v>
      </c>
      <c r="AU282" s="10" t="s">
        <v>150</v>
      </c>
      <c r="AV282" s="10" t="s">
        <v>150</v>
      </c>
      <c r="AW282" s="10" t="s">
        <v>150</v>
      </c>
      <c r="AX282" s="10" t="s">
        <v>150</v>
      </c>
      <c r="AY282" s="10" t="s">
        <v>150</v>
      </c>
      <c r="AZ282" s="10" t="s">
        <v>150</v>
      </c>
      <c r="BA282" s="10" t="s">
        <v>150</v>
      </c>
      <c r="BB282" s="10" t="s">
        <v>150</v>
      </c>
      <c r="BC282" s="10" t="s">
        <v>150</v>
      </c>
      <c r="BD282" s="10" t="s">
        <v>50</v>
      </c>
      <c r="BE282" s="10" t="s">
        <v>50</v>
      </c>
      <c r="BF282" s="10" t="s">
        <v>50</v>
      </c>
      <c r="BG282" s="10" t="s">
        <v>50</v>
      </c>
      <c r="BH282" s="10" t="s">
        <v>50</v>
      </c>
      <c r="BI282" s="9">
        <v>0</v>
      </c>
      <c r="BJ282" s="9">
        <v>0</v>
      </c>
      <c r="BK282" s="9">
        <v>4</v>
      </c>
      <c r="BL282" s="9">
        <v>30</v>
      </c>
      <c r="BM282">
        <v>0</v>
      </c>
      <c r="BN282">
        <v>0</v>
      </c>
      <c r="BO282" s="9">
        <v>0</v>
      </c>
    </row>
    <row r="283" spans="1:67" s="9" customFormat="1" ht="15.75" customHeight="1" x14ac:dyDescent="0.2">
      <c r="A283" s="3">
        <f t="shared" si="4"/>
        <v>2281</v>
      </c>
      <c r="B283" s="7" t="s">
        <v>2057</v>
      </c>
      <c r="C283" s="7" t="s">
        <v>584</v>
      </c>
      <c r="D283" s="28" t="s">
        <v>583</v>
      </c>
      <c r="E283" s="8" t="s">
        <v>2984</v>
      </c>
      <c r="F283" s="7">
        <v>1</v>
      </c>
      <c r="G283" s="7">
        <v>300</v>
      </c>
      <c r="H283" s="7">
        <v>0</v>
      </c>
      <c r="I283" s="7">
        <v>70</v>
      </c>
      <c r="J283" s="7">
        <v>0</v>
      </c>
      <c r="K283" s="7">
        <v>1</v>
      </c>
      <c r="L283" s="7">
        <v>0</v>
      </c>
      <c r="M283" s="7">
        <v>40</v>
      </c>
      <c r="N283" s="7">
        <v>70</v>
      </c>
      <c r="O283" s="7">
        <v>40</v>
      </c>
      <c r="P283" s="7">
        <v>0</v>
      </c>
      <c r="Q283" s="7">
        <v>100</v>
      </c>
      <c r="R283" s="7">
        <v>100</v>
      </c>
      <c r="S283" s="7">
        <v>0</v>
      </c>
      <c r="T283" s="7">
        <v>80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2022</v>
      </c>
      <c r="AO283" s="7" t="s">
        <v>1853</v>
      </c>
      <c r="AP283" s="7">
        <v>30</v>
      </c>
      <c r="AQ283" s="7">
        <v>2</v>
      </c>
      <c r="AR283" s="9">
        <v>10000</v>
      </c>
      <c r="AS283" s="9">
        <v>10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1</v>
      </c>
      <c r="BJ283" s="9">
        <v>0</v>
      </c>
      <c r="BK283" s="9">
        <v>1</v>
      </c>
      <c r="BL283" s="9">
        <v>30</v>
      </c>
      <c r="BM283">
        <v>0</v>
      </c>
      <c r="BN283">
        <v>0</v>
      </c>
      <c r="BO283" s="9">
        <v>0</v>
      </c>
    </row>
    <row r="284" spans="1:67" s="9" customFormat="1" ht="15.75" customHeight="1" x14ac:dyDescent="0.2">
      <c r="A284" s="3">
        <f t="shared" si="4"/>
        <v>2282</v>
      </c>
      <c r="B284" s="7" t="s">
        <v>87</v>
      </c>
      <c r="C284" s="7" t="s">
        <v>96</v>
      </c>
      <c r="D284" s="11" t="s">
        <v>95</v>
      </c>
      <c r="E284" s="11" t="s">
        <v>98</v>
      </c>
      <c r="F284" s="7">
        <v>0</v>
      </c>
      <c r="G284" s="7">
        <v>300</v>
      </c>
      <c r="H284" s="7">
        <v>0</v>
      </c>
      <c r="I284" s="7">
        <v>20</v>
      </c>
      <c r="J284" s="7">
        <v>0</v>
      </c>
      <c r="K284" s="7">
        <v>1</v>
      </c>
      <c r="L284" s="7">
        <v>0</v>
      </c>
      <c r="M284" s="7">
        <v>0</v>
      </c>
      <c r="N284" s="7">
        <v>0</v>
      </c>
      <c r="O284" s="7">
        <v>0</v>
      </c>
      <c r="P284" s="7">
        <v>0</v>
      </c>
      <c r="Q284" s="7">
        <v>0</v>
      </c>
      <c r="R284" s="7">
        <v>0</v>
      </c>
      <c r="S284" s="7">
        <v>0</v>
      </c>
      <c r="T284" s="7">
        <v>0</v>
      </c>
      <c r="U284" s="7">
        <v>0</v>
      </c>
      <c r="V284" s="7">
        <v>0</v>
      </c>
      <c r="W284" s="7">
        <v>0</v>
      </c>
      <c r="X284" s="7">
        <v>0</v>
      </c>
      <c r="Y284" s="7">
        <v>90</v>
      </c>
      <c r="Z284" s="7">
        <v>0</v>
      </c>
      <c r="AA284" s="7">
        <v>0</v>
      </c>
      <c r="AB284" s="7">
        <v>0</v>
      </c>
      <c r="AC284" s="7">
        <v>0</v>
      </c>
      <c r="AD284" s="7">
        <v>0</v>
      </c>
      <c r="AE284" s="7">
        <v>0</v>
      </c>
      <c r="AF284" s="7">
        <v>0</v>
      </c>
      <c r="AG284" s="7">
        <v>0</v>
      </c>
      <c r="AH284" s="7">
        <v>0</v>
      </c>
      <c r="AI284" s="7">
        <v>0</v>
      </c>
      <c r="AJ284" s="7">
        <v>0</v>
      </c>
      <c r="AK284" s="7">
        <v>0</v>
      </c>
      <c r="AL284" s="7" t="s">
        <v>31</v>
      </c>
      <c r="AM284" s="7" t="s">
        <v>99</v>
      </c>
      <c r="AN284" s="7" t="s">
        <v>2021</v>
      </c>
      <c r="AO284" s="7" t="s">
        <v>1853</v>
      </c>
      <c r="AP284" s="7">
        <v>30</v>
      </c>
      <c r="AQ284" s="7">
        <v>2</v>
      </c>
      <c r="AR284" s="9">
        <v>800</v>
      </c>
      <c r="AS284" s="7">
        <v>400</v>
      </c>
      <c r="AT284" s="10" t="s">
        <v>150</v>
      </c>
      <c r="AU284" s="10" t="s">
        <v>150</v>
      </c>
      <c r="AV284" s="10" t="s">
        <v>150</v>
      </c>
      <c r="AW284" s="10" t="s">
        <v>150</v>
      </c>
      <c r="AX284" s="10" t="s">
        <v>150</v>
      </c>
      <c r="AY284" s="10" t="s">
        <v>150</v>
      </c>
      <c r="AZ284" s="10" t="s">
        <v>150</v>
      </c>
      <c r="BA284" s="10" t="s">
        <v>150</v>
      </c>
      <c r="BB284" s="10" t="s">
        <v>150</v>
      </c>
      <c r="BC284" s="10" t="s">
        <v>150</v>
      </c>
      <c r="BD284" s="10" t="s">
        <v>50</v>
      </c>
      <c r="BE284" s="10" t="s">
        <v>50</v>
      </c>
      <c r="BF284" s="10" t="s">
        <v>50</v>
      </c>
      <c r="BG284" s="10" t="s">
        <v>50</v>
      </c>
      <c r="BH284" s="10" t="s">
        <v>50</v>
      </c>
      <c r="BI284" s="9">
        <v>0</v>
      </c>
      <c r="BJ284" s="9">
        <v>0</v>
      </c>
      <c r="BK284" s="9">
        <v>1</v>
      </c>
      <c r="BL284" s="9">
        <v>30</v>
      </c>
      <c r="BM284">
        <v>0</v>
      </c>
      <c r="BN284">
        <v>0</v>
      </c>
      <c r="BO284" s="9">
        <v>0</v>
      </c>
    </row>
    <row r="285" spans="1:67" s="23" customFormat="1" ht="15.75" customHeight="1" x14ac:dyDescent="0.2">
      <c r="A285" s="21">
        <f t="shared" si="4"/>
        <v>2283</v>
      </c>
      <c r="B285" s="21" t="s">
        <v>374</v>
      </c>
      <c r="C285" s="21" t="s">
        <v>2769</v>
      </c>
      <c r="D285" s="22" t="s">
        <v>2770</v>
      </c>
      <c r="E285" s="22" t="s">
        <v>2292</v>
      </c>
      <c r="F285" s="21">
        <v>0</v>
      </c>
      <c r="G285" s="21">
        <v>300</v>
      </c>
      <c r="H285" s="21">
        <v>0</v>
      </c>
      <c r="I285" s="21">
        <v>20</v>
      </c>
      <c r="J285" s="21">
        <v>150</v>
      </c>
      <c r="K285" s="21">
        <v>1</v>
      </c>
      <c r="L285" s="21">
        <v>0</v>
      </c>
      <c r="M285" s="21">
        <v>0</v>
      </c>
      <c r="N285" s="21">
        <v>0</v>
      </c>
      <c r="O285" s="21">
        <v>0</v>
      </c>
      <c r="P285" s="21">
        <v>0</v>
      </c>
      <c r="Q285" s="21">
        <v>0</v>
      </c>
      <c r="R285" s="21">
        <v>0</v>
      </c>
      <c r="S285" s="21">
        <v>0</v>
      </c>
      <c r="T285" s="21">
        <v>0</v>
      </c>
      <c r="U285" s="21">
        <v>0</v>
      </c>
      <c r="V285" s="21">
        <v>0</v>
      </c>
      <c r="W285" s="21">
        <v>0</v>
      </c>
      <c r="X285" s="21">
        <v>0</v>
      </c>
      <c r="Y285" s="21">
        <v>0</v>
      </c>
      <c r="Z285" s="21">
        <v>0</v>
      </c>
      <c r="AA285" s="21">
        <v>0</v>
      </c>
      <c r="AB285" s="21">
        <v>0</v>
      </c>
      <c r="AC285" s="21">
        <v>0</v>
      </c>
      <c r="AD285" s="21">
        <v>0</v>
      </c>
      <c r="AE285" s="21">
        <v>0</v>
      </c>
      <c r="AF285" s="21">
        <v>0</v>
      </c>
      <c r="AG285" s="21">
        <v>0</v>
      </c>
      <c r="AH285" s="21">
        <v>0</v>
      </c>
      <c r="AI285" s="21">
        <v>0</v>
      </c>
      <c r="AJ285" s="21">
        <v>0</v>
      </c>
      <c r="AK285" s="21">
        <v>30</v>
      </c>
      <c r="AL285" s="21" t="s">
        <v>31</v>
      </c>
      <c r="AM285" s="21" t="s">
        <v>406</v>
      </c>
      <c r="AN285" s="21" t="s">
        <v>2023</v>
      </c>
      <c r="AO285" s="21" t="s">
        <v>50</v>
      </c>
      <c r="AP285" s="21">
        <v>30</v>
      </c>
      <c r="AQ285" s="21">
        <v>20</v>
      </c>
      <c r="AR285" s="23">
        <v>1500</v>
      </c>
      <c r="AS285" s="23">
        <v>1200</v>
      </c>
      <c r="AT285" s="24" t="s">
        <v>50</v>
      </c>
      <c r="AU285" s="24" t="s">
        <v>50</v>
      </c>
      <c r="AV285" s="24" t="s">
        <v>50</v>
      </c>
      <c r="AW285" s="24" t="s">
        <v>50</v>
      </c>
      <c r="AX285" s="24" t="s">
        <v>50</v>
      </c>
      <c r="AY285" s="24" t="s">
        <v>50</v>
      </c>
      <c r="AZ285" s="24" t="s">
        <v>50</v>
      </c>
      <c r="BA285" s="24" t="s">
        <v>50</v>
      </c>
      <c r="BB285" s="24" t="s">
        <v>50</v>
      </c>
      <c r="BC285" s="24" t="s">
        <v>50</v>
      </c>
      <c r="BD285" s="24" t="s">
        <v>50</v>
      </c>
      <c r="BE285" s="24" t="s">
        <v>50</v>
      </c>
      <c r="BF285" s="24" t="s">
        <v>50</v>
      </c>
      <c r="BG285" s="24" t="s">
        <v>50</v>
      </c>
      <c r="BH285" s="24" t="s">
        <v>50</v>
      </c>
      <c r="BI285" s="23">
        <v>0</v>
      </c>
      <c r="BJ285" s="23">
        <v>0</v>
      </c>
      <c r="BK285" s="23">
        <v>1</v>
      </c>
      <c r="BL285" s="23">
        <v>30</v>
      </c>
      <c r="BM285">
        <v>0</v>
      </c>
      <c r="BN285">
        <v>0</v>
      </c>
      <c r="BO285" s="23">
        <v>0</v>
      </c>
    </row>
    <row r="286" spans="1:67" ht="15.75" customHeight="1" x14ac:dyDescent="0.2">
      <c r="A286" s="3">
        <f t="shared" si="4"/>
        <v>2284</v>
      </c>
      <c r="B286" s="3" t="s">
        <v>2401</v>
      </c>
      <c r="C286" s="3" t="s">
        <v>190</v>
      </c>
      <c r="D286" s="27" t="s">
        <v>191</v>
      </c>
      <c r="E286" s="5" t="s">
        <v>192</v>
      </c>
      <c r="F286" s="3">
        <v>0</v>
      </c>
      <c r="G286" s="3">
        <v>300</v>
      </c>
      <c r="H286" s="3">
        <v>0</v>
      </c>
      <c r="I286" s="3">
        <v>20</v>
      </c>
      <c r="J286" s="3">
        <v>0</v>
      </c>
      <c r="K286" s="3">
        <v>1</v>
      </c>
      <c r="L286" s="3">
        <v>0</v>
      </c>
      <c r="M286" s="3">
        <v>0</v>
      </c>
      <c r="N286" s="3">
        <v>0</v>
      </c>
      <c r="O286" s="3">
        <v>0</v>
      </c>
      <c r="P286" s="3">
        <v>0</v>
      </c>
      <c r="Q286" s="3">
        <v>0</v>
      </c>
      <c r="R286" s="3">
        <v>0</v>
      </c>
      <c r="S286" s="3">
        <v>0</v>
      </c>
      <c r="T286" s="3">
        <v>0</v>
      </c>
      <c r="U286" s="3">
        <v>0</v>
      </c>
      <c r="V286" s="3">
        <v>0</v>
      </c>
      <c r="W286" s="3">
        <v>0</v>
      </c>
      <c r="X286" s="3">
        <v>0</v>
      </c>
      <c r="Y286" s="3">
        <v>120</v>
      </c>
      <c r="Z286" s="3">
        <v>0</v>
      </c>
      <c r="AA286" s="3">
        <v>0</v>
      </c>
      <c r="AB286" s="3">
        <v>0</v>
      </c>
      <c r="AC286" s="3">
        <v>0</v>
      </c>
      <c r="AD286" s="3">
        <v>0</v>
      </c>
      <c r="AE286" s="3">
        <v>0</v>
      </c>
      <c r="AF286" s="3">
        <v>0</v>
      </c>
      <c r="AG286" s="3">
        <v>0</v>
      </c>
      <c r="AH286" s="3">
        <v>0</v>
      </c>
      <c r="AI286" s="3">
        <v>0</v>
      </c>
      <c r="AJ286" s="3">
        <v>0</v>
      </c>
      <c r="AK286" s="3">
        <v>30</v>
      </c>
      <c r="AL286" s="3" t="s">
        <v>31</v>
      </c>
      <c r="AM286" s="3" t="s">
        <v>121</v>
      </c>
      <c r="AN286" s="3" t="s">
        <v>2900</v>
      </c>
      <c r="AO286" s="3" t="s">
        <v>1853</v>
      </c>
      <c r="AP286" s="3">
        <v>30</v>
      </c>
      <c r="AQ286" s="3">
        <v>2</v>
      </c>
      <c r="AR286">
        <v>300</v>
      </c>
      <c r="AS286">
        <v>10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680</v>
      </c>
      <c r="BK286">
        <v>3</v>
      </c>
      <c r="BL286">
        <v>30</v>
      </c>
      <c r="BM286">
        <v>0</v>
      </c>
      <c r="BN286">
        <v>0</v>
      </c>
      <c r="BO286">
        <v>0</v>
      </c>
    </row>
    <row r="287" spans="1:67" ht="15.75" customHeight="1" x14ac:dyDescent="0.2">
      <c r="A287" s="3">
        <f t="shared" si="4"/>
        <v>2285</v>
      </c>
      <c r="B287" s="3" t="s">
        <v>2771</v>
      </c>
      <c r="C287" s="3" t="s">
        <v>2771</v>
      </c>
      <c r="D287" s="4" t="s">
        <v>2776</v>
      </c>
      <c r="E287" s="4" t="s">
        <v>2777</v>
      </c>
      <c r="F287" s="3">
        <v>0</v>
      </c>
      <c r="G287" s="3">
        <v>300</v>
      </c>
      <c r="H287" s="3">
        <v>0</v>
      </c>
      <c r="I287" s="3">
        <v>20</v>
      </c>
      <c r="J287" s="3">
        <v>0</v>
      </c>
      <c r="K287" s="3">
        <v>1</v>
      </c>
      <c r="L287" s="3">
        <v>0</v>
      </c>
      <c r="M287" s="3">
        <v>0</v>
      </c>
      <c r="N287" s="3">
        <v>0</v>
      </c>
      <c r="O287" s="3">
        <v>0</v>
      </c>
      <c r="P287" s="3">
        <v>0</v>
      </c>
      <c r="Q287" s="3">
        <v>0</v>
      </c>
      <c r="R287" s="3">
        <v>0</v>
      </c>
      <c r="S287" s="3">
        <v>0</v>
      </c>
      <c r="T287" s="3">
        <v>0</v>
      </c>
      <c r="U287" s="3">
        <v>0</v>
      </c>
      <c r="V287" s="3">
        <v>0</v>
      </c>
      <c r="W287" s="3">
        <v>0</v>
      </c>
      <c r="X287" s="3">
        <v>0</v>
      </c>
      <c r="Y287" s="3">
        <v>80</v>
      </c>
      <c r="Z287" s="3">
        <v>0</v>
      </c>
      <c r="AA287" s="3">
        <v>0</v>
      </c>
      <c r="AB287" s="3">
        <v>0</v>
      </c>
      <c r="AC287" s="3">
        <v>0</v>
      </c>
      <c r="AD287" s="3">
        <v>0</v>
      </c>
      <c r="AE287" s="3">
        <v>0</v>
      </c>
      <c r="AF287" s="3">
        <v>0</v>
      </c>
      <c r="AG287" s="3">
        <v>0</v>
      </c>
      <c r="AH287" s="3">
        <v>0</v>
      </c>
      <c r="AI287" s="3">
        <v>0</v>
      </c>
      <c r="AJ287" s="3">
        <v>0</v>
      </c>
      <c r="AK287" s="3">
        <v>0</v>
      </c>
      <c r="AL287" s="3" t="s">
        <v>31</v>
      </c>
      <c r="AM287" s="3" t="s">
        <v>121</v>
      </c>
      <c r="AN287" s="3" t="s">
        <v>2032</v>
      </c>
      <c r="AO287" s="3" t="s">
        <v>50</v>
      </c>
      <c r="AP287" s="3">
        <v>30</v>
      </c>
      <c r="AQ287" s="3">
        <v>1</v>
      </c>
      <c r="AR287">
        <v>9999</v>
      </c>
      <c r="AS287" s="3">
        <v>999</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685</v>
      </c>
      <c r="BK287">
        <v>3</v>
      </c>
      <c r="BL287">
        <v>30</v>
      </c>
      <c r="BM287">
        <v>0</v>
      </c>
      <c r="BN287">
        <v>0</v>
      </c>
      <c r="BO287">
        <v>0</v>
      </c>
    </row>
    <row r="288" spans="1:67" s="23" customFormat="1" ht="15.75" customHeight="1" x14ac:dyDescent="0.2">
      <c r="A288" s="21">
        <f t="shared" si="4"/>
        <v>2286</v>
      </c>
      <c r="B288" s="21" t="s">
        <v>374</v>
      </c>
      <c r="C288" s="21" t="s">
        <v>2314</v>
      </c>
      <c r="D288" s="22" t="s">
        <v>2315</v>
      </c>
      <c r="E288" s="22" t="s">
        <v>2292</v>
      </c>
      <c r="F288" s="21">
        <v>0</v>
      </c>
      <c r="G288" s="21">
        <v>300</v>
      </c>
      <c r="H288" s="21">
        <v>0</v>
      </c>
      <c r="I288" s="21">
        <v>20</v>
      </c>
      <c r="J288" s="21">
        <v>150</v>
      </c>
      <c r="K288" s="21">
        <v>1</v>
      </c>
      <c r="L288" s="21">
        <v>0</v>
      </c>
      <c r="M288" s="21">
        <v>0</v>
      </c>
      <c r="N288" s="21">
        <v>0</v>
      </c>
      <c r="O288" s="21">
        <v>0</v>
      </c>
      <c r="P288" s="21">
        <v>0</v>
      </c>
      <c r="Q288" s="21">
        <v>0</v>
      </c>
      <c r="R288" s="21">
        <v>0</v>
      </c>
      <c r="S288" s="21">
        <v>0</v>
      </c>
      <c r="T288" s="21">
        <v>0</v>
      </c>
      <c r="U288" s="21">
        <v>0</v>
      </c>
      <c r="V288" s="21">
        <v>0</v>
      </c>
      <c r="W288" s="21">
        <v>0</v>
      </c>
      <c r="X288" s="21">
        <v>0</v>
      </c>
      <c r="Y288" s="21">
        <v>0</v>
      </c>
      <c r="Z288" s="21">
        <v>0</v>
      </c>
      <c r="AA288" s="21">
        <v>0</v>
      </c>
      <c r="AB288" s="21">
        <v>0</v>
      </c>
      <c r="AC288" s="21">
        <v>0</v>
      </c>
      <c r="AD288" s="21">
        <v>0</v>
      </c>
      <c r="AE288" s="21">
        <v>0</v>
      </c>
      <c r="AF288" s="21">
        <v>0</v>
      </c>
      <c r="AG288" s="21">
        <v>0</v>
      </c>
      <c r="AH288" s="21">
        <v>0</v>
      </c>
      <c r="AI288" s="21">
        <v>0</v>
      </c>
      <c r="AJ288" s="21">
        <v>0</v>
      </c>
      <c r="AK288" s="21">
        <v>30</v>
      </c>
      <c r="AL288" s="21" t="s">
        <v>31</v>
      </c>
      <c r="AM288" s="21" t="s">
        <v>406</v>
      </c>
      <c r="AN288" s="21" t="s">
        <v>2023</v>
      </c>
      <c r="AO288" s="21" t="s">
        <v>50</v>
      </c>
      <c r="AP288" s="21">
        <v>30</v>
      </c>
      <c r="AQ288" s="21">
        <v>20</v>
      </c>
      <c r="AR288" s="23">
        <v>1500</v>
      </c>
      <c r="AS288" s="23">
        <v>1200</v>
      </c>
      <c r="AT288" s="24" t="s">
        <v>50</v>
      </c>
      <c r="AU288" s="24" t="s">
        <v>50</v>
      </c>
      <c r="AV288" s="24" t="s">
        <v>50</v>
      </c>
      <c r="AW288" s="24" t="s">
        <v>50</v>
      </c>
      <c r="AX288" s="24" t="s">
        <v>50</v>
      </c>
      <c r="AY288" s="24" t="s">
        <v>50</v>
      </c>
      <c r="AZ288" s="24" t="s">
        <v>50</v>
      </c>
      <c r="BA288" s="24" t="s">
        <v>50</v>
      </c>
      <c r="BB288" s="24" t="s">
        <v>50</v>
      </c>
      <c r="BC288" s="24" t="s">
        <v>50</v>
      </c>
      <c r="BD288" s="24" t="s">
        <v>50</v>
      </c>
      <c r="BE288" s="24" t="s">
        <v>50</v>
      </c>
      <c r="BF288" s="24" t="s">
        <v>50</v>
      </c>
      <c r="BG288" s="24" t="s">
        <v>50</v>
      </c>
      <c r="BH288" s="24" t="s">
        <v>50</v>
      </c>
      <c r="BI288" s="23">
        <v>0</v>
      </c>
      <c r="BJ288" s="23">
        <v>0</v>
      </c>
      <c r="BK288" s="23">
        <v>1</v>
      </c>
      <c r="BL288" s="23">
        <v>30</v>
      </c>
      <c r="BM288">
        <v>0</v>
      </c>
      <c r="BN288">
        <v>0</v>
      </c>
      <c r="BO288" s="23">
        <v>0</v>
      </c>
    </row>
    <row r="289" spans="1:67" ht="15.75" customHeight="1" x14ac:dyDescent="0.2">
      <c r="A289" s="3">
        <f t="shared" si="4"/>
        <v>2287</v>
      </c>
      <c r="B289" s="3" t="s">
        <v>374</v>
      </c>
      <c r="C289" s="3" t="s">
        <v>374</v>
      </c>
      <c r="D289" s="27" t="s">
        <v>373</v>
      </c>
      <c r="E289" s="5" t="s">
        <v>379</v>
      </c>
      <c r="F289" s="3">
        <v>1</v>
      </c>
      <c r="G289" s="3">
        <v>300</v>
      </c>
      <c r="H289" s="3">
        <v>0</v>
      </c>
      <c r="I289" s="3">
        <v>50</v>
      </c>
      <c r="J289" s="3">
        <v>3</v>
      </c>
      <c r="K289" s="3">
        <v>1</v>
      </c>
      <c r="L289" s="3">
        <v>0</v>
      </c>
      <c r="M289" s="3">
        <v>0</v>
      </c>
      <c r="N289" s="3">
        <v>0</v>
      </c>
      <c r="O289" s="3">
        <v>0</v>
      </c>
      <c r="P289" s="3">
        <v>20</v>
      </c>
      <c r="Q289" s="3">
        <v>0</v>
      </c>
      <c r="R289" s="3">
        <v>0</v>
      </c>
      <c r="S289" s="3">
        <v>20</v>
      </c>
      <c r="T289" s="3">
        <v>0</v>
      </c>
      <c r="U289" s="3">
        <v>0</v>
      </c>
      <c r="V289" s="3">
        <v>0</v>
      </c>
      <c r="W289" s="3">
        <v>-20</v>
      </c>
      <c r="X289" s="3">
        <v>-500</v>
      </c>
      <c r="Y289" s="3">
        <v>40</v>
      </c>
      <c r="Z289" s="3">
        <v>0</v>
      </c>
      <c r="AA289" s="3">
        <v>0</v>
      </c>
      <c r="AB289" s="3">
        <v>0</v>
      </c>
      <c r="AC289" s="3">
        <v>0</v>
      </c>
      <c r="AD289" s="3">
        <v>0</v>
      </c>
      <c r="AE289" s="3">
        <v>0</v>
      </c>
      <c r="AF289" s="3">
        <v>0</v>
      </c>
      <c r="AG289" s="3">
        <v>0</v>
      </c>
      <c r="AH289" s="3">
        <v>0</v>
      </c>
      <c r="AI289" s="3">
        <v>0</v>
      </c>
      <c r="AJ289" s="3">
        <v>0</v>
      </c>
      <c r="AK289" s="3">
        <v>30</v>
      </c>
      <c r="AL289" s="3" t="s">
        <v>31</v>
      </c>
      <c r="AM289" s="3" t="s">
        <v>406</v>
      </c>
      <c r="AN289" s="3" t="s">
        <v>2023</v>
      </c>
      <c r="AO289" s="3" t="s">
        <v>1854</v>
      </c>
      <c r="AP289" s="3">
        <v>30</v>
      </c>
      <c r="AQ289" s="3">
        <v>1</v>
      </c>
      <c r="AR289">
        <v>10</v>
      </c>
      <c r="AS289">
        <v>5</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520</v>
      </c>
      <c r="BK289">
        <v>1</v>
      </c>
      <c r="BL289">
        <v>50</v>
      </c>
      <c r="BM289">
        <v>0</v>
      </c>
      <c r="BN289">
        <v>0</v>
      </c>
      <c r="BO289">
        <v>0</v>
      </c>
    </row>
    <row r="290" spans="1:67" ht="15.75" customHeight="1" x14ac:dyDescent="0.2">
      <c r="A290" s="3">
        <f t="shared" si="4"/>
        <v>2288</v>
      </c>
      <c r="B290" s="3" t="s">
        <v>374</v>
      </c>
      <c r="C290" s="3" t="s">
        <v>2305</v>
      </c>
      <c r="D290" s="27" t="s">
        <v>2306</v>
      </c>
      <c r="E290" s="5" t="s">
        <v>2307</v>
      </c>
      <c r="F290" s="3">
        <v>1</v>
      </c>
      <c r="G290" s="3">
        <v>300</v>
      </c>
      <c r="H290" s="3">
        <v>0</v>
      </c>
      <c r="I290" s="3">
        <v>50</v>
      </c>
      <c r="J290" s="3">
        <v>3</v>
      </c>
      <c r="K290" s="3">
        <v>1</v>
      </c>
      <c r="L290" s="3">
        <v>0</v>
      </c>
      <c r="M290" s="3">
        <v>0</v>
      </c>
      <c r="N290" s="3">
        <v>0</v>
      </c>
      <c r="O290" s="3">
        <v>0</v>
      </c>
      <c r="P290" s="3">
        <v>20</v>
      </c>
      <c r="Q290" s="3">
        <v>0</v>
      </c>
      <c r="R290" s="3">
        <v>0</v>
      </c>
      <c r="S290" s="3">
        <v>20</v>
      </c>
      <c r="T290" s="3">
        <v>0</v>
      </c>
      <c r="U290" s="3">
        <v>0</v>
      </c>
      <c r="V290" s="3">
        <v>0</v>
      </c>
      <c r="W290" s="3">
        <v>-20</v>
      </c>
      <c r="X290" s="3">
        <v>-500</v>
      </c>
      <c r="Y290" s="3">
        <v>40</v>
      </c>
      <c r="Z290" s="3">
        <v>0</v>
      </c>
      <c r="AA290" s="3">
        <v>0</v>
      </c>
      <c r="AB290" s="3">
        <v>0</v>
      </c>
      <c r="AC290" s="3">
        <v>0</v>
      </c>
      <c r="AD290" s="3">
        <v>0</v>
      </c>
      <c r="AE290" s="3">
        <v>0</v>
      </c>
      <c r="AF290" s="3">
        <v>0</v>
      </c>
      <c r="AG290" s="3">
        <v>0</v>
      </c>
      <c r="AH290" s="3">
        <v>0</v>
      </c>
      <c r="AI290" s="3">
        <v>0</v>
      </c>
      <c r="AJ290" s="3">
        <v>0</v>
      </c>
      <c r="AK290" s="3">
        <v>30</v>
      </c>
      <c r="AL290" s="3" t="s">
        <v>157</v>
      </c>
      <c r="AM290" s="3" t="s">
        <v>406</v>
      </c>
      <c r="AN290" s="3" t="s">
        <v>2023</v>
      </c>
      <c r="AO290" s="3" t="s">
        <v>51</v>
      </c>
      <c r="AP290" s="3">
        <v>30</v>
      </c>
      <c r="AQ290" s="3">
        <v>1</v>
      </c>
      <c r="AR290">
        <v>10</v>
      </c>
      <c r="AS290">
        <v>5</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520</v>
      </c>
      <c r="BK290">
        <v>1</v>
      </c>
      <c r="BL290">
        <v>50</v>
      </c>
      <c r="BM290">
        <v>0</v>
      </c>
      <c r="BN290">
        <v>0</v>
      </c>
      <c r="BO290">
        <v>0</v>
      </c>
    </row>
    <row r="291" spans="1:67" ht="15.75" customHeight="1" x14ac:dyDescent="0.2">
      <c r="A291" s="3">
        <f t="shared" si="4"/>
        <v>2289</v>
      </c>
      <c r="B291" s="3" t="s">
        <v>374</v>
      </c>
      <c r="C291" s="3" t="s">
        <v>490</v>
      </c>
      <c r="D291" s="27" t="s">
        <v>373</v>
      </c>
      <c r="E291" s="5" t="s">
        <v>379</v>
      </c>
      <c r="F291" s="3">
        <v>1</v>
      </c>
      <c r="G291" s="3">
        <v>300</v>
      </c>
      <c r="H291" s="3">
        <v>0</v>
      </c>
      <c r="I291" s="3">
        <v>50</v>
      </c>
      <c r="J291" s="3">
        <v>3</v>
      </c>
      <c r="K291" s="3">
        <v>1</v>
      </c>
      <c r="L291" s="3">
        <v>0</v>
      </c>
      <c r="M291" s="3">
        <v>0</v>
      </c>
      <c r="N291" s="3">
        <v>0</v>
      </c>
      <c r="O291" s="3">
        <v>0</v>
      </c>
      <c r="P291" s="3">
        <v>40</v>
      </c>
      <c r="Q291" s="3">
        <v>0</v>
      </c>
      <c r="R291" s="3">
        <v>0</v>
      </c>
      <c r="S291" s="3">
        <v>70</v>
      </c>
      <c r="T291" s="3">
        <v>0</v>
      </c>
      <c r="U291" s="3">
        <v>0</v>
      </c>
      <c r="V291" s="3">
        <v>60</v>
      </c>
      <c r="W291" s="3">
        <v>-20</v>
      </c>
      <c r="X291" s="3">
        <v>-500</v>
      </c>
      <c r="Y291" s="3">
        <v>40</v>
      </c>
      <c r="Z291" s="3">
        <v>0</v>
      </c>
      <c r="AA291" s="3">
        <v>0</v>
      </c>
      <c r="AB291" s="3">
        <v>0</v>
      </c>
      <c r="AC291" s="3">
        <v>0</v>
      </c>
      <c r="AD291" s="3">
        <v>0</v>
      </c>
      <c r="AE291" s="3">
        <v>0</v>
      </c>
      <c r="AF291" s="3">
        <v>0</v>
      </c>
      <c r="AG291" s="3">
        <v>0</v>
      </c>
      <c r="AH291" s="3">
        <v>0</v>
      </c>
      <c r="AI291" s="3">
        <v>0</v>
      </c>
      <c r="AJ291" s="3">
        <v>0</v>
      </c>
      <c r="AK291" s="3">
        <v>30</v>
      </c>
      <c r="AL291" s="3" t="s">
        <v>31</v>
      </c>
      <c r="AM291" s="3" t="s">
        <v>406</v>
      </c>
      <c r="AN291" s="3" t="s">
        <v>2023</v>
      </c>
      <c r="AO291" s="3" t="s">
        <v>1854</v>
      </c>
      <c r="AP291" s="3">
        <v>30</v>
      </c>
      <c r="AQ291" s="3">
        <v>1</v>
      </c>
      <c r="AR291">
        <v>10</v>
      </c>
      <c r="AS291">
        <v>5</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520</v>
      </c>
      <c r="BK291">
        <v>1</v>
      </c>
      <c r="BL291">
        <v>50</v>
      </c>
      <c r="BM291">
        <v>0</v>
      </c>
      <c r="BN291">
        <v>0</v>
      </c>
      <c r="BO291">
        <v>0</v>
      </c>
    </row>
    <row r="292" spans="1:67" s="9" customFormat="1" ht="15.75" customHeight="1" x14ac:dyDescent="0.2">
      <c r="A292" s="3">
        <f t="shared" si="4"/>
        <v>2290</v>
      </c>
      <c r="B292" s="7" t="s">
        <v>374</v>
      </c>
      <c r="C292" s="7" t="s">
        <v>477</v>
      </c>
      <c r="D292" s="28" t="s">
        <v>478</v>
      </c>
      <c r="E292" s="8" t="s">
        <v>646</v>
      </c>
      <c r="F292" s="7">
        <v>1</v>
      </c>
      <c r="G292" s="7">
        <v>300</v>
      </c>
      <c r="H292" s="7">
        <v>0</v>
      </c>
      <c r="I292" s="7">
        <v>50</v>
      </c>
      <c r="J292" s="7">
        <v>3</v>
      </c>
      <c r="K292" s="7">
        <v>1</v>
      </c>
      <c r="L292" s="7">
        <v>0</v>
      </c>
      <c r="M292" s="7">
        <v>8</v>
      </c>
      <c r="N292" s="7">
        <v>0</v>
      </c>
      <c r="O292" s="7">
        <v>5</v>
      </c>
      <c r="P292" s="7">
        <v>10</v>
      </c>
      <c r="Q292" s="7">
        <v>0</v>
      </c>
      <c r="R292" s="7">
        <v>0</v>
      </c>
      <c r="S292" s="7">
        <v>0</v>
      </c>
      <c r="T292" s="7">
        <v>0</v>
      </c>
      <c r="U292" s="7">
        <v>0</v>
      </c>
      <c r="V292" s="7">
        <v>0</v>
      </c>
      <c r="W292" s="7">
        <v>0</v>
      </c>
      <c r="X292" s="7">
        <v>0</v>
      </c>
      <c r="Y292" s="7">
        <v>20</v>
      </c>
      <c r="Z292" s="7">
        <v>0</v>
      </c>
      <c r="AA292" s="7">
        <v>0</v>
      </c>
      <c r="AB292" s="7">
        <v>0</v>
      </c>
      <c r="AC292" s="7">
        <v>0</v>
      </c>
      <c r="AD292" s="7">
        <v>0</v>
      </c>
      <c r="AE292" s="7">
        <v>0</v>
      </c>
      <c r="AF292" s="7">
        <v>0</v>
      </c>
      <c r="AG292" s="7">
        <v>0</v>
      </c>
      <c r="AH292" s="7">
        <v>0</v>
      </c>
      <c r="AI292" s="7">
        <v>0</v>
      </c>
      <c r="AJ292" s="7">
        <v>0</v>
      </c>
      <c r="AK292" s="7">
        <v>30</v>
      </c>
      <c r="AL292" s="7" t="s">
        <v>31</v>
      </c>
      <c r="AM292" s="7" t="s">
        <v>406</v>
      </c>
      <c r="AN292" s="7" t="s">
        <v>2023</v>
      </c>
      <c r="AO292" s="7" t="s">
        <v>1853</v>
      </c>
      <c r="AP292" s="7">
        <v>30</v>
      </c>
      <c r="AQ292" s="7">
        <v>1</v>
      </c>
      <c r="AR292" s="9">
        <v>10</v>
      </c>
      <c r="AS292" s="9">
        <v>5</v>
      </c>
      <c r="AT292" s="10" t="s">
        <v>50</v>
      </c>
      <c r="AU292" s="10" t="s">
        <v>50</v>
      </c>
      <c r="AV292" s="10" t="s">
        <v>50</v>
      </c>
      <c r="AW292" s="10" t="s">
        <v>50</v>
      </c>
      <c r="AX292" s="10" t="s">
        <v>50</v>
      </c>
      <c r="AY292" s="10" t="s">
        <v>50</v>
      </c>
      <c r="AZ292" s="10" t="s">
        <v>50</v>
      </c>
      <c r="BA292" s="10" t="s">
        <v>50</v>
      </c>
      <c r="BB292" s="10" t="s">
        <v>50</v>
      </c>
      <c r="BC292" s="10" t="s">
        <v>50</v>
      </c>
      <c r="BD292" s="10" t="s">
        <v>50</v>
      </c>
      <c r="BE292" s="10" t="s">
        <v>50</v>
      </c>
      <c r="BF292" s="10" t="s">
        <v>50</v>
      </c>
      <c r="BG292" s="10" t="s">
        <v>50</v>
      </c>
      <c r="BH292" s="10" t="s">
        <v>50</v>
      </c>
      <c r="BI292" s="9">
        <v>0</v>
      </c>
      <c r="BJ292" s="9">
        <v>521</v>
      </c>
      <c r="BK292" s="9">
        <v>1</v>
      </c>
      <c r="BL292" s="9">
        <v>30</v>
      </c>
      <c r="BM292">
        <v>0</v>
      </c>
      <c r="BN292">
        <v>0</v>
      </c>
      <c r="BO292" s="9">
        <v>0</v>
      </c>
    </row>
    <row r="293" spans="1:67" s="9" customFormat="1" ht="15.75" customHeight="1" x14ac:dyDescent="0.2">
      <c r="A293" s="3">
        <f t="shared" si="4"/>
        <v>2291</v>
      </c>
      <c r="B293" s="7" t="s">
        <v>374</v>
      </c>
      <c r="C293" s="7" t="s">
        <v>644</v>
      </c>
      <c r="D293" s="28" t="s">
        <v>645</v>
      </c>
      <c r="E293" s="8" t="s">
        <v>647</v>
      </c>
      <c r="F293" s="7">
        <v>1</v>
      </c>
      <c r="G293" s="7">
        <v>300</v>
      </c>
      <c r="H293" s="7">
        <v>0</v>
      </c>
      <c r="I293" s="7">
        <v>50</v>
      </c>
      <c r="J293" s="7">
        <v>3</v>
      </c>
      <c r="K293" s="7">
        <v>1</v>
      </c>
      <c r="L293" s="7">
        <v>0</v>
      </c>
      <c r="M293" s="7">
        <v>8</v>
      </c>
      <c r="N293" s="7">
        <v>0</v>
      </c>
      <c r="O293" s="7">
        <v>5</v>
      </c>
      <c r="P293" s="7">
        <v>10</v>
      </c>
      <c r="Q293" s="7">
        <v>0</v>
      </c>
      <c r="R293" s="7">
        <v>0</v>
      </c>
      <c r="S293" s="7">
        <v>0</v>
      </c>
      <c r="T293" s="7">
        <v>0</v>
      </c>
      <c r="U293" s="7">
        <v>0</v>
      </c>
      <c r="V293" s="7">
        <v>0</v>
      </c>
      <c r="W293" s="7">
        <v>0</v>
      </c>
      <c r="X293" s="7">
        <v>0</v>
      </c>
      <c r="Y293" s="7">
        <v>20</v>
      </c>
      <c r="Z293" s="7">
        <v>0</v>
      </c>
      <c r="AA293" s="7">
        <v>0</v>
      </c>
      <c r="AB293" s="7">
        <v>0</v>
      </c>
      <c r="AC293" s="7">
        <v>0</v>
      </c>
      <c r="AD293" s="7">
        <v>0</v>
      </c>
      <c r="AE293" s="7">
        <v>0</v>
      </c>
      <c r="AF293" s="7">
        <v>0</v>
      </c>
      <c r="AG293" s="7">
        <v>0</v>
      </c>
      <c r="AH293" s="7">
        <v>0</v>
      </c>
      <c r="AI293" s="7">
        <v>0</v>
      </c>
      <c r="AJ293" s="7">
        <v>0</v>
      </c>
      <c r="AK293" s="7">
        <v>30</v>
      </c>
      <c r="AL293" s="7" t="s">
        <v>31</v>
      </c>
      <c r="AM293" s="7" t="s">
        <v>406</v>
      </c>
      <c r="AN293" s="7" t="s">
        <v>2023</v>
      </c>
      <c r="AO293" s="7" t="s">
        <v>1853</v>
      </c>
      <c r="AP293" s="7">
        <v>30</v>
      </c>
      <c r="AQ293" s="7">
        <v>1</v>
      </c>
      <c r="AR293" s="9">
        <v>10</v>
      </c>
      <c r="AS293" s="9">
        <v>5</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522</v>
      </c>
      <c r="BK293" s="9">
        <v>1</v>
      </c>
      <c r="BL293" s="9">
        <v>30</v>
      </c>
      <c r="BM293">
        <v>0</v>
      </c>
      <c r="BN293">
        <v>0</v>
      </c>
      <c r="BO293" s="9">
        <v>0</v>
      </c>
    </row>
    <row r="294" spans="1:67" ht="15.75" customHeight="1" x14ac:dyDescent="0.2">
      <c r="A294" s="3">
        <f t="shared" si="4"/>
        <v>2292</v>
      </c>
      <c r="B294" s="3" t="s">
        <v>450</v>
      </c>
      <c r="C294" s="3" t="s">
        <v>450</v>
      </c>
      <c r="D294" s="27" t="s">
        <v>448</v>
      </c>
      <c r="E294" s="5" t="s">
        <v>449</v>
      </c>
      <c r="F294" s="3">
        <v>0</v>
      </c>
      <c r="G294" s="3">
        <v>300</v>
      </c>
      <c r="H294" s="3">
        <v>0</v>
      </c>
      <c r="I294" s="3">
        <v>50</v>
      </c>
      <c r="J294" s="3">
        <v>3</v>
      </c>
      <c r="K294" s="3">
        <v>1</v>
      </c>
      <c r="L294" s="3">
        <v>0</v>
      </c>
      <c r="M294" s="3">
        <v>0</v>
      </c>
      <c r="N294" s="3">
        <v>0</v>
      </c>
      <c r="O294" s="3">
        <v>0</v>
      </c>
      <c r="P294" s="3">
        <v>40</v>
      </c>
      <c r="Q294" s="3">
        <v>0</v>
      </c>
      <c r="R294" s="3">
        <v>0</v>
      </c>
      <c r="S294" s="3">
        <v>20</v>
      </c>
      <c r="T294" s="3">
        <v>0</v>
      </c>
      <c r="U294" s="3">
        <v>0</v>
      </c>
      <c r="V294" s="3">
        <v>0</v>
      </c>
      <c r="W294" s="3">
        <v>0</v>
      </c>
      <c r="X294" s="3">
        <v>0</v>
      </c>
      <c r="Y294" s="3">
        <v>40</v>
      </c>
      <c r="Z294" s="3">
        <v>0</v>
      </c>
      <c r="AA294" s="3">
        <v>0</v>
      </c>
      <c r="AB294" s="3">
        <v>0</v>
      </c>
      <c r="AC294" s="3">
        <v>0</v>
      </c>
      <c r="AD294" s="3">
        <v>0</v>
      </c>
      <c r="AE294" s="3">
        <v>0</v>
      </c>
      <c r="AF294" s="3">
        <v>0</v>
      </c>
      <c r="AG294" s="3">
        <v>0</v>
      </c>
      <c r="AH294" s="3">
        <v>0</v>
      </c>
      <c r="AI294" s="3">
        <v>0</v>
      </c>
      <c r="AJ294" s="3">
        <v>0</v>
      </c>
      <c r="AK294" s="3">
        <v>30</v>
      </c>
      <c r="AL294" s="3" t="s">
        <v>31</v>
      </c>
      <c r="AM294" s="3" t="s">
        <v>1525</v>
      </c>
      <c r="AN294" s="3" t="s">
        <v>2024</v>
      </c>
      <c r="AO294" s="3" t="s">
        <v>1854</v>
      </c>
      <c r="AP294" s="3">
        <v>30</v>
      </c>
      <c r="AQ294" s="3">
        <v>1</v>
      </c>
      <c r="AR294">
        <v>10</v>
      </c>
      <c r="AS294">
        <v>5</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525</v>
      </c>
      <c r="BK294">
        <v>1</v>
      </c>
      <c r="BL294">
        <v>30</v>
      </c>
      <c r="BM294">
        <v>0</v>
      </c>
      <c r="BN294">
        <v>0</v>
      </c>
      <c r="BO294">
        <v>0</v>
      </c>
    </row>
    <row r="295" spans="1:67" s="9" customFormat="1" ht="15.75" customHeight="1" x14ac:dyDescent="0.2">
      <c r="A295" s="3">
        <f t="shared" si="4"/>
        <v>2293</v>
      </c>
      <c r="B295" s="7" t="s">
        <v>450</v>
      </c>
      <c r="C295" s="7" t="s">
        <v>479</v>
      </c>
      <c r="D295" s="28" t="s">
        <v>480</v>
      </c>
      <c r="E295" s="8" t="s">
        <v>481</v>
      </c>
      <c r="F295" s="7">
        <v>0</v>
      </c>
      <c r="G295" s="7">
        <v>300</v>
      </c>
      <c r="H295" s="7">
        <v>0</v>
      </c>
      <c r="I295" s="7">
        <v>50</v>
      </c>
      <c r="J295" s="7">
        <v>3</v>
      </c>
      <c r="K295" s="7">
        <v>1</v>
      </c>
      <c r="L295" s="7">
        <v>0</v>
      </c>
      <c r="M295" s="7">
        <v>0</v>
      </c>
      <c r="N295" s="7">
        <v>0</v>
      </c>
      <c r="O295" s="7">
        <v>0</v>
      </c>
      <c r="P295" s="7">
        <v>10</v>
      </c>
      <c r="Q295" s="7">
        <v>0</v>
      </c>
      <c r="R295" s="7">
        <v>0</v>
      </c>
      <c r="S295" s="7">
        <v>0</v>
      </c>
      <c r="T295" s="7">
        <v>0</v>
      </c>
      <c r="U295" s="7">
        <v>0</v>
      </c>
      <c r="V295" s="7">
        <v>0</v>
      </c>
      <c r="W295" s="7">
        <v>0</v>
      </c>
      <c r="X295" s="7">
        <v>0</v>
      </c>
      <c r="Y295" s="7">
        <v>20</v>
      </c>
      <c r="Z295" s="7">
        <v>0</v>
      </c>
      <c r="AA295" s="7">
        <v>0</v>
      </c>
      <c r="AB295" s="7">
        <v>0</v>
      </c>
      <c r="AC295" s="7">
        <v>0</v>
      </c>
      <c r="AD295" s="7">
        <v>0</v>
      </c>
      <c r="AE295" s="7">
        <v>0</v>
      </c>
      <c r="AF295" s="7">
        <v>0</v>
      </c>
      <c r="AG295" s="7">
        <v>0</v>
      </c>
      <c r="AH295" s="7">
        <v>0</v>
      </c>
      <c r="AI295" s="7">
        <v>0</v>
      </c>
      <c r="AJ295" s="7">
        <v>0</v>
      </c>
      <c r="AK295" s="7">
        <v>30</v>
      </c>
      <c r="AL295" s="7" t="s">
        <v>31</v>
      </c>
      <c r="AM295" s="7" t="s">
        <v>1525</v>
      </c>
      <c r="AN295" s="7" t="s">
        <v>2024</v>
      </c>
      <c r="AO295" s="7" t="s">
        <v>1853</v>
      </c>
      <c r="AP295" s="7">
        <v>30</v>
      </c>
      <c r="AQ295" s="7">
        <v>1</v>
      </c>
      <c r="AR295" s="9">
        <v>10</v>
      </c>
      <c r="AS295" s="9">
        <v>5</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0</v>
      </c>
      <c r="BJ295" s="9">
        <v>526</v>
      </c>
      <c r="BK295" s="9">
        <v>1</v>
      </c>
      <c r="BL295" s="9">
        <v>30</v>
      </c>
      <c r="BM295">
        <v>0</v>
      </c>
      <c r="BN295">
        <v>0</v>
      </c>
      <c r="BO295" s="9">
        <v>0</v>
      </c>
    </row>
    <row r="296" spans="1:67" s="9" customFormat="1" ht="15.75" customHeight="1" x14ac:dyDescent="0.2">
      <c r="A296" s="3">
        <f t="shared" si="4"/>
        <v>2294</v>
      </c>
      <c r="B296" s="7" t="s">
        <v>450</v>
      </c>
      <c r="C296" s="7" t="s">
        <v>648</v>
      </c>
      <c r="D296" s="28" t="s">
        <v>650</v>
      </c>
      <c r="E296" s="8" t="s">
        <v>649</v>
      </c>
      <c r="F296" s="7">
        <v>0</v>
      </c>
      <c r="G296" s="7">
        <v>300</v>
      </c>
      <c r="H296" s="7">
        <v>0</v>
      </c>
      <c r="I296" s="7">
        <v>50</v>
      </c>
      <c r="J296" s="7">
        <v>3</v>
      </c>
      <c r="K296" s="7">
        <v>1</v>
      </c>
      <c r="L296" s="7">
        <v>0</v>
      </c>
      <c r="M296" s="7">
        <v>0</v>
      </c>
      <c r="N296" s="7">
        <v>0</v>
      </c>
      <c r="O296" s="7">
        <v>0</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30</v>
      </c>
      <c r="AL296" s="7" t="s">
        <v>31</v>
      </c>
      <c r="AM296" s="7" t="s">
        <v>1525</v>
      </c>
      <c r="AN296" s="7" t="s">
        <v>2024</v>
      </c>
      <c r="AO296" s="7" t="s">
        <v>1853</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527</v>
      </c>
      <c r="BK296" s="9">
        <v>1</v>
      </c>
      <c r="BL296" s="9">
        <v>30</v>
      </c>
      <c r="BM296">
        <v>0</v>
      </c>
      <c r="BN296">
        <v>0</v>
      </c>
      <c r="BO296" s="9">
        <v>0</v>
      </c>
    </row>
    <row r="297" spans="1:67" s="9" customFormat="1" ht="15.75" customHeight="1" x14ac:dyDescent="0.2">
      <c r="A297" s="3">
        <f t="shared" si="4"/>
        <v>2295</v>
      </c>
      <c r="B297" s="7" t="s">
        <v>450</v>
      </c>
      <c r="C297" s="7" t="s">
        <v>667</v>
      </c>
      <c r="D297" s="28" t="s">
        <v>704</v>
      </c>
      <c r="E297" s="8" t="s">
        <v>668</v>
      </c>
      <c r="F297" s="7">
        <v>0</v>
      </c>
      <c r="G297" s="7">
        <v>300</v>
      </c>
      <c r="H297" s="7">
        <v>0</v>
      </c>
      <c r="I297" s="7">
        <v>50</v>
      </c>
      <c r="J297" s="7">
        <v>3</v>
      </c>
      <c r="K297" s="7">
        <v>1</v>
      </c>
      <c r="L297" s="7">
        <v>0</v>
      </c>
      <c r="M297" s="7">
        <v>0</v>
      </c>
      <c r="N297" s="7">
        <v>0</v>
      </c>
      <c r="O297" s="7">
        <v>0</v>
      </c>
      <c r="P297" s="7">
        <v>40</v>
      </c>
      <c r="Q297" s="7">
        <v>0</v>
      </c>
      <c r="R297" s="7">
        <v>0</v>
      </c>
      <c r="S297" s="7">
        <v>20</v>
      </c>
      <c r="T297" s="7">
        <v>0</v>
      </c>
      <c r="U297" s="7">
        <v>0</v>
      </c>
      <c r="V297" s="7">
        <v>0</v>
      </c>
      <c r="W297" s="7">
        <v>0</v>
      </c>
      <c r="X297" s="7">
        <v>0</v>
      </c>
      <c r="Y297" s="7">
        <v>0</v>
      </c>
      <c r="Z297" s="7">
        <v>0</v>
      </c>
      <c r="AA297" s="7">
        <v>0</v>
      </c>
      <c r="AB297" s="7">
        <v>0</v>
      </c>
      <c r="AC297" s="7">
        <v>0</v>
      </c>
      <c r="AD297" s="7">
        <v>0</v>
      </c>
      <c r="AE297" s="7">
        <v>0</v>
      </c>
      <c r="AF297" s="7">
        <v>0</v>
      </c>
      <c r="AG297" s="7">
        <v>0</v>
      </c>
      <c r="AH297" s="7">
        <v>0</v>
      </c>
      <c r="AI297" s="7">
        <v>0</v>
      </c>
      <c r="AJ297" s="7">
        <v>0</v>
      </c>
      <c r="AK297" s="7">
        <v>30</v>
      </c>
      <c r="AL297" s="7" t="s">
        <v>31</v>
      </c>
      <c r="AM297" s="7" t="s">
        <v>406</v>
      </c>
      <c r="AN297" s="7" t="s">
        <v>2023</v>
      </c>
      <c r="AO297" s="7" t="s">
        <v>1853</v>
      </c>
      <c r="AP297" s="7">
        <v>30</v>
      </c>
      <c r="AQ297" s="7">
        <v>1</v>
      </c>
      <c r="AR297" s="9">
        <v>10</v>
      </c>
      <c r="AS297" s="9">
        <v>5</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526</v>
      </c>
      <c r="BK297" s="9">
        <v>1</v>
      </c>
      <c r="BL297" s="9">
        <v>30</v>
      </c>
      <c r="BM297">
        <v>0</v>
      </c>
      <c r="BN297">
        <v>0</v>
      </c>
      <c r="BO297" s="9">
        <v>0</v>
      </c>
    </row>
    <row r="298" spans="1:67" s="9" customFormat="1" ht="15.75" customHeight="1" x14ac:dyDescent="0.2">
      <c r="A298" s="3">
        <f t="shared" si="4"/>
        <v>2296</v>
      </c>
      <c r="B298" s="7" t="s">
        <v>450</v>
      </c>
      <c r="C298" s="7" t="s">
        <v>669</v>
      </c>
      <c r="D298" s="28" t="s">
        <v>705</v>
      </c>
      <c r="E298" s="8" t="s">
        <v>670</v>
      </c>
      <c r="F298" s="7">
        <v>0</v>
      </c>
      <c r="G298" s="7">
        <v>300</v>
      </c>
      <c r="H298" s="7">
        <v>0</v>
      </c>
      <c r="I298" s="7">
        <v>50</v>
      </c>
      <c r="J298" s="7">
        <v>3</v>
      </c>
      <c r="K298" s="7">
        <v>1</v>
      </c>
      <c r="L298" s="7">
        <v>0</v>
      </c>
      <c r="M298" s="7">
        <v>0</v>
      </c>
      <c r="N298" s="7">
        <v>0</v>
      </c>
      <c r="O298" s="7">
        <v>0</v>
      </c>
      <c r="P298" s="7">
        <v>40</v>
      </c>
      <c r="Q298" s="7">
        <v>0</v>
      </c>
      <c r="R298" s="7">
        <v>0</v>
      </c>
      <c r="S298" s="7">
        <v>20</v>
      </c>
      <c r="T298" s="7">
        <v>0</v>
      </c>
      <c r="U298" s="7">
        <v>0</v>
      </c>
      <c r="V298" s="7">
        <v>0</v>
      </c>
      <c r="W298" s="7">
        <v>0</v>
      </c>
      <c r="X298" s="7">
        <v>0</v>
      </c>
      <c r="Y298" s="7">
        <v>0</v>
      </c>
      <c r="Z298" s="7">
        <v>0</v>
      </c>
      <c r="AA298" s="7">
        <v>0</v>
      </c>
      <c r="AB298" s="7">
        <v>0</v>
      </c>
      <c r="AC298" s="7">
        <v>0</v>
      </c>
      <c r="AD298" s="7">
        <v>0</v>
      </c>
      <c r="AE298" s="7">
        <v>0</v>
      </c>
      <c r="AF298" s="7">
        <v>0</v>
      </c>
      <c r="AG298" s="7">
        <v>0</v>
      </c>
      <c r="AH298" s="7">
        <v>0</v>
      </c>
      <c r="AI298" s="7">
        <v>0</v>
      </c>
      <c r="AJ298" s="7">
        <v>0</v>
      </c>
      <c r="AK298" s="7">
        <v>30</v>
      </c>
      <c r="AL298" s="7" t="s">
        <v>31</v>
      </c>
      <c r="AM298" s="7" t="s">
        <v>406</v>
      </c>
      <c r="AN298" s="7" t="s">
        <v>2023</v>
      </c>
      <c r="AO298" s="7" t="s">
        <v>1853</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v>0</v>
      </c>
      <c r="BN298">
        <v>0</v>
      </c>
      <c r="BO298" s="9">
        <v>0</v>
      </c>
    </row>
    <row r="299" spans="1:67" ht="15.75" customHeight="1" x14ac:dyDescent="0.2">
      <c r="A299" s="3">
        <f t="shared" si="4"/>
        <v>2297</v>
      </c>
      <c r="B299" s="3" t="s">
        <v>2739</v>
      </c>
      <c r="C299" s="3" t="s">
        <v>2739</v>
      </c>
      <c r="D299" s="27" t="s">
        <v>2738</v>
      </c>
      <c r="E299" s="5" t="s">
        <v>3415</v>
      </c>
      <c r="F299" s="3">
        <v>0</v>
      </c>
      <c r="G299" s="3">
        <v>300</v>
      </c>
      <c r="H299" s="3">
        <v>0</v>
      </c>
      <c r="I299" s="3">
        <v>20</v>
      </c>
      <c r="J299" s="3">
        <v>0</v>
      </c>
      <c r="K299" s="3">
        <v>1</v>
      </c>
      <c r="L299" s="3">
        <v>0</v>
      </c>
      <c r="M299" s="3">
        <v>0</v>
      </c>
      <c r="N299" s="3">
        <v>0</v>
      </c>
      <c r="O299" s="3">
        <v>0</v>
      </c>
      <c r="P299" s="3">
        <v>0</v>
      </c>
      <c r="Q299" s="3">
        <v>0</v>
      </c>
      <c r="R299" s="3">
        <v>0</v>
      </c>
      <c r="S299" s="3">
        <v>0</v>
      </c>
      <c r="T299" s="3">
        <v>0</v>
      </c>
      <c r="U299" s="3">
        <v>0</v>
      </c>
      <c r="V299" s="3">
        <v>0</v>
      </c>
      <c r="W299" s="3">
        <v>0</v>
      </c>
      <c r="X299" s="3">
        <v>0</v>
      </c>
      <c r="Y299" s="3">
        <v>50</v>
      </c>
      <c r="Z299" s="3">
        <v>0</v>
      </c>
      <c r="AA299" s="3">
        <v>0</v>
      </c>
      <c r="AB299" s="3">
        <v>0</v>
      </c>
      <c r="AC299" s="3">
        <v>0</v>
      </c>
      <c r="AD299" s="3">
        <v>0</v>
      </c>
      <c r="AE299" s="3">
        <v>0</v>
      </c>
      <c r="AF299" s="3">
        <v>0</v>
      </c>
      <c r="AG299" s="3">
        <v>0</v>
      </c>
      <c r="AH299" s="3">
        <v>0</v>
      </c>
      <c r="AI299" s="3">
        <v>0</v>
      </c>
      <c r="AJ299" s="3">
        <v>0</v>
      </c>
      <c r="AK299" s="3">
        <v>30</v>
      </c>
      <c r="AL299" s="3" t="s">
        <v>31</v>
      </c>
      <c r="AM299" s="3" t="s">
        <v>406</v>
      </c>
      <c r="AN299" s="3" t="s">
        <v>2023</v>
      </c>
      <c r="AO299" s="3" t="s">
        <v>50</v>
      </c>
      <c r="AP299" s="3">
        <v>30</v>
      </c>
      <c r="AQ299" s="3">
        <v>1.5</v>
      </c>
      <c r="AR299">
        <v>1200</v>
      </c>
      <c r="AS299">
        <v>10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528</v>
      </c>
      <c r="BK299">
        <v>2</v>
      </c>
      <c r="BL299">
        <v>30</v>
      </c>
      <c r="BM299">
        <v>0</v>
      </c>
      <c r="BN299">
        <v>0</v>
      </c>
      <c r="BO299">
        <v>0</v>
      </c>
    </row>
    <row r="300" spans="1:67" ht="15.75" customHeight="1" x14ac:dyDescent="0.2">
      <c r="A300" s="3">
        <f t="shared" si="4"/>
        <v>2298</v>
      </c>
      <c r="B300" s="3" t="s">
        <v>2368</v>
      </c>
      <c r="C300" s="3" t="s">
        <v>2368</v>
      </c>
      <c r="D300" s="27" t="s">
        <v>2367</v>
      </c>
      <c r="E300" s="5" t="s">
        <v>2369</v>
      </c>
      <c r="F300" s="3">
        <v>0</v>
      </c>
      <c r="G300" s="3">
        <v>300</v>
      </c>
      <c r="H300" s="3">
        <v>0</v>
      </c>
      <c r="I300" s="3">
        <v>20</v>
      </c>
      <c r="J300" s="3">
        <v>0</v>
      </c>
      <c r="K300" s="3">
        <v>1</v>
      </c>
      <c r="L300" s="3">
        <v>0</v>
      </c>
      <c r="M300" s="3">
        <v>0</v>
      </c>
      <c r="N300" s="3">
        <v>0</v>
      </c>
      <c r="O300" s="3">
        <v>0</v>
      </c>
      <c r="P300" s="3">
        <v>0</v>
      </c>
      <c r="Q300" s="3">
        <v>0</v>
      </c>
      <c r="R300" s="3">
        <v>0</v>
      </c>
      <c r="S300" s="3">
        <v>0</v>
      </c>
      <c r="T300" s="3">
        <v>0</v>
      </c>
      <c r="U300" s="3">
        <v>0</v>
      </c>
      <c r="V300" s="3">
        <v>0</v>
      </c>
      <c r="W300" s="3">
        <v>0</v>
      </c>
      <c r="X300" s="3">
        <v>0</v>
      </c>
      <c r="Y300" s="3">
        <v>50</v>
      </c>
      <c r="Z300" s="3">
        <v>0</v>
      </c>
      <c r="AA300" s="3">
        <v>0</v>
      </c>
      <c r="AB300" s="3">
        <v>0</v>
      </c>
      <c r="AC300" s="3">
        <v>0</v>
      </c>
      <c r="AD300" s="3">
        <v>0</v>
      </c>
      <c r="AE300" s="3">
        <v>0</v>
      </c>
      <c r="AF300" s="3">
        <v>0</v>
      </c>
      <c r="AG300" s="3">
        <v>0</v>
      </c>
      <c r="AH300" s="3">
        <v>0</v>
      </c>
      <c r="AI300" s="3">
        <v>0</v>
      </c>
      <c r="AJ300" s="3">
        <v>0</v>
      </c>
      <c r="AK300" s="3">
        <v>30</v>
      </c>
      <c r="AL300" s="3" t="s">
        <v>31</v>
      </c>
      <c r="AM300" s="3" t="s">
        <v>99</v>
      </c>
      <c r="AN300" s="3" t="s">
        <v>2010</v>
      </c>
      <c r="AO300" s="3" t="s">
        <v>50</v>
      </c>
      <c r="AP300" s="3">
        <v>30</v>
      </c>
      <c r="AQ300" s="3">
        <v>1.5</v>
      </c>
      <c r="AR300">
        <v>1200</v>
      </c>
      <c r="AS300">
        <v>10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529</v>
      </c>
      <c r="BK300">
        <v>3</v>
      </c>
      <c r="BL300">
        <v>30</v>
      </c>
      <c r="BM300">
        <v>0</v>
      </c>
      <c r="BN300">
        <v>0</v>
      </c>
      <c r="BO300">
        <v>0</v>
      </c>
    </row>
    <row r="301" spans="1:67" s="9" customFormat="1" ht="15.75" customHeight="1" x14ac:dyDescent="0.2">
      <c r="A301" s="7">
        <f t="shared" si="4"/>
        <v>2299</v>
      </c>
      <c r="B301" s="7" t="s">
        <v>2379</v>
      </c>
      <c r="C301" s="7" t="s">
        <v>2379</v>
      </c>
      <c r="D301" s="28" t="s">
        <v>2378</v>
      </c>
      <c r="E301" s="8" t="s">
        <v>2536</v>
      </c>
      <c r="F301" s="7">
        <v>1</v>
      </c>
      <c r="G301" s="7">
        <v>300</v>
      </c>
      <c r="H301" s="7">
        <v>0</v>
      </c>
      <c r="I301" s="7">
        <v>50</v>
      </c>
      <c r="J301" s="7">
        <v>3</v>
      </c>
      <c r="K301" s="7">
        <v>1</v>
      </c>
      <c r="L301" s="7">
        <v>0</v>
      </c>
      <c r="M301" s="7">
        <v>0</v>
      </c>
      <c r="N301" s="7">
        <v>0</v>
      </c>
      <c r="O301" s="7">
        <v>0</v>
      </c>
      <c r="P301" s="7">
        <v>40</v>
      </c>
      <c r="Q301" s="7">
        <v>0</v>
      </c>
      <c r="R301" s="7">
        <v>0</v>
      </c>
      <c r="S301" s="7">
        <v>70</v>
      </c>
      <c r="T301" s="7">
        <v>0</v>
      </c>
      <c r="U301" s="7">
        <v>0</v>
      </c>
      <c r="V301" s="7">
        <v>60</v>
      </c>
      <c r="W301" s="7">
        <v>-20</v>
      </c>
      <c r="X301" s="7">
        <v>-500</v>
      </c>
      <c r="Y301" s="7">
        <v>40</v>
      </c>
      <c r="Z301" s="7">
        <v>0</v>
      </c>
      <c r="AA301" s="7">
        <v>0</v>
      </c>
      <c r="AB301" s="7">
        <v>0</v>
      </c>
      <c r="AC301" s="7">
        <v>0</v>
      </c>
      <c r="AD301" s="7">
        <v>0</v>
      </c>
      <c r="AE301" s="7">
        <v>0</v>
      </c>
      <c r="AF301" s="7">
        <v>0</v>
      </c>
      <c r="AG301" s="7">
        <v>0</v>
      </c>
      <c r="AH301" s="7">
        <v>0</v>
      </c>
      <c r="AI301" s="7">
        <v>0</v>
      </c>
      <c r="AJ301" s="7">
        <v>0</v>
      </c>
      <c r="AK301" s="7">
        <v>30</v>
      </c>
      <c r="AL301" s="7" t="s">
        <v>31</v>
      </c>
      <c r="AM301" s="7" t="s">
        <v>406</v>
      </c>
      <c r="AN301" s="7" t="s">
        <v>2023</v>
      </c>
      <c r="AO301" s="7" t="s">
        <v>50</v>
      </c>
      <c r="AP301" s="7">
        <v>30</v>
      </c>
      <c r="AQ301" s="7">
        <v>1</v>
      </c>
      <c r="AR301" s="9">
        <v>10</v>
      </c>
      <c r="AS301" s="9">
        <v>5</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520</v>
      </c>
      <c r="BK301" s="9">
        <v>1</v>
      </c>
      <c r="BL301" s="9">
        <v>50</v>
      </c>
      <c r="BM301" s="9">
        <v>0</v>
      </c>
      <c r="BN301" s="9">
        <v>0</v>
      </c>
      <c r="BO301" s="9">
        <v>0</v>
      </c>
    </row>
    <row r="302" spans="1:67" s="23" customFormat="1" ht="15.75" customHeight="1" x14ac:dyDescent="0.2">
      <c r="A302" s="21">
        <f t="shared" si="4"/>
        <v>2300</v>
      </c>
      <c r="B302" s="21" t="s">
        <v>349</v>
      </c>
      <c r="C302" s="21" t="s">
        <v>2297</v>
      </c>
      <c r="D302" s="22" t="s">
        <v>2298</v>
      </c>
      <c r="E302" s="22" t="s">
        <v>2292</v>
      </c>
      <c r="F302" s="21">
        <v>0</v>
      </c>
      <c r="G302" s="21">
        <v>300</v>
      </c>
      <c r="H302" s="21">
        <v>0</v>
      </c>
      <c r="I302" s="21">
        <v>20</v>
      </c>
      <c r="J302" s="21">
        <v>150</v>
      </c>
      <c r="K302" s="21">
        <v>1</v>
      </c>
      <c r="L302" s="21">
        <v>0</v>
      </c>
      <c r="M302" s="21">
        <v>0</v>
      </c>
      <c r="N302" s="21">
        <v>0</v>
      </c>
      <c r="O302" s="21">
        <v>0</v>
      </c>
      <c r="P302" s="21">
        <v>0</v>
      </c>
      <c r="Q302" s="21">
        <v>0</v>
      </c>
      <c r="R302" s="21">
        <v>0</v>
      </c>
      <c r="S302" s="21">
        <v>0</v>
      </c>
      <c r="T302" s="21">
        <v>0</v>
      </c>
      <c r="U302" s="21">
        <v>0</v>
      </c>
      <c r="V302" s="21">
        <v>0</v>
      </c>
      <c r="W302" s="21">
        <v>0</v>
      </c>
      <c r="X302" s="21">
        <v>0</v>
      </c>
      <c r="Y302" s="21">
        <v>0</v>
      </c>
      <c r="Z302" s="21">
        <v>0</v>
      </c>
      <c r="AA302" s="21">
        <v>0</v>
      </c>
      <c r="AB302" s="21">
        <v>0</v>
      </c>
      <c r="AC302" s="21">
        <v>0</v>
      </c>
      <c r="AD302" s="21">
        <v>0</v>
      </c>
      <c r="AE302" s="21">
        <v>0</v>
      </c>
      <c r="AF302" s="21">
        <v>0</v>
      </c>
      <c r="AG302" s="21">
        <v>0</v>
      </c>
      <c r="AH302" s="21">
        <v>0</v>
      </c>
      <c r="AI302" s="21">
        <v>0</v>
      </c>
      <c r="AJ302" s="21">
        <v>0</v>
      </c>
      <c r="AK302" s="21">
        <v>0</v>
      </c>
      <c r="AL302" s="21" t="s">
        <v>31</v>
      </c>
      <c r="AM302" s="21" t="s">
        <v>48</v>
      </c>
      <c r="AN302" s="21" t="s">
        <v>2022</v>
      </c>
      <c r="AO302" s="21" t="s">
        <v>50</v>
      </c>
      <c r="AP302" s="21">
        <v>30</v>
      </c>
      <c r="AQ302" s="21">
        <v>20</v>
      </c>
      <c r="AR302" s="23">
        <v>1500</v>
      </c>
      <c r="AS302" s="23">
        <v>1200</v>
      </c>
      <c r="AT302" s="24" t="s">
        <v>50</v>
      </c>
      <c r="AU302" s="24" t="s">
        <v>50</v>
      </c>
      <c r="AV302" s="24" t="s">
        <v>50</v>
      </c>
      <c r="AW302" s="24" t="s">
        <v>50</v>
      </c>
      <c r="AX302" s="24" t="s">
        <v>50</v>
      </c>
      <c r="AY302" s="24" t="s">
        <v>50</v>
      </c>
      <c r="AZ302" s="24" t="s">
        <v>50</v>
      </c>
      <c r="BA302" s="24" t="s">
        <v>50</v>
      </c>
      <c r="BB302" s="24" t="s">
        <v>50</v>
      </c>
      <c r="BC302" s="24" t="s">
        <v>50</v>
      </c>
      <c r="BD302" s="24" t="s">
        <v>50</v>
      </c>
      <c r="BE302" s="24" t="s">
        <v>50</v>
      </c>
      <c r="BF302" s="24" t="s">
        <v>50</v>
      </c>
      <c r="BG302" s="24" t="s">
        <v>50</v>
      </c>
      <c r="BH302" s="24" t="s">
        <v>50</v>
      </c>
      <c r="BI302" s="23">
        <v>0</v>
      </c>
      <c r="BJ302" s="23">
        <v>0</v>
      </c>
      <c r="BK302" s="23">
        <v>1</v>
      </c>
      <c r="BL302" s="23">
        <v>30</v>
      </c>
      <c r="BM302">
        <v>0</v>
      </c>
      <c r="BN302">
        <v>0</v>
      </c>
      <c r="BO302" s="23">
        <v>0</v>
      </c>
    </row>
    <row r="303" spans="1:67" ht="15.75" customHeight="1" x14ac:dyDescent="0.2">
      <c r="A303" s="3">
        <f t="shared" si="4"/>
        <v>2301</v>
      </c>
      <c r="B303" s="3" t="s">
        <v>349</v>
      </c>
      <c r="C303" s="3" t="s">
        <v>336</v>
      </c>
      <c r="D303" s="4" t="s">
        <v>337</v>
      </c>
      <c r="E303" s="4" t="s">
        <v>737</v>
      </c>
      <c r="F303" s="3">
        <v>0</v>
      </c>
      <c r="G303" s="3">
        <v>50</v>
      </c>
      <c r="H303" s="3">
        <v>0</v>
      </c>
      <c r="I303" s="3">
        <v>50</v>
      </c>
      <c r="J303" s="3">
        <v>100</v>
      </c>
      <c r="K303" s="3">
        <v>1</v>
      </c>
      <c r="L303" s="3">
        <v>0</v>
      </c>
      <c r="M303" s="3">
        <v>0</v>
      </c>
      <c r="N303" s="3">
        <v>0</v>
      </c>
      <c r="O303" s="3">
        <v>0</v>
      </c>
      <c r="P303" s="3">
        <v>0</v>
      </c>
      <c r="Q303" s="3">
        <v>0</v>
      </c>
      <c r="R303" s="3">
        <v>0</v>
      </c>
      <c r="S303" s="3">
        <v>0</v>
      </c>
      <c r="T303" s="3">
        <v>0</v>
      </c>
      <c r="U303" s="3">
        <v>0</v>
      </c>
      <c r="V303" s="3">
        <v>0</v>
      </c>
      <c r="W303" s="3">
        <v>0</v>
      </c>
      <c r="X303" s="3">
        <v>0</v>
      </c>
      <c r="Y303" s="3">
        <v>80</v>
      </c>
      <c r="Z303" s="3">
        <v>0</v>
      </c>
      <c r="AA303" s="3">
        <v>0</v>
      </c>
      <c r="AB303" s="3">
        <v>0</v>
      </c>
      <c r="AC303" s="3">
        <v>0</v>
      </c>
      <c r="AD303" s="3">
        <v>0</v>
      </c>
      <c r="AE303" s="3">
        <v>0</v>
      </c>
      <c r="AF303" s="3">
        <v>0</v>
      </c>
      <c r="AG303" s="3">
        <v>0</v>
      </c>
      <c r="AH303" s="3">
        <v>0</v>
      </c>
      <c r="AI303" s="3">
        <v>0</v>
      </c>
      <c r="AJ303" s="3">
        <v>0</v>
      </c>
      <c r="AK303" s="3">
        <v>0</v>
      </c>
      <c r="AL303" s="3" t="s">
        <v>31</v>
      </c>
      <c r="AM303" s="3" t="s">
        <v>348</v>
      </c>
      <c r="AN303" s="3" t="s">
        <v>2025</v>
      </c>
      <c r="AO303" s="3" t="s">
        <v>1854</v>
      </c>
      <c r="AP303" s="3">
        <v>30</v>
      </c>
      <c r="AQ303" s="3">
        <v>1.3</v>
      </c>
      <c r="AR303">
        <v>400</v>
      </c>
      <c r="AS303">
        <v>10</v>
      </c>
      <c r="AT303" s="6" t="s">
        <v>50</v>
      </c>
      <c r="AU303" s="6" t="s">
        <v>50</v>
      </c>
      <c r="AV303" s="6" t="s">
        <v>50</v>
      </c>
      <c r="AW303" s="6" t="s">
        <v>50</v>
      </c>
      <c r="AX303" s="6" t="s">
        <v>50</v>
      </c>
      <c r="AY303" s="6" t="s">
        <v>50</v>
      </c>
      <c r="AZ303" s="6" t="s">
        <v>50</v>
      </c>
      <c r="BA303" s="6" t="s">
        <v>50</v>
      </c>
      <c r="BB303" s="6" t="s">
        <v>50</v>
      </c>
      <c r="BC303" s="6" t="s">
        <v>50</v>
      </c>
      <c r="BD303" s="6" t="s">
        <v>348</v>
      </c>
      <c r="BE303" s="6" t="s">
        <v>50</v>
      </c>
      <c r="BF303" s="6" t="s">
        <v>50</v>
      </c>
      <c r="BG303" s="6" t="s">
        <v>50</v>
      </c>
      <c r="BH303" s="6" t="s">
        <v>50</v>
      </c>
      <c r="BI303">
        <v>1</v>
      </c>
      <c r="BJ303">
        <v>100</v>
      </c>
      <c r="BK303">
        <v>1</v>
      </c>
      <c r="BL303">
        <v>30</v>
      </c>
      <c r="BM303">
        <v>0</v>
      </c>
      <c r="BN303">
        <v>0</v>
      </c>
      <c r="BO303">
        <v>0</v>
      </c>
    </row>
    <row r="304" spans="1:67" ht="15.75" customHeight="1" x14ac:dyDescent="0.2">
      <c r="A304" s="3">
        <f t="shared" si="4"/>
        <v>2302</v>
      </c>
      <c r="B304" s="3" t="s">
        <v>1275</v>
      </c>
      <c r="C304" s="3" t="s">
        <v>781</v>
      </c>
      <c r="D304" s="4" t="s">
        <v>780</v>
      </c>
      <c r="E304" s="4" t="s">
        <v>782</v>
      </c>
      <c r="F304" s="3">
        <v>0</v>
      </c>
      <c r="G304" s="3">
        <v>50</v>
      </c>
      <c r="H304" s="3">
        <v>0</v>
      </c>
      <c r="I304" s="3">
        <v>50</v>
      </c>
      <c r="J304" s="3">
        <v>100</v>
      </c>
      <c r="K304" s="3">
        <v>1</v>
      </c>
      <c r="L304" s="3">
        <v>0</v>
      </c>
      <c r="M304" s="3">
        <v>0</v>
      </c>
      <c r="N304" s="3">
        <v>0</v>
      </c>
      <c r="O304" s="3">
        <v>0</v>
      </c>
      <c r="P304" s="3">
        <v>0</v>
      </c>
      <c r="Q304" s="3">
        <v>0</v>
      </c>
      <c r="R304" s="3">
        <v>0</v>
      </c>
      <c r="S304" s="3">
        <v>0</v>
      </c>
      <c r="T304" s="3">
        <v>0</v>
      </c>
      <c r="U304" s="3">
        <v>0</v>
      </c>
      <c r="V304" s="3">
        <v>0</v>
      </c>
      <c r="W304" s="3">
        <v>0</v>
      </c>
      <c r="X304" s="3">
        <v>0</v>
      </c>
      <c r="Y304" s="3">
        <v>80</v>
      </c>
      <c r="Z304" s="3">
        <v>0</v>
      </c>
      <c r="AA304" s="3">
        <v>0</v>
      </c>
      <c r="AB304" s="3">
        <v>0</v>
      </c>
      <c r="AC304" s="3">
        <v>0</v>
      </c>
      <c r="AD304" s="3">
        <v>0</v>
      </c>
      <c r="AE304" s="3">
        <v>0</v>
      </c>
      <c r="AF304" s="3">
        <v>0</v>
      </c>
      <c r="AG304" s="3">
        <v>0</v>
      </c>
      <c r="AH304" s="3">
        <v>0</v>
      </c>
      <c r="AI304" s="3">
        <v>0</v>
      </c>
      <c r="AJ304" s="3">
        <v>0</v>
      </c>
      <c r="AK304" s="3">
        <v>0</v>
      </c>
      <c r="AL304" s="3" t="s">
        <v>31</v>
      </c>
      <c r="AM304" s="3" t="s">
        <v>348</v>
      </c>
      <c r="AN304" s="3" t="s">
        <v>2025</v>
      </c>
      <c r="AO304" s="3" t="s">
        <v>1854</v>
      </c>
      <c r="AP304" s="3">
        <v>30</v>
      </c>
      <c r="AQ304" s="3">
        <v>1.3</v>
      </c>
      <c r="AR304">
        <v>400</v>
      </c>
      <c r="AS304">
        <v>10</v>
      </c>
      <c r="AT304" s="6" t="s">
        <v>50</v>
      </c>
      <c r="AU304" s="6" t="s">
        <v>50</v>
      </c>
      <c r="AV304" s="6" t="s">
        <v>50</v>
      </c>
      <c r="AW304" s="6" t="s">
        <v>50</v>
      </c>
      <c r="AX304" s="6" t="s">
        <v>50</v>
      </c>
      <c r="AY304" s="6" t="s">
        <v>50</v>
      </c>
      <c r="AZ304" s="6" t="s">
        <v>50</v>
      </c>
      <c r="BA304" s="6" t="s">
        <v>50</v>
      </c>
      <c r="BB304" s="6" t="s">
        <v>50</v>
      </c>
      <c r="BC304" s="6" t="s">
        <v>50</v>
      </c>
      <c r="BD304" s="6" t="s">
        <v>1226</v>
      </c>
      <c r="BE304" s="6" t="s">
        <v>50</v>
      </c>
      <c r="BF304" s="6" t="s">
        <v>50</v>
      </c>
      <c r="BG304" s="6" t="s">
        <v>50</v>
      </c>
      <c r="BH304" s="6" t="s">
        <v>50</v>
      </c>
      <c r="BI304">
        <v>1</v>
      </c>
      <c r="BJ304">
        <v>870</v>
      </c>
      <c r="BK304">
        <v>1</v>
      </c>
      <c r="BL304">
        <v>30</v>
      </c>
      <c r="BM304">
        <v>0</v>
      </c>
      <c r="BN304">
        <v>0</v>
      </c>
      <c r="BO304">
        <v>0</v>
      </c>
    </row>
    <row r="305" spans="1:67" ht="15.75" customHeight="1" x14ac:dyDescent="0.2">
      <c r="A305" s="3">
        <f t="shared" si="4"/>
        <v>2303</v>
      </c>
      <c r="B305" s="3" t="s">
        <v>1276</v>
      </c>
      <c r="C305" s="3" t="s">
        <v>1248</v>
      </c>
      <c r="D305" s="4" t="s">
        <v>1249</v>
      </c>
      <c r="E305" s="4" t="s">
        <v>1250</v>
      </c>
      <c r="F305" s="3">
        <v>0</v>
      </c>
      <c r="G305" s="3">
        <v>50</v>
      </c>
      <c r="H305" s="3">
        <v>0</v>
      </c>
      <c r="I305" s="3">
        <v>50</v>
      </c>
      <c r="J305" s="3">
        <v>100</v>
      </c>
      <c r="K305" s="3">
        <v>1</v>
      </c>
      <c r="L305" s="3">
        <v>0</v>
      </c>
      <c r="M305" s="3">
        <v>0</v>
      </c>
      <c r="N305" s="3">
        <v>0</v>
      </c>
      <c r="O305" s="3">
        <v>0</v>
      </c>
      <c r="P305" s="3">
        <v>0</v>
      </c>
      <c r="Q305" s="3">
        <v>0</v>
      </c>
      <c r="R305" s="3">
        <v>0</v>
      </c>
      <c r="S305" s="3">
        <v>0</v>
      </c>
      <c r="T305" s="3">
        <v>0</v>
      </c>
      <c r="U305" s="3">
        <v>0</v>
      </c>
      <c r="V305" s="3">
        <v>0</v>
      </c>
      <c r="W305" s="3">
        <v>0</v>
      </c>
      <c r="X305" s="3">
        <v>0</v>
      </c>
      <c r="Y305" s="3">
        <v>80</v>
      </c>
      <c r="Z305" s="3">
        <v>0</v>
      </c>
      <c r="AA305" s="3">
        <v>0</v>
      </c>
      <c r="AB305" s="3">
        <v>0</v>
      </c>
      <c r="AC305" s="3">
        <v>0</v>
      </c>
      <c r="AD305" s="3">
        <v>0</v>
      </c>
      <c r="AE305" s="3">
        <v>0</v>
      </c>
      <c r="AF305" s="3">
        <v>0</v>
      </c>
      <c r="AG305" s="3">
        <v>0</v>
      </c>
      <c r="AH305" s="3">
        <v>0</v>
      </c>
      <c r="AI305" s="3">
        <v>0</v>
      </c>
      <c r="AJ305" s="3">
        <v>0</v>
      </c>
      <c r="AK305" s="3">
        <v>0</v>
      </c>
      <c r="AL305" s="3" t="s">
        <v>31</v>
      </c>
      <c r="AM305" s="3" t="s">
        <v>348</v>
      </c>
      <c r="AN305" s="3" t="s">
        <v>2025</v>
      </c>
      <c r="AO305" s="3" t="s">
        <v>1854</v>
      </c>
      <c r="AP305" s="3">
        <v>30</v>
      </c>
      <c r="AQ305" s="3">
        <v>1.3</v>
      </c>
      <c r="AR305">
        <v>400</v>
      </c>
      <c r="AS305">
        <v>10</v>
      </c>
      <c r="AT305" s="6" t="s">
        <v>50</v>
      </c>
      <c r="AU305" s="6" t="s">
        <v>50</v>
      </c>
      <c r="AV305" s="6" t="s">
        <v>50</v>
      </c>
      <c r="AW305" s="6" t="s">
        <v>50</v>
      </c>
      <c r="AX305" s="6" t="s">
        <v>50</v>
      </c>
      <c r="AY305" s="6" t="s">
        <v>50</v>
      </c>
      <c r="AZ305" s="6" t="s">
        <v>50</v>
      </c>
      <c r="BA305" s="6" t="s">
        <v>50</v>
      </c>
      <c r="BB305" s="6" t="s">
        <v>50</v>
      </c>
      <c r="BC305" s="6" t="s">
        <v>50</v>
      </c>
      <c r="BD305" s="6" t="s">
        <v>1253</v>
      </c>
      <c r="BE305" s="6" t="s">
        <v>50</v>
      </c>
      <c r="BF305" s="6" t="s">
        <v>50</v>
      </c>
      <c r="BG305" s="6" t="s">
        <v>50</v>
      </c>
      <c r="BH305" s="6" t="s">
        <v>50</v>
      </c>
      <c r="BI305">
        <v>1</v>
      </c>
      <c r="BJ305">
        <v>874</v>
      </c>
      <c r="BK305">
        <v>1</v>
      </c>
      <c r="BL305">
        <v>30</v>
      </c>
      <c r="BM305">
        <v>0</v>
      </c>
      <c r="BN305">
        <v>0</v>
      </c>
      <c r="BO305">
        <v>0</v>
      </c>
    </row>
    <row r="306" spans="1:67" ht="15.75" customHeight="1" x14ac:dyDescent="0.2">
      <c r="A306" s="3">
        <f t="shared" si="4"/>
        <v>2304</v>
      </c>
      <c r="B306" s="3" t="s">
        <v>1124</v>
      </c>
      <c r="C306" s="3" t="s">
        <v>790</v>
      </c>
      <c r="D306" s="4" t="s">
        <v>788</v>
      </c>
      <c r="E306" s="4" t="s">
        <v>789</v>
      </c>
      <c r="F306" s="3">
        <v>0</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0</v>
      </c>
      <c r="Y306" s="3">
        <v>80</v>
      </c>
      <c r="Z306" s="3">
        <v>0</v>
      </c>
      <c r="AA306" s="3">
        <v>0</v>
      </c>
      <c r="AB306" s="3">
        <v>0</v>
      </c>
      <c r="AC306" s="3">
        <v>0</v>
      </c>
      <c r="AD306" s="3">
        <v>0</v>
      </c>
      <c r="AE306" s="3">
        <v>0</v>
      </c>
      <c r="AF306" s="3">
        <v>0</v>
      </c>
      <c r="AG306" s="3">
        <v>0</v>
      </c>
      <c r="AH306" s="3">
        <v>0</v>
      </c>
      <c r="AI306" s="3">
        <v>0</v>
      </c>
      <c r="AJ306" s="3">
        <v>0</v>
      </c>
      <c r="AK306" s="3">
        <v>0</v>
      </c>
      <c r="AL306" s="3" t="s">
        <v>31</v>
      </c>
      <c r="AM306" s="3" t="s">
        <v>348</v>
      </c>
      <c r="AN306" s="3" t="s">
        <v>2025</v>
      </c>
      <c r="AO306" s="3" t="s">
        <v>1854</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1227</v>
      </c>
      <c r="BE306" s="6" t="s">
        <v>50</v>
      </c>
      <c r="BF306" s="6" t="s">
        <v>50</v>
      </c>
      <c r="BG306" s="6" t="s">
        <v>50</v>
      </c>
      <c r="BH306" s="6" t="s">
        <v>50</v>
      </c>
      <c r="BI306">
        <v>1</v>
      </c>
      <c r="BJ306">
        <v>871</v>
      </c>
      <c r="BK306">
        <v>1</v>
      </c>
      <c r="BL306">
        <v>30</v>
      </c>
      <c r="BM306">
        <v>0</v>
      </c>
      <c r="BN306">
        <v>0</v>
      </c>
      <c r="BO306">
        <v>0</v>
      </c>
    </row>
    <row r="307" spans="1:67" ht="15.75" customHeight="1" x14ac:dyDescent="0.2">
      <c r="A307" s="3">
        <f t="shared" si="4"/>
        <v>2305</v>
      </c>
      <c r="B307" s="3" t="s">
        <v>1277</v>
      </c>
      <c r="C307" s="3" t="s">
        <v>1245</v>
      </c>
      <c r="D307" s="4" t="s">
        <v>1246</v>
      </c>
      <c r="E307" s="4" t="s">
        <v>1247</v>
      </c>
      <c r="F307" s="3">
        <v>0</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0</v>
      </c>
      <c r="Y307" s="3">
        <v>80</v>
      </c>
      <c r="Z307" s="3">
        <v>0</v>
      </c>
      <c r="AA307" s="3">
        <v>0</v>
      </c>
      <c r="AB307" s="3">
        <v>0</v>
      </c>
      <c r="AC307" s="3">
        <v>0</v>
      </c>
      <c r="AD307" s="3">
        <v>0</v>
      </c>
      <c r="AE307" s="3">
        <v>0</v>
      </c>
      <c r="AF307" s="3">
        <v>0</v>
      </c>
      <c r="AG307" s="3">
        <v>0</v>
      </c>
      <c r="AH307" s="3">
        <v>0</v>
      </c>
      <c r="AI307" s="3">
        <v>0</v>
      </c>
      <c r="AJ307" s="3">
        <v>0</v>
      </c>
      <c r="AK307" s="3">
        <v>0</v>
      </c>
      <c r="AL307" s="3" t="s">
        <v>31</v>
      </c>
      <c r="AM307" s="3" t="s">
        <v>348</v>
      </c>
      <c r="AN307" s="3" t="s">
        <v>2025</v>
      </c>
      <c r="AO307" s="3" t="s">
        <v>1854</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1254</v>
      </c>
      <c r="BE307" s="6" t="s">
        <v>50</v>
      </c>
      <c r="BF307" s="6" t="s">
        <v>50</v>
      </c>
      <c r="BG307" s="6" t="s">
        <v>50</v>
      </c>
      <c r="BH307" s="6" t="s">
        <v>50</v>
      </c>
      <c r="BI307">
        <v>1</v>
      </c>
      <c r="BJ307">
        <v>875</v>
      </c>
      <c r="BK307">
        <v>1</v>
      </c>
      <c r="BL307">
        <v>30</v>
      </c>
      <c r="BM307">
        <v>0</v>
      </c>
      <c r="BN307">
        <v>0</v>
      </c>
      <c r="BO307">
        <v>0</v>
      </c>
    </row>
    <row r="308" spans="1:67" ht="15.75" customHeight="1" x14ac:dyDescent="0.2">
      <c r="A308" s="3">
        <f t="shared" si="4"/>
        <v>2306</v>
      </c>
      <c r="B308" s="3" t="s">
        <v>1152</v>
      </c>
      <c r="C308" s="3" t="s">
        <v>797</v>
      </c>
      <c r="D308" s="4" t="s">
        <v>796</v>
      </c>
      <c r="E308" s="4" t="s">
        <v>798</v>
      </c>
      <c r="F308" s="3">
        <v>0</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0</v>
      </c>
      <c r="Y308" s="3">
        <v>80</v>
      </c>
      <c r="Z308" s="3">
        <v>0</v>
      </c>
      <c r="AA308" s="3">
        <v>0</v>
      </c>
      <c r="AB308" s="3">
        <v>0</v>
      </c>
      <c r="AC308" s="3">
        <v>0</v>
      </c>
      <c r="AD308" s="3">
        <v>0</v>
      </c>
      <c r="AE308" s="3">
        <v>0</v>
      </c>
      <c r="AF308" s="3">
        <v>0</v>
      </c>
      <c r="AG308" s="3">
        <v>0</v>
      </c>
      <c r="AH308" s="3">
        <v>0</v>
      </c>
      <c r="AI308" s="3">
        <v>0</v>
      </c>
      <c r="AJ308" s="3">
        <v>0</v>
      </c>
      <c r="AK308" s="3">
        <v>0</v>
      </c>
      <c r="AL308" s="3" t="s">
        <v>31</v>
      </c>
      <c r="AM308" s="3" t="s">
        <v>348</v>
      </c>
      <c r="AN308" s="3" t="s">
        <v>2025</v>
      </c>
      <c r="AO308" s="3" t="s">
        <v>1854</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1228</v>
      </c>
      <c r="BE308" s="6" t="s">
        <v>50</v>
      </c>
      <c r="BF308" s="6" t="s">
        <v>50</v>
      </c>
      <c r="BG308" s="6" t="s">
        <v>50</v>
      </c>
      <c r="BH308" s="6" t="s">
        <v>50</v>
      </c>
      <c r="BI308">
        <v>1</v>
      </c>
      <c r="BJ308">
        <v>872</v>
      </c>
      <c r="BK308">
        <v>1</v>
      </c>
      <c r="BL308">
        <v>30</v>
      </c>
      <c r="BM308">
        <v>0</v>
      </c>
      <c r="BN308">
        <v>0</v>
      </c>
      <c r="BO308">
        <v>0</v>
      </c>
    </row>
    <row r="309" spans="1:67" ht="15.75" customHeight="1" x14ac:dyDescent="0.2">
      <c r="A309" s="3">
        <f t="shared" si="4"/>
        <v>2307</v>
      </c>
      <c r="B309" s="3" t="s">
        <v>1375</v>
      </c>
      <c r="C309" s="3" t="s">
        <v>1366</v>
      </c>
      <c r="D309" s="4" t="s">
        <v>1365</v>
      </c>
      <c r="E309" s="4" t="s">
        <v>1367</v>
      </c>
      <c r="F309" s="3">
        <v>0</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0</v>
      </c>
      <c r="Y309" s="3">
        <v>90</v>
      </c>
      <c r="Z309" s="3">
        <v>0</v>
      </c>
      <c r="AA309" s="3">
        <v>0</v>
      </c>
      <c r="AB309" s="3">
        <v>0</v>
      </c>
      <c r="AC309" s="3">
        <v>0</v>
      </c>
      <c r="AD309" s="3">
        <v>0</v>
      </c>
      <c r="AE309" s="3">
        <v>0</v>
      </c>
      <c r="AF309" s="3">
        <v>0</v>
      </c>
      <c r="AG309" s="3">
        <v>0</v>
      </c>
      <c r="AH309" s="3">
        <v>0</v>
      </c>
      <c r="AI309" s="3">
        <v>0</v>
      </c>
      <c r="AJ309" s="3">
        <v>0</v>
      </c>
      <c r="AK309" s="3">
        <v>0</v>
      </c>
      <c r="AL309" s="3" t="s">
        <v>31</v>
      </c>
      <c r="AM309" s="3" t="s">
        <v>348</v>
      </c>
      <c r="AN309" s="3" t="s">
        <v>2025</v>
      </c>
      <c r="AO309" s="3" t="s">
        <v>1854</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1371</v>
      </c>
      <c r="BE309" s="6" t="s">
        <v>50</v>
      </c>
      <c r="BF309" s="6" t="s">
        <v>50</v>
      </c>
      <c r="BG309" s="6" t="s">
        <v>50</v>
      </c>
      <c r="BH309" s="6" t="s">
        <v>50</v>
      </c>
      <c r="BI309">
        <v>1</v>
      </c>
      <c r="BJ309">
        <v>877</v>
      </c>
      <c r="BK309">
        <v>1</v>
      </c>
      <c r="BL309">
        <v>30</v>
      </c>
      <c r="BM309">
        <v>0</v>
      </c>
      <c r="BN309">
        <v>0</v>
      </c>
      <c r="BO309">
        <v>0</v>
      </c>
    </row>
    <row r="310" spans="1:67" ht="15.75" customHeight="1" x14ac:dyDescent="0.2">
      <c r="A310" s="3">
        <f t="shared" si="4"/>
        <v>2308</v>
      </c>
      <c r="B310" s="3" t="s">
        <v>1278</v>
      </c>
      <c r="C310" s="3" t="s">
        <v>1252</v>
      </c>
      <c r="D310" s="4" t="s">
        <v>1251</v>
      </c>
      <c r="E310" s="4" t="s">
        <v>1358</v>
      </c>
      <c r="F310" s="3">
        <v>0</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0</v>
      </c>
      <c r="Y310" s="3">
        <v>130</v>
      </c>
      <c r="Z310" s="3">
        <v>0</v>
      </c>
      <c r="AA310" s="3">
        <v>0</v>
      </c>
      <c r="AB310" s="3">
        <v>0</v>
      </c>
      <c r="AC310" s="3">
        <v>0</v>
      </c>
      <c r="AD310" s="3">
        <v>0</v>
      </c>
      <c r="AE310" s="3">
        <v>0</v>
      </c>
      <c r="AF310" s="3">
        <v>0</v>
      </c>
      <c r="AG310" s="3">
        <v>0</v>
      </c>
      <c r="AH310" s="3">
        <v>0</v>
      </c>
      <c r="AI310" s="3">
        <v>0</v>
      </c>
      <c r="AJ310" s="3">
        <v>0</v>
      </c>
      <c r="AK310" s="3">
        <v>0</v>
      </c>
      <c r="AL310" s="3" t="s">
        <v>31</v>
      </c>
      <c r="AM310" s="3" t="s">
        <v>348</v>
      </c>
      <c r="AN310" s="3" t="s">
        <v>2025</v>
      </c>
      <c r="AO310" s="3" t="s">
        <v>1854</v>
      </c>
      <c r="AP310" s="3">
        <v>30</v>
      </c>
      <c r="AQ310" s="3">
        <v>1.7</v>
      </c>
      <c r="AR310">
        <v>2500</v>
      </c>
      <c r="AS310">
        <v>10</v>
      </c>
      <c r="AT310" s="6" t="s">
        <v>50</v>
      </c>
      <c r="AU310" s="6" t="s">
        <v>50</v>
      </c>
      <c r="AV310" s="6" t="s">
        <v>50</v>
      </c>
      <c r="AW310" s="6" t="s">
        <v>50</v>
      </c>
      <c r="AX310" s="6" t="s">
        <v>50</v>
      </c>
      <c r="AY310" s="6" t="s">
        <v>50</v>
      </c>
      <c r="AZ310" s="6" t="s">
        <v>50</v>
      </c>
      <c r="BA310" s="6" t="s">
        <v>50</v>
      </c>
      <c r="BB310" s="6" t="s">
        <v>50</v>
      </c>
      <c r="BC310" s="6" t="s">
        <v>50</v>
      </c>
      <c r="BD310" s="6" t="s">
        <v>1255</v>
      </c>
      <c r="BE310" s="6" t="s">
        <v>50</v>
      </c>
      <c r="BF310" s="6" t="s">
        <v>50</v>
      </c>
      <c r="BG310" s="6" t="s">
        <v>50</v>
      </c>
      <c r="BH310" s="6" t="s">
        <v>50</v>
      </c>
      <c r="BI310">
        <v>1</v>
      </c>
      <c r="BJ310">
        <v>876</v>
      </c>
      <c r="BK310">
        <v>4</v>
      </c>
      <c r="BL310">
        <v>30</v>
      </c>
      <c r="BM310">
        <v>0</v>
      </c>
      <c r="BN310">
        <v>0</v>
      </c>
      <c r="BO310">
        <v>0</v>
      </c>
    </row>
    <row r="311" spans="1:67" ht="15.75" customHeight="1" x14ac:dyDescent="0.2">
      <c r="A311" s="3">
        <f t="shared" si="4"/>
        <v>2309</v>
      </c>
      <c r="B311" s="3" t="s">
        <v>3426</v>
      </c>
      <c r="C311" s="3" t="s">
        <v>792</v>
      </c>
      <c r="D311" s="4" t="s">
        <v>3416</v>
      </c>
      <c r="E311" s="4" t="s">
        <v>791</v>
      </c>
      <c r="F311" s="3">
        <v>0</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0</v>
      </c>
      <c r="Y311" s="3">
        <v>80</v>
      </c>
      <c r="Z311" s="3">
        <v>0</v>
      </c>
      <c r="AA311" s="3">
        <v>0</v>
      </c>
      <c r="AB311" s="3">
        <v>0</v>
      </c>
      <c r="AC311" s="3">
        <v>0</v>
      </c>
      <c r="AD311" s="3">
        <v>0</v>
      </c>
      <c r="AE311" s="3">
        <v>0</v>
      </c>
      <c r="AF311" s="3">
        <v>0</v>
      </c>
      <c r="AG311" s="3">
        <v>0</v>
      </c>
      <c r="AH311" s="3">
        <v>0</v>
      </c>
      <c r="AI311" s="3">
        <v>0</v>
      </c>
      <c r="AJ311" s="3">
        <v>0</v>
      </c>
      <c r="AK311" s="3">
        <v>0</v>
      </c>
      <c r="AL311" s="3" t="s">
        <v>31</v>
      </c>
      <c r="AM311" s="3" t="s">
        <v>348</v>
      </c>
      <c r="AN311" s="3" t="s">
        <v>2025</v>
      </c>
      <c r="AO311" s="3" t="s">
        <v>1853</v>
      </c>
      <c r="AP311" s="3">
        <v>30</v>
      </c>
      <c r="AQ311" s="3">
        <v>1.5</v>
      </c>
      <c r="AR311">
        <v>20</v>
      </c>
      <c r="AS311">
        <v>10</v>
      </c>
      <c r="AT311" s="6" t="s">
        <v>50</v>
      </c>
      <c r="AU311" s="6" t="s">
        <v>50</v>
      </c>
      <c r="AV311" s="6" t="s">
        <v>50</v>
      </c>
      <c r="AW311" s="6" t="s">
        <v>50</v>
      </c>
      <c r="AX311" s="6" t="s">
        <v>50</v>
      </c>
      <c r="AY311" s="6" t="s">
        <v>50</v>
      </c>
      <c r="AZ311" s="6" t="s">
        <v>50</v>
      </c>
      <c r="BA311" s="6" t="s">
        <v>50</v>
      </c>
      <c r="BB311" s="6" t="s">
        <v>50</v>
      </c>
      <c r="BC311" s="6" t="s">
        <v>50</v>
      </c>
      <c r="BD311" s="6" t="s">
        <v>348</v>
      </c>
      <c r="BE311" s="6" t="s">
        <v>50</v>
      </c>
      <c r="BF311" s="6" t="s">
        <v>50</v>
      </c>
      <c r="BG311" s="6" t="s">
        <v>50</v>
      </c>
      <c r="BH311" s="6" t="s">
        <v>50</v>
      </c>
      <c r="BI311">
        <v>1</v>
      </c>
      <c r="BJ311">
        <v>878</v>
      </c>
      <c r="BK311">
        <v>2</v>
      </c>
      <c r="BL311">
        <v>30</v>
      </c>
      <c r="BM311">
        <v>0</v>
      </c>
      <c r="BN311">
        <v>0</v>
      </c>
      <c r="BO311">
        <v>0</v>
      </c>
    </row>
    <row r="312" spans="1:67" s="9" customFormat="1" ht="15.75" customHeight="1" x14ac:dyDescent="0.2">
      <c r="A312" s="3">
        <f t="shared" si="4"/>
        <v>2310</v>
      </c>
      <c r="B312" s="7" t="s">
        <v>349</v>
      </c>
      <c r="C312" s="7" t="s">
        <v>801</v>
      </c>
      <c r="D312" s="11" t="s">
        <v>799</v>
      </c>
      <c r="E312" s="11" t="s">
        <v>800</v>
      </c>
      <c r="F312" s="7">
        <v>0</v>
      </c>
      <c r="G312" s="7">
        <v>50</v>
      </c>
      <c r="H312" s="7">
        <v>0</v>
      </c>
      <c r="I312" s="7">
        <v>50</v>
      </c>
      <c r="J312" s="7">
        <v>100</v>
      </c>
      <c r="K312" s="7">
        <v>1</v>
      </c>
      <c r="L312" s="7">
        <v>0</v>
      </c>
      <c r="M312" s="7">
        <v>0</v>
      </c>
      <c r="N312" s="7">
        <v>0</v>
      </c>
      <c r="O312" s="7">
        <v>0</v>
      </c>
      <c r="P312" s="7">
        <v>0</v>
      </c>
      <c r="Q312" s="7">
        <v>0</v>
      </c>
      <c r="R312" s="7">
        <v>0</v>
      </c>
      <c r="S312" s="7">
        <v>0</v>
      </c>
      <c r="T312" s="7">
        <v>0</v>
      </c>
      <c r="U312" s="7">
        <v>0</v>
      </c>
      <c r="V312" s="7">
        <v>0</v>
      </c>
      <c r="W312" s="7">
        <v>0</v>
      </c>
      <c r="X312" s="7">
        <v>0</v>
      </c>
      <c r="Y312" s="7">
        <v>80</v>
      </c>
      <c r="Z312" s="7">
        <v>0</v>
      </c>
      <c r="AA312" s="7">
        <v>0</v>
      </c>
      <c r="AB312" s="7">
        <v>0</v>
      </c>
      <c r="AC312" s="7">
        <v>0</v>
      </c>
      <c r="AD312" s="7">
        <v>0</v>
      </c>
      <c r="AE312" s="7">
        <v>0</v>
      </c>
      <c r="AF312" s="7">
        <v>0</v>
      </c>
      <c r="AG312" s="7">
        <v>0</v>
      </c>
      <c r="AH312" s="7">
        <v>0</v>
      </c>
      <c r="AI312" s="7">
        <v>0</v>
      </c>
      <c r="AJ312" s="7">
        <v>0</v>
      </c>
      <c r="AK312" s="7">
        <v>0</v>
      </c>
      <c r="AL312" s="7" t="s">
        <v>31</v>
      </c>
      <c r="AM312" s="7" t="s">
        <v>348</v>
      </c>
      <c r="AN312" s="7" t="s">
        <v>2025</v>
      </c>
      <c r="AO312" s="7" t="s">
        <v>1853</v>
      </c>
      <c r="AP312" s="7">
        <v>30</v>
      </c>
      <c r="AQ312" s="7">
        <v>1.5</v>
      </c>
      <c r="AR312" s="9">
        <v>20</v>
      </c>
      <c r="AS312" s="9">
        <v>10</v>
      </c>
      <c r="AT312" s="10" t="s">
        <v>50</v>
      </c>
      <c r="AU312" s="10" t="s">
        <v>50</v>
      </c>
      <c r="AV312" s="10" t="s">
        <v>50</v>
      </c>
      <c r="AW312" s="10" t="s">
        <v>50</v>
      </c>
      <c r="AX312" s="10" t="s">
        <v>50</v>
      </c>
      <c r="AY312" s="10" t="s">
        <v>50</v>
      </c>
      <c r="AZ312" s="10" t="s">
        <v>50</v>
      </c>
      <c r="BA312" s="10" t="s">
        <v>50</v>
      </c>
      <c r="BB312" s="10" t="s">
        <v>50</v>
      </c>
      <c r="BC312" s="10" t="s">
        <v>50</v>
      </c>
      <c r="BD312" s="10" t="s">
        <v>348</v>
      </c>
      <c r="BE312" s="10" t="s">
        <v>50</v>
      </c>
      <c r="BF312" s="10" t="s">
        <v>50</v>
      </c>
      <c r="BG312" s="10" t="s">
        <v>50</v>
      </c>
      <c r="BH312" s="10" t="s">
        <v>50</v>
      </c>
      <c r="BI312" s="9">
        <v>0</v>
      </c>
      <c r="BJ312" s="9">
        <v>100</v>
      </c>
      <c r="BK312" s="9">
        <v>1</v>
      </c>
      <c r="BL312" s="9">
        <v>30</v>
      </c>
      <c r="BM312">
        <v>0</v>
      </c>
      <c r="BN312">
        <v>0</v>
      </c>
      <c r="BO312" s="9">
        <v>0</v>
      </c>
    </row>
    <row r="313" spans="1:67" s="9" customFormat="1" ht="15.75" customHeight="1" x14ac:dyDescent="0.2">
      <c r="A313" s="3">
        <f t="shared" si="4"/>
        <v>2311</v>
      </c>
      <c r="B313" s="7" t="s">
        <v>1279</v>
      </c>
      <c r="C313" s="7" t="s">
        <v>795</v>
      </c>
      <c r="D313" s="11" t="s">
        <v>793</v>
      </c>
      <c r="E313" s="11" t="s">
        <v>794</v>
      </c>
      <c r="F313" s="7">
        <v>0</v>
      </c>
      <c r="G313" s="7">
        <v>50</v>
      </c>
      <c r="H313" s="7">
        <v>0</v>
      </c>
      <c r="I313" s="7">
        <v>50</v>
      </c>
      <c r="J313" s="7">
        <v>100</v>
      </c>
      <c r="K313" s="7">
        <v>1</v>
      </c>
      <c r="L313" s="7">
        <v>0</v>
      </c>
      <c r="M313" s="7">
        <v>0</v>
      </c>
      <c r="N313" s="7">
        <v>0</v>
      </c>
      <c r="O313" s="7">
        <v>0</v>
      </c>
      <c r="P313" s="7">
        <v>0</v>
      </c>
      <c r="Q313" s="7">
        <v>0</v>
      </c>
      <c r="R313" s="7">
        <v>0</v>
      </c>
      <c r="S313" s="7">
        <v>0</v>
      </c>
      <c r="T313" s="7">
        <v>0</v>
      </c>
      <c r="U313" s="7">
        <v>0</v>
      </c>
      <c r="V313" s="7">
        <v>0</v>
      </c>
      <c r="W313" s="7">
        <v>0</v>
      </c>
      <c r="X313" s="7">
        <v>0</v>
      </c>
      <c r="Y313" s="7">
        <v>80</v>
      </c>
      <c r="Z313" s="7">
        <v>0</v>
      </c>
      <c r="AA313" s="7">
        <v>0</v>
      </c>
      <c r="AB313" s="7">
        <v>0</v>
      </c>
      <c r="AC313" s="7">
        <v>0</v>
      </c>
      <c r="AD313" s="7">
        <v>0</v>
      </c>
      <c r="AE313" s="7">
        <v>0</v>
      </c>
      <c r="AF313" s="7">
        <v>0</v>
      </c>
      <c r="AG313" s="7">
        <v>0</v>
      </c>
      <c r="AH313" s="7">
        <v>0</v>
      </c>
      <c r="AI313" s="7">
        <v>0</v>
      </c>
      <c r="AJ313" s="7">
        <v>0</v>
      </c>
      <c r="AK313" s="7">
        <v>0</v>
      </c>
      <c r="AL313" s="7" t="s">
        <v>31</v>
      </c>
      <c r="AM313" s="7" t="s">
        <v>348</v>
      </c>
      <c r="AN313" s="7" t="s">
        <v>2025</v>
      </c>
      <c r="AO313" s="7" t="s">
        <v>1853</v>
      </c>
      <c r="AP313" s="7">
        <v>30</v>
      </c>
      <c r="AQ313" s="7">
        <v>1.5</v>
      </c>
      <c r="AR313" s="9">
        <v>20</v>
      </c>
      <c r="AS313" s="9">
        <v>10</v>
      </c>
      <c r="AT313" s="10" t="s">
        <v>50</v>
      </c>
      <c r="AU313" s="10" t="s">
        <v>50</v>
      </c>
      <c r="AV313" s="10" t="s">
        <v>50</v>
      </c>
      <c r="AW313" s="10" t="s">
        <v>50</v>
      </c>
      <c r="AX313" s="10" t="s">
        <v>50</v>
      </c>
      <c r="AY313" s="10" t="s">
        <v>50</v>
      </c>
      <c r="AZ313" s="10" t="s">
        <v>50</v>
      </c>
      <c r="BA313" s="10" t="s">
        <v>50</v>
      </c>
      <c r="BB313" s="10" t="s">
        <v>50</v>
      </c>
      <c r="BC313" s="10" t="s">
        <v>50</v>
      </c>
      <c r="BD313" s="10" t="s">
        <v>1229</v>
      </c>
      <c r="BE313" s="10" t="s">
        <v>50</v>
      </c>
      <c r="BF313" s="10" t="s">
        <v>50</v>
      </c>
      <c r="BG313" s="10" t="s">
        <v>50</v>
      </c>
      <c r="BH313" s="10" t="s">
        <v>50</v>
      </c>
      <c r="BI313" s="9">
        <v>0</v>
      </c>
      <c r="BJ313" s="9">
        <v>873</v>
      </c>
      <c r="BK313" s="9">
        <v>1</v>
      </c>
      <c r="BL313" s="9">
        <v>30</v>
      </c>
      <c r="BM313">
        <v>0</v>
      </c>
      <c r="BN313">
        <v>0</v>
      </c>
      <c r="BO313" s="9">
        <v>0</v>
      </c>
    </row>
    <row r="314" spans="1:67" ht="15.75" customHeight="1" x14ac:dyDescent="0.2">
      <c r="A314" s="3">
        <f t="shared" si="4"/>
        <v>2312</v>
      </c>
      <c r="B314" s="3" t="s">
        <v>2915</v>
      </c>
      <c r="C314" s="3" t="s">
        <v>2915</v>
      </c>
      <c r="D314" s="4" t="s">
        <v>2914</v>
      </c>
      <c r="E314" s="4" t="s">
        <v>2967</v>
      </c>
      <c r="F314" s="3">
        <v>0</v>
      </c>
      <c r="G314" s="3">
        <v>50</v>
      </c>
      <c r="H314" s="3">
        <v>0</v>
      </c>
      <c r="I314" s="3">
        <v>50</v>
      </c>
      <c r="J314" s="3">
        <v>100</v>
      </c>
      <c r="K314" s="3">
        <v>1</v>
      </c>
      <c r="L314" s="3">
        <v>0</v>
      </c>
      <c r="M314" s="3">
        <v>0</v>
      </c>
      <c r="N314" s="3">
        <v>0</v>
      </c>
      <c r="O314" s="3">
        <v>0</v>
      </c>
      <c r="P314" s="3">
        <v>0</v>
      </c>
      <c r="Q314" s="3">
        <v>0</v>
      </c>
      <c r="R314" s="3">
        <v>0</v>
      </c>
      <c r="S314" s="3">
        <v>0</v>
      </c>
      <c r="T314" s="3">
        <v>0</v>
      </c>
      <c r="U314" s="3">
        <v>0</v>
      </c>
      <c r="V314" s="3">
        <v>0</v>
      </c>
      <c r="W314" s="3">
        <v>0</v>
      </c>
      <c r="X314" s="3">
        <v>0</v>
      </c>
      <c r="Y314" s="3">
        <v>80</v>
      </c>
      <c r="Z314" s="3">
        <v>0</v>
      </c>
      <c r="AA314" s="3">
        <v>0</v>
      </c>
      <c r="AB314" s="3">
        <v>0</v>
      </c>
      <c r="AC314" s="3">
        <v>0</v>
      </c>
      <c r="AD314" s="3">
        <v>0</v>
      </c>
      <c r="AE314" s="3">
        <v>0</v>
      </c>
      <c r="AF314" s="3">
        <v>0</v>
      </c>
      <c r="AG314" s="3">
        <v>0</v>
      </c>
      <c r="AH314" s="3">
        <v>0</v>
      </c>
      <c r="AI314" s="3">
        <v>0</v>
      </c>
      <c r="AJ314" s="3">
        <v>0</v>
      </c>
      <c r="AK314" s="3">
        <v>0</v>
      </c>
      <c r="AL314" s="3" t="s">
        <v>31</v>
      </c>
      <c r="AM314" s="3" t="s">
        <v>348</v>
      </c>
      <c r="AN314" s="3" t="s">
        <v>3514</v>
      </c>
      <c r="AO314" s="3" t="s">
        <v>51</v>
      </c>
      <c r="AP314" s="3">
        <v>30</v>
      </c>
      <c r="AQ314" s="3">
        <v>1.5</v>
      </c>
      <c r="AR314">
        <v>400</v>
      </c>
      <c r="AS314">
        <v>10</v>
      </c>
      <c r="AT314" s="6" t="s">
        <v>50</v>
      </c>
      <c r="AU314" s="6" t="s">
        <v>50</v>
      </c>
      <c r="AV314" s="6" t="s">
        <v>50</v>
      </c>
      <c r="AW314" s="6" t="s">
        <v>50</v>
      </c>
      <c r="AX314" s="6" t="s">
        <v>50</v>
      </c>
      <c r="AY314" s="6" t="s">
        <v>50</v>
      </c>
      <c r="AZ314" s="6" t="s">
        <v>50</v>
      </c>
      <c r="BA314" s="6" t="s">
        <v>50</v>
      </c>
      <c r="BB314" s="6" t="s">
        <v>50</v>
      </c>
      <c r="BC314" s="6" t="s">
        <v>50</v>
      </c>
      <c r="BD314" s="6" t="s">
        <v>348</v>
      </c>
      <c r="BE314" s="6" t="s">
        <v>50</v>
      </c>
      <c r="BF314" s="6" t="s">
        <v>50</v>
      </c>
      <c r="BG314" s="6" t="s">
        <v>50</v>
      </c>
      <c r="BH314" s="6" t="s">
        <v>50</v>
      </c>
      <c r="BI314">
        <v>1</v>
      </c>
      <c r="BJ314">
        <v>885</v>
      </c>
      <c r="BK314">
        <v>2</v>
      </c>
      <c r="BL314">
        <v>30</v>
      </c>
      <c r="BM314">
        <v>0</v>
      </c>
      <c r="BN314">
        <v>0</v>
      </c>
      <c r="BO314">
        <v>0</v>
      </c>
    </row>
    <row r="315" spans="1:67" ht="15.75" customHeight="1" x14ac:dyDescent="0.2">
      <c r="A315" s="3">
        <f t="shared" si="4"/>
        <v>2313</v>
      </c>
      <c r="B315" s="3" t="s">
        <v>2083</v>
      </c>
      <c r="C315" s="3" t="s">
        <v>2083</v>
      </c>
      <c r="D315" s="4" t="s">
        <v>2079</v>
      </c>
      <c r="E315" s="4" t="s">
        <v>2737</v>
      </c>
      <c r="F315" s="3">
        <v>0</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0</v>
      </c>
      <c r="Y315" s="3">
        <v>80</v>
      </c>
      <c r="Z315" s="3">
        <v>0</v>
      </c>
      <c r="AA315" s="3">
        <v>0</v>
      </c>
      <c r="AB315" s="3">
        <v>0</v>
      </c>
      <c r="AC315" s="3">
        <v>0</v>
      </c>
      <c r="AD315" s="3">
        <v>0</v>
      </c>
      <c r="AE315" s="3">
        <v>0</v>
      </c>
      <c r="AF315" s="3">
        <v>0</v>
      </c>
      <c r="AG315" s="3">
        <v>0</v>
      </c>
      <c r="AH315" s="3">
        <v>0</v>
      </c>
      <c r="AI315" s="3">
        <v>0</v>
      </c>
      <c r="AJ315" s="3">
        <v>0</v>
      </c>
      <c r="AK315" s="3">
        <v>0</v>
      </c>
      <c r="AL315" s="3" t="s">
        <v>31</v>
      </c>
      <c r="AM315" s="3" t="s">
        <v>348</v>
      </c>
      <c r="AN315" s="3" t="s">
        <v>2025</v>
      </c>
      <c r="AO315" s="3" t="s">
        <v>50</v>
      </c>
      <c r="AP315" s="3">
        <v>30</v>
      </c>
      <c r="AQ315" s="3">
        <v>0.5</v>
      </c>
      <c r="AR315">
        <v>400</v>
      </c>
      <c r="AS315">
        <v>10</v>
      </c>
      <c r="AT315" s="6" t="s">
        <v>50</v>
      </c>
      <c r="AU315" s="6" t="s">
        <v>50</v>
      </c>
      <c r="AV315" s="6" t="s">
        <v>50</v>
      </c>
      <c r="AW315" s="6" t="s">
        <v>50</v>
      </c>
      <c r="AX315" s="6" t="s">
        <v>50</v>
      </c>
      <c r="AY315" s="6" t="s">
        <v>50</v>
      </c>
      <c r="AZ315" s="6" t="s">
        <v>50</v>
      </c>
      <c r="BA315" s="6" t="s">
        <v>50</v>
      </c>
      <c r="BB315" s="6" t="s">
        <v>50</v>
      </c>
      <c r="BC315" s="6" t="s">
        <v>50</v>
      </c>
      <c r="BD315" s="6" t="s">
        <v>50</v>
      </c>
      <c r="BE315" s="6" t="s">
        <v>50</v>
      </c>
      <c r="BF315" s="6" t="s">
        <v>50</v>
      </c>
      <c r="BG315" s="6" t="s">
        <v>50</v>
      </c>
      <c r="BH315" s="6" t="s">
        <v>50</v>
      </c>
      <c r="BI315">
        <v>1</v>
      </c>
      <c r="BJ315">
        <v>1502</v>
      </c>
      <c r="BK315">
        <v>1</v>
      </c>
      <c r="BL315">
        <v>30</v>
      </c>
      <c r="BM315">
        <v>0</v>
      </c>
      <c r="BN315">
        <v>0</v>
      </c>
      <c r="BO315">
        <v>0</v>
      </c>
    </row>
    <row r="316" spans="1:67" s="43" customFormat="1" ht="15.75" customHeight="1" x14ac:dyDescent="0.2">
      <c r="A316" s="40">
        <f t="shared" si="4"/>
        <v>2314</v>
      </c>
      <c r="B316" s="40" t="s">
        <v>349</v>
      </c>
      <c r="C316" s="40" t="s">
        <v>2731</v>
      </c>
      <c r="D316" s="45" t="s">
        <v>2085</v>
      </c>
      <c r="E316" s="45" t="s">
        <v>2086</v>
      </c>
      <c r="F316" s="40">
        <v>0</v>
      </c>
      <c r="G316" s="40">
        <v>50</v>
      </c>
      <c r="H316" s="40">
        <v>0</v>
      </c>
      <c r="I316" s="40">
        <v>50</v>
      </c>
      <c r="J316" s="40">
        <v>100</v>
      </c>
      <c r="K316" s="40">
        <v>1</v>
      </c>
      <c r="L316" s="40">
        <v>0</v>
      </c>
      <c r="M316" s="40">
        <v>0</v>
      </c>
      <c r="N316" s="40">
        <v>0</v>
      </c>
      <c r="O316" s="40">
        <v>0</v>
      </c>
      <c r="P316" s="40">
        <v>0</v>
      </c>
      <c r="Q316" s="40">
        <v>0</v>
      </c>
      <c r="R316" s="40">
        <v>0</v>
      </c>
      <c r="S316" s="40">
        <v>0</v>
      </c>
      <c r="T316" s="40">
        <v>0</v>
      </c>
      <c r="U316" s="40">
        <v>0</v>
      </c>
      <c r="V316" s="40">
        <v>0</v>
      </c>
      <c r="W316" s="40">
        <v>0</v>
      </c>
      <c r="X316" s="40">
        <v>0</v>
      </c>
      <c r="Y316" s="40">
        <v>130</v>
      </c>
      <c r="Z316" s="40">
        <v>0</v>
      </c>
      <c r="AA316" s="40">
        <v>0</v>
      </c>
      <c r="AB316" s="40">
        <v>0</v>
      </c>
      <c r="AC316" s="40">
        <v>0</v>
      </c>
      <c r="AD316" s="40">
        <v>0</v>
      </c>
      <c r="AE316" s="40">
        <v>0</v>
      </c>
      <c r="AF316" s="40">
        <v>0</v>
      </c>
      <c r="AG316" s="40">
        <v>0</v>
      </c>
      <c r="AH316" s="40">
        <v>0</v>
      </c>
      <c r="AI316" s="40">
        <v>0</v>
      </c>
      <c r="AJ316" s="40">
        <v>0</v>
      </c>
      <c r="AK316" s="40">
        <v>0</v>
      </c>
      <c r="AL316" s="40" t="s">
        <v>31</v>
      </c>
      <c r="AM316" s="40" t="s">
        <v>348</v>
      </c>
      <c r="AN316" s="40" t="s">
        <v>3544</v>
      </c>
      <c r="AO316" s="40" t="s">
        <v>2159</v>
      </c>
      <c r="AP316" s="40">
        <v>30</v>
      </c>
      <c r="AQ316" s="40">
        <v>0.5</v>
      </c>
      <c r="AR316" s="43">
        <v>400</v>
      </c>
      <c r="AS316" s="43">
        <v>10</v>
      </c>
      <c r="AT316" s="44" t="s">
        <v>50</v>
      </c>
      <c r="AU316" s="44" t="s">
        <v>50</v>
      </c>
      <c r="AV316" s="44" t="s">
        <v>50</v>
      </c>
      <c r="AW316" s="44" t="s">
        <v>50</v>
      </c>
      <c r="AX316" s="44" t="s">
        <v>50</v>
      </c>
      <c r="AY316" s="44" t="s">
        <v>50</v>
      </c>
      <c r="AZ316" s="44" t="s">
        <v>50</v>
      </c>
      <c r="BA316" s="44" t="s">
        <v>50</v>
      </c>
      <c r="BB316" s="44" t="s">
        <v>50</v>
      </c>
      <c r="BC316" s="44" t="s">
        <v>50</v>
      </c>
      <c r="BD316" s="44" t="s">
        <v>50</v>
      </c>
      <c r="BE316" s="44" t="s">
        <v>50</v>
      </c>
      <c r="BF316" s="44" t="s">
        <v>50</v>
      </c>
      <c r="BG316" s="44" t="s">
        <v>50</v>
      </c>
      <c r="BH316" s="44" t="s">
        <v>50</v>
      </c>
      <c r="BI316" s="43">
        <v>1</v>
      </c>
      <c r="BJ316" s="43">
        <v>1600</v>
      </c>
      <c r="BK316" s="43">
        <v>3</v>
      </c>
      <c r="BL316" s="43">
        <v>30</v>
      </c>
      <c r="BM316" s="43">
        <v>0</v>
      </c>
      <c r="BN316" s="43">
        <v>0</v>
      </c>
      <c r="BO316" s="43">
        <v>0</v>
      </c>
    </row>
    <row r="317" spans="1:67" s="43" customFormat="1" ht="15.75" customHeight="1" x14ac:dyDescent="0.2">
      <c r="A317" s="40">
        <f t="shared" si="4"/>
        <v>2315</v>
      </c>
      <c r="B317" s="40" t="s">
        <v>349</v>
      </c>
      <c r="C317" s="40" t="s">
        <v>2736</v>
      </c>
      <c r="D317" s="45" t="s">
        <v>2084</v>
      </c>
      <c r="E317" s="45" t="s">
        <v>2087</v>
      </c>
      <c r="F317" s="40">
        <v>0</v>
      </c>
      <c r="G317" s="40">
        <v>50</v>
      </c>
      <c r="H317" s="40">
        <v>0</v>
      </c>
      <c r="I317" s="40">
        <v>50</v>
      </c>
      <c r="J317" s="40">
        <v>100</v>
      </c>
      <c r="K317" s="40">
        <v>1</v>
      </c>
      <c r="L317" s="40">
        <v>0</v>
      </c>
      <c r="M317" s="40">
        <v>0</v>
      </c>
      <c r="N317" s="40">
        <v>0</v>
      </c>
      <c r="O317" s="40">
        <v>0</v>
      </c>
      <c r="P317" s="40">
        <v>0</v>
      </c>
      <c r="Q317" s="40">
        <v>0</v>
      </c>
      <c r="R317" s="40">
        <v>0</v>
      </c>
      <c r="S317" s="40">
        <v>0</v>
      </c>
      <c r="T317" s="40">
        <v>0</v>
      </c>
      <c r="U317" s="40">
        <v>0</v>
      </c>
      <c r="V317" s="40">
        <v>0</v>
      </c>
      <c r="W317" s="40">
        <v>0</v>
      </c>
      <c r="X317" s="40">
        <v>0</v>
      </c>
      <c r="Y317" s="40">
        <v>80</v>
      </c>
      <c r="Z317" s="40">
        <v>0</v>
      </c>
      <c r="AA317" s="40">
        <v>0</v>
      </c>
      <c r="AB317" s="40">
        <v>0</v>
      </c>
      <c r="AC317" s="40">
        <v>0</v>
      </c>
      <c r="AD317" s="40">
        <v>0</v>
      </c>
      <c r="AE317" s="40">
        <v>0</v>
      </c>
      <c r="AF317" s="40">
        <v>0</v>
      </c>
      <c r="AG317" s="40">
        <v>0</v>
      </c>
      <c r="AH317" s="40">
        <v>0</v>
      </c>
      <c r="AI317" s="40">
        <v>0</v>
      </c>
      <c r="AJ317" s="40">
        <v>0</v>
      </c>
      <c r="AK317" s="40">
        <v>0</v>
      </c>
      <c r="AL317" s="40" t="s">
        <v>31</v>
      </c>
      <c r="AM317" s="40" t="s">
        <v>348</v>
      </c>
      <c r="AN317" s="40" t="s">
        <v>3544</v>
      </c>
      <c r="AO317" s="40" t="s">
        <v>2159</v>
      </c>
      <c r="AP317" s="40">
        <v>30</v>
      </c>
      <c r="AQ317" s="40">
        <v>0.5</v>
      </c>
      <c r="AR317" s="43">
        <v>400</v>
      </c>
      <c r="AS317" s="43">
        <v>10</v>
      </c>
      <c r="AT317" s="44" t="s">
        <v>50</v>
      </c>
      <c r="AU317" s="44" t="s">
        <v>50</v>
      </c>
      <c r="AV317" s="44" t="s">
        <v>50</v>
      </c>
      <c r="AW317" s="44" t="s">
        <v>50</v>
      </c>
      <c r="AX317" s="44" t="s">
        <v>50</v>
      </c>
      <c r="AY317" s="44" t="s">
        <v>50</v>
      </c>
      <c r="AZ317" s="44" t="s">
        <v>50</v>
      </c>
      <c r="BA317" s="44" t="s">
        <v>50</v>
      </c>
      <c r="BB317" s="44" t="s">
        <v>50</v>
      </c>
      <c r="BC317" s="44" t="s">
        <v>50</v>
      </c>
      <c r="BD317" s="44" t="s">
        <v>50</v>
      </c>
      <c r="BE317" s="44" t="s">
        <v>50</v>
      </c>
      <c r="BF317" s="44" t="s">
        <v>50</v>
      </c>
      <c r="BG317" s="44" t="s">
        <v>50</v>
      </c>
      <c r="BH317" s="44" t="s">
        <v>50</v>
      </c>
      <c r="BI317" s="43">
        <v>1</v>
      </c>
      <c r="BJ317" s="43">
        <v>1601</v>
      </c>
      <c r="BK317" s="43">
        <v>3</v>
      </c>
      <c r="BL317" s="43">
        <v>30</v>
      </c>
      <c r="BM317" s="43">
        <v>0</v>
      </c>
      <c r="BN317" s="43">
        <v>0</v>
      </c>
      <c r="BO317" s="43">
        <v>0</v>
      </c>
    </row>
    <row r="318" spans="1:67" ht="15.75" customHeight="1" x14ac:dyDescent="0.2">
      <c r="A318" s="3">
        <f t="shared" si="4"/>
        <v>2316</v>
      </c>
      <c r="B318" s="3" t="s">
        <v>2081</v>
      </c>
      <c r="C318" s="3" t="s">
        <v>2081</v>
      </c>
      <c r="D318" s="4" t="s">
        <v>2082</v>
      </c>
      <c r="E318" s="4" t="s">
        <v>3538</v>
      </c>
      <c r="F318" s="3">
        <v>0</v>
      </c>
      <c r="G318" s="3">
        <v>50</v>
      </c>
      <c r="H318" s="3">
        <v>0</v>
      </c>
      <c r="I318" s="3">
        <v>50</v>
      </c>
      <c r="J318" s="3">
        <v>100</v>
      </c>
      <c r="K318" s="3">
        <v>1</v>
      </c>
      <c r="L318" s="3">
        <v>0</v>
      </c>
      <c r="M318" s="3">
        <v>0</v>
      </c>
      <c r="N318" s="3">
        <v>0</v>
      </c>
      <c r="O318" s="3">
        <v>0</v>
      </c>
      <c r="P318" s="3">
        <v>0</v>
      </c>
      <c r="Q318" s="3">
        <v>0</v>
      </c>
      <c r="R318" s="3">
        <v>0</v>
      </c>
      <c r="S318" s="3">
        <v>0</v>
      </c>
      <c r="T318" s="3">
        <v>0</v>
      </c>
      <c r="U318" s="3">
        <v>0</v>
      </c>
      <c r="V318" s="3">
        <v>0</v>
      </c>
      <c r="W318" s="3">
        <v>0</v>
      </c>
      <c r="X318" s="3">
        <v>0</v>
      </c>
      <c r="Y318" s="3">
        <v>80</v>
      </c>
      <c r="Z318" s="3">
        <v>0</v>
      </c>
      <c r="AA318" s="3">
        <v>0</v>
      </c>
      <c r="AB318" s="3">
        <v>0</v>
      </c>
      <c r="AC318" s="3">
        <v>0</v>
      </c>
      <c r="AD318" s="3">
        <v>0</v>
      </c>
      <c r="AE318" s="3">
        <v>0</v>
      </c>
      <c r="AF318" s="3">
        <v>0</v>
      </c>
      <c r="AG318" s="3">
        <v>0</v>
      </c>
      <c r="AH318" s="3">
        <v>0</v>
      </c>
      <c r="AI318" s="3">
        <v>0</v>
      </c>
      <c r="AJ318" s="3">
        <v>0</v>
      </c>
      <c r="AK318" s="3">
        <v>0</v>
      </c>
      <c r="AL318" s="3" t="s">
        <v>31</v>
      </c>
      <c r="AM318" s="3" t="s">
        <v>348</v>
      </c>
      <c r="AN318" s="3" t="s">
        <v>3512</v>
      </c>
      <c r="AO318" s="3" t="s">
        <v>50</v>
      </c>
      <c r="AP318" s="3">
        <v>30</v>
      </c>
      <c r="AQ318" s="3">
        <v>1.3</v>
      </c>
      <c r="AR318">
        <v>400</v>
      </c>
      <c r="AS318">
        <v>10</v>
      </c>
      <c r="AT318" s="6" t="s">
        <v>50</v>
      </c>
      <c r="AU318" s="6" t="s">
        <v>50</v>
      </c>
      <c r="AV318" s="6" t="s">
        <v>50</v>
      </c>
      <c r="AW318" s="6" t="s">
        <v>50</v>
      </c>
      <c r="AX318" s="6" t="s">
        <v>50</v>
      </c>
      <c r="AY318" s="6" t="s">
        <v>50</v>
      </c>
      <c r="AZ318" s="6" t="s">
        <v>50</v>
      </c>
      <c r="BA318" s="6" t="s">
        <v>50</v>
      </c>
      <c r="BB318" s="6" t="s">
        <v>50</v>
      </c>
      <c r="BC318" s="6" t="s">
        <v>50</v>
      </c>
      <c r="BD318" s="6" t="s">
        <v>50</v>
      </c>
      <c r="BE318" s="6" t="s">
        <v>50</v>
      </c>
      <c r="BF318" s="6" t="s">
        <v>50</v>
      </c>
      <c r="BG318" s="6" t="s">
        <v>50</v>
      </c>
      <c r="BH318" s="6" t="s">
        <v>50</v>
      </c>
      <c r="BI318">
        <v>1</v>
      </c>
      <c r="BJ318">
        <v>890</v>
      </c>
      <c r="BK318">
        <v>2</v>
      </c>
      <c r="BL318">
        <v>30</v>
      </c>
      <c r="BM318">
        <v>0</v>
      </c>
      <c r="BN318">
        <v>0</v>
      </c>
      <c r="BO318">
        <v>0</v>
      </c>
    </row>
    <row r="319" spans="1:67" s="37" customFormat="1" ht="15.75" customHeight="1" x14ac:dyDescent="0.2">
      <c r="A319" s="34">
        <f t="shared" si="4"/>
        <v>2317</v>
      </c>
      <c r="B319" s="34" t="s">
        <v>2081</v>
      </c>
      <c r="C319" s="34" t="s">
        <v>3537</v>
      </c>
      <c r="D319" s="36" t="s">
        <v>3536</v>
      </c>
      <c r="E319" s="36" t="s">
        <v>2537</v>
      </c>
      <c r="F319" s="34">
        <v>0</v>
      </c>
      <c r="G319" s="34">
        <v>50</v>
      </c>
      <c r="H319" s="34">
        <v>0</v>
      </c>
      <c r="I319" s="34">
        <v>50</v>
      </c>
      <c r="J319" s="34">
        <v>100</v>
      </c>
      <c r="K319" s="34">
        <v>1</v>
      </c>
      <c r="L319" s="34">
        <v>0</v>
      </c>
      <c r="M319" s="34">
        <v>0</v>
      </c>
      <c r="N319" s="34">
        <v>0</v>
      </c>
      <c r="O319" s="34">
        <v>0</v>
      </c>
      <c r="P319" s="34">
        <v>0</v>
      </c>
      <c r="Q319" s="34">
        <v>0</v>
      </c>
      <c r="R319" s="34">
        <v>0</v>
      </c>
      <c r="S319" s="34">
        <v>0</v>
      </c>
      <c r="T319" s="34">
        <v>0</v>
      </c>
      <c r="U319" s="34">
        <v>0</v>
      </c>
      <c r="V319" s="34">
        <v>0</v>
      </c>
      <c r="W319" s="34">
        <v>0</v>
      </c>
      <c r="X319" s="34">
        <v>0</v>
      </c>
      <c r="Y319" s="34">
        <v>80</v>
      </c>
      <c r="Z319" s="34">
        <v>0</v>
      </c>
      <c r="AA319" s="34">
        <v>0</v>
      </c>
      <c r="AB319" s="34">
        <v>0</v>
      </c>
      <c r="AC319" s="34">
        <v>0</v>
      </c>
      <c r="AD319" s="34">
        <v>0</v>
      </c>
      <c r="AE319" s="34">
        <v>0</v>
      </c>
      <c r="AF319" s="34">
        <v>0</v>
      </c>
      <c r="AG319" s="34">
        <v>0</v>
      </c>
      <c r="AH319" s="34">
        <v>0</v>
      </c>
      <c r="AI319" s="34">
        <v>0</v>
      </c>
      <c r="AJ319" s="34">
        <v>0</v>
      </c>
      <c r="AK319" s="34">
        <v>0</v>
      </c>
      <c r="AL319" s="34" t="s">
        <v>31</v>
      </c>
      <c r="AM319" s="34" t="s">
        <v>348</v>
      </c>
      <c r="AN319" s="34" t="s">
        <v>3512</v>
      </c>
      <c r="AO319" s="34" t="s">
        <v>50</v>
      </c>
      <c r="AP319" s="34">
        <v>30</v>
      </c>
      <c r="AQ319" s="34">
        <v>1.3</v>
      </c>
      <c r="AR319" s="37">
        <v>400</v>
      </c>
      <c r="AS319" s="37">
        <v>10</v>
      </c>
      <c r="AT319" s="38" t="s">
        <v>50</v>
      </c>
      <c r="AU319" s="38" t="s">
        <v>50</v>
      </c>
      <c r="AV319" s="38" t="s">
        <v>50</v>
      </c>
      <c r="AW319" s="38" t="s">
        <v>50</v>
      </c>
      <c r="AX319" s="38" t="s">
        <v>50</v>
      </c>
      <c r="AY319" s="38" t="s">
        <v>50</v>
      </c>
      <c r="AZ319" s="38" t="s">
        <v>50</v>
      </c>
      <c r="BA319" s="38" t="s">
        <v>50</v>
      </c>
      <c r="BB319" s="38" t="s">
        <v>50</v>
      </c>
      <c r="BC319" s="38" t="s">
        <v>50</v>
      </c>
      <c r="BD319" s="38" t="s">
        <v>50</v>
      </c>
      <c r="BE319" s="38" t="s">
        <v>50</v>
      </c>
      <c r="BF319" s="38" t="s">
        <v>50</v>
      </c>
      <c r="BG319" s="38" t="s">
        <v>50</v>
      </c>
      <c r="BH319" s="38" t="s">
        <v>50</v>
      </c>
      <c r="BI319" s="37">
        <v>1</v>
      </c>
      <c r="BJ319" s="37">
        <v>890</v>
      </c>
      <c r="BK319" s="37">
        <v>2</v>
      </c>
      <c r="BL319" s="37">
        <v>30</v>
      </c>
      <c r="BM319" s="37">
        <v>0</v>
      </c>
      <c r="BN319" s="37">
        <v>0</v>
      </c>
      <c r="BO319" s="37">
        <v>0</v>
      </c>
    </row>
    <row r="320" spans="1:67" s="43" customFormat="1" ht="15.75" customHeight="1" x14ac:dyDescent="0.2">
      <c r="A320" s="40">
        <f t="shared" si="4"/>
        <v>2318</v>
      </c>
      <c r="B320" s="40" t="s">
        <v>349</v>
      </c>
      <c r="C320" s="40" t="s">
        <v>2732</v>
      </c>
      <c r="D320" s="45" t="s">
        <v>2080</v>
      </c>
      <c r="E320" s="45" t="s">
        <v>2538</v>
      </c>
      <c r="F320" s="40">
        <v>0</v>
      </c>
      <c r="G320" s="40">
        <v>50</v>
      </c>
      <c r="H320" s="40">
        <v>0</v>
      </c>
      <c r="I320" s="40">
        <v>50</v>
      </c>
      <c r="J320" s="40">
        <v>100</v>
      </c>
      <c r="K320" s="40">
        <v>1</v>
      </c>
      <c r="L320" s="40">
        <v>0</v>
      </c>
      <c r="M320" s="40">
        <v>0</v>
      </c>
      <c r="N320" s="40">
        <v>0</v>
      </c>
      <c r="O320" s="40">
        <v>0</v>
      </c>
      <c r="P320" s="40">
        <v>0</v>
      </c>
      <c r="Q320" s="40">
        <v>0</v>
      </c>
      <c r="R320" s="40">
        <v>0</v>
      </c>
      <c r="S320" s="40">
        <v>0</v>
      </c>
      <c r="T320" s="40">
        <v>0</v>
      </c>
      <c r="U320" s="40">
        <v>0</v>
      </c>
      <c r="V320" s="40">
        <v>0</v>
      </c>
      <c r="W320" s="40">
        <v>0</v>
      </c>
      <c r="X320" s="40">
        <v>0</v>
      </c>
      <c r="Y320" s="40">
        <v>80</v>
      </c>
      <c r="Z320" s="40">
        <v>0</v>
      </c>
      <c r="AA320" s="40">
        <v>0</v>
      </c>
      <c r="AB320" s="40">
        <v>0</v>
      </c>
      <c r="AC320" s="40">
        <v>0</v>
      </c>
      <c r="AD320" s="40">
        <v>0</v>
      </c>
      <c r="AE320" s="40">
        <v>0</v>
      </c>
      <c r="AF320" s="40">
        <v>0</v>
      </c>
      <c r="AG320" s="40">
        <v>0</v>
      </c>
      <c r="AH320" s="40">
        <v>0</v>
      </c>
      <c r="AI320" s="40">
        <v>0</v>
      </c>
      <c r="AJ320" s="40">
        <v>0</v>
      </c>
      <c r="AK320" s="40">
        <v>0</v>
      </c>
      <c r="AL320" s="40" t="s">
        <v>31</v>
      </c>
      <c r="AM320" s="40" t="s">
        <v>348</v>
      </c>
      <c r="AN320" s="40" t="s">
        <v>3513</v>
      </c>
      <c r="AO320" s="40" t="s">
        <v>2159</v>
      </c>
      <c r="AP320" s="40">
        <v>30</v>
      </c>
      <c r="AQ320" s="40">
        <v>2</v>
      </c>
      <c r="AR320" s="43">
        <v>400</v>
      </c>
      <c r="AS320" s="43">
        <v>10</v>
      </c>
      <c r="AT320" s="44" t="s">
        <v>50</v>
      </c>
      <c r="AU320" s="44" t="s">
        <v>50</v>
      </c>
      <c r="AV320" s="44" t="s">
        <v>50</v>
      </c>
      <c r="AW320" s="44" t="s">
        <v>50</v>
      </c>
      <c r="AX320" s="44" t="s">
        <v>50</v>
      </c>
      <c r="AY320" s="44" t="s">
        <v>50</v>
      </c>
      <c r="AZ320" s="44" t="s">
        <v>50</v>
      </c>
      <c r="BA320" s="44" t="s">
        <v>50</v>
      </c>
      <c r="BB320" s="44" t="s">
        <v>50</v>
      </c>
      <c r="BC320" s="44" t="s">
        <v>50</v>
      </c>
      <c r="BD320" s="44" t="s">
        <v>50</v>
      </c>
      <c r="BE320" s="44" t="s">
        <v>50</v>
      </c>
      <c r="BF320" s="44" t="s">
        <v>50</v>
      </c>
      <c r="BG320" s="44" t="s">
        <v>50</v>
      </c>
      <c r="BH320" s="44" t="s">
        <v>50</v>
      </c>
      <c r="BI320" s="43">
        <v>1</v>
      </c>
      <c r="BJ320" s="43">
        <v>1602</v>
      </c>
      <c r="BK320" s="43">
        <v>3</v>
      </c>
      <c r="BL320" s="43">
        <v>30</v>
      </c>
      <c r="BM320" s="43">
        <v>0</v>
      </c>
      <c r="BN320" s="43">
        <v>0</v>
      </c>
      <c r="BO320" s="43">
        <v>0</v>
      </c>
    </row>
    <row r="321" spans="1:67" ht="15.75" customHeight="1" x14ac:dyDescent="0.2">
      <c r="A321" s="3">
        <f t="shared" si="4"/>
        <v>2319</v>
      </c>
      <c r="B321" s="3" t="s">
        <v>2808</v>
      </c>
      <c r="C321" s="3" t="s">
        <v>2808</v>
      </c>
      <c r="D321" s="27" t="s">
        <v>2710</v>
      </c>
      <c r="E321" s="5" t="s">
        <v>2366</v>
      </c>
      <c r="F321" s="3">
        <v>0</v>
      </c>
      <c r="G321" s="3">
        <v>300</v>
      </c>
      <c r="H321" s="3">
        <v>0</v>
      </c>
      <c r="I321" s="3">
        <v>70</v>
      </c>
      <c r="J321" s="3">
        <v>0</v>
      </c>
      <c r="K321" s="3">
        <v>1</v>
      </c>
      <c r="L321" s="3">
        <v>0</v>
      </c>
      <c r="M321" s="3">
        <v>40</v>
      </c>
      <c r="N321" s="3">
        <v>70</v>
      </c>
      <c r="O321" s="3">
        <v>40</v>
      </c>
      <c r="P321" s="3">
        <v>0</v>
      </c>
      <c r="Q321" s="3">
        <v>100</v>
      </c>
      <c r="R321" s="3">
        <v>100</v>
      </c>
      <c r="S321" s="3">
        <v>0</v>
      </c>
      <c r="T321" s="3">
        <v>80</v>
      </c>
      <c r="U321" s="3">
        <v>0</v>
      </c>
      <c r="V321" s="3">
        <v>0</v>
      </c>
      <c r="W321" s="3">
        <v>0</v>
      </c>
      <c r="X321" s="3">
        <v>0</v>
      </c>
      <c r="Y321" s="3">
        <v>50</v>
      </c>
      <c r="Z321" s="3">
        <v>0</v>
      </c>
      <c r="AA321" s="3">
        <v>0</v>
      </c>
      <c r="AB321" s="3">
        <v>0</v>
      </c>
      <c r="AC321" s="3">
        <v>0</v>
      </c>
      <c r="AD321" s="3">
        <v>0</v>
      </c>
      <c r="AE321" s="3">
        <v>0</v>
      </c>
      <c r="AF321" s="3">
        <v>0</v>
      </c>
      <c r="AG321" s="3">
        <v>0</v>
      </c>
      <c r="AH321" s="3">
        <v>0</v>
      </c>
      <c r="AI321" s="3">
        <v>0</v>
      </c>
      <c r="AJ321" s="3">
        <v>0</v>
      </c>
      <c r="AK321" s="3">
        <v>0</v>
      </c>
      <c r="AL321" s="3" t="s">
        <v>31</v>
      </c>
      <c r="AM321" s="3" t="s">
        <v>348</v>
      </c>
      <c r="AN321" s="3" t="s">
        <v>2025</v>
      </c>
      <c r="AO321" s="3" t="s">
        <v>50</v>
      </c>
      <c r="AP321" s="3">
        <v>30</v>
      </c>
      <c r="AQ321" s="3">
        <v>2.1</v>
      </c>
      <c r="AR321">
        <v>10000</v>
      </c>
      <c r="AS321">
        <v>5000</v>
      </c>
      <c r="AT321" s="6" t="s">
        <v>50</v>
      </c>
      <c r="AU321" s="6" t="s">
        <v>50</v>
      </c>
      <c r="AV321" s="6" t="s">
        <v>50</v>
      </c>
      <c r="AW321" s="6" t="s">
        <v>50</v>
      </c>
      <c r="AX321" s="6" t="s">
        <v>50</v>
      </c>
      <c r="AY321" s="6" t="s">
        <v>50</v>
      </c>
      <c r="AZ321" s="6" t="s">
        <v>50</v>
      </c>
      <c r="BA321" s="6" t="s">
        <v>50</v>
      </c>
      <c r="BB321" s="6" t="s">
        <v>50</v>
      </c>
      <c r="BC321" s="6" t="s">
        <v>50</v>
      </c>
      <c r="BD321" s="6" t="s">
        <v>50</v>
      </c>
      <c r="BE321" s="6" t="s">
        <v>50</v>
      </c>
      <c r="BF321" s="6" t="s">
        <v>50</v>
      </c>
      <c r="BG321" s="6" t="s">
        <v>50</v>
      </c>
      <c r="BH321" s="6" t="s">
        <v>50</v>
      </c>
      <c r="BI321">
        <v>1</v>
      </c>
      <c r="BJ321">
        <v>891</v>
      </c>
      <c r="BK321">
        <v>4</v>
      </c>
      <c r="BL321">
        <v>30</v>
      </c>
      <c r="BM321">
        <v>0</v>
      </c>
      <c r="BN321">
        <v>0</v>
      </c>
      <c r="BO321">
        <v>0</v>
      </c>
    </row>
    <row r="322" spans="1:67" s="9" customFormat="1" ht="15.75" customHeight="1" x14ac:dyDescent="0.2">
      <c r="A322" s="7">
        <f t="shared" si="4"/>
        <v>2320</v>
      </c>
      <c r="B322" s="7" t="s">
        <v>349</v>
      </c>
      <c r="C322" s="7" t="s">
        <v>433</v>
      </c>
      <c r="D322" s="28" t="s">
        <v>2365</v>
      </c>
      <c r="E322" s="8" t="s">
        <v>432</v>
      </c>
      <c r="F322" s="7">
        <v>1</v>
      </c>
      <c r="G322" s="7">
        <v>300</v>
      </c>
      <c r="H322" s="7">
        <v>0</v>
      </c>
      <c r="I322" s="7">
        <v>70</v>
      </c>
      <c r="J322" s="7">
        <v>0</v>
      </c>
      <c r="K322" s="7">
        <v>1</v>
      </c>
      <c r="L322" s="7">
        <v>0</v>
      </c>
      <c r="M322" s="7">
        <v>40</v>
      </c>
      <c r="N322" s="7">
        <v>70</v>
      </c>
      <c r="O322" s="7">
        <v>40</v>
      </c>
      <c r="P322" s="7">
        <v>0</v>
      </c>
      <c r="Q322" s="7">
        <v>100</v>
      </c>
      <c r="R322" s="7">
        <v>100</v>
      </c>
      <c r="S322" s="7">
        <v>0</v>
      </c>
      <c r="T322" s="7">
        <v>80</v>
      </c>
      <c r="U322" s="7">
        <v>0</v>
      </c>
      <c r="V322" s="7">
        <v>0</v>
      </c>
      <c r="W322" s="7">
        <v>0</v>
      </c>
      <c r="X322" s="7">
        <v>0</v>
      </c>
      <c r="Y322" s="7">
        <v>50</v>
      </c>
      <c r="Z322" s="7">
        <v>0</v>
      </c>
      <c r="AA322" s="7">
        <v>0</v>
      </c>
      <c r="AB322" s="7">
        <v>0</v>
      </c>
      <c r="AC322" s="7">
        <v>0</v>
      </c>
      <c r="AD322" s="7">
        <v>0</v>
      </c>
      <c r="AE322" s="7">
        <v>0</v>
      </c>
      <c r="AF322" s="7">
        <v>0</v>
      </c>
      <c r="AG322" s="7">
        <v>0</v>
      </c>
      <c r="AH322" s="7">
        <v>0</v>
      </c>
      <c r="AI322" s="7">
        <v>0</v>
      </c>
      <c r="AJ322" s="7">
        <v>0</v>
      </c>
      <c r="AK322" s="7">
        <v>0</v>
      </c>
      <c r="AL322" s="7" t="s">
        <v>31</v>
      </c>
      <c r="AM322" s="7" t="s">
        <v>348</v>
      </c>
      <c r="AN322" s="7" t="s">
        <v>2025</v>
      </c>
      <c r="AO322" s="7" t="s">
        <v>1853</v>
      </c>
      <c r="AP322" s="7">
        <v>30</v>
      </c>
      <c r="AQ322" s="7">
        <v>3</v>
      </c>
      <c r="AR322" s="9">
        <v>10000</v>
      </c>
      <c r="AS322" s="9">
        <v>5000</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0</v>
      </c>
      <c r="BK322" s="9">
        <v>4</v>
      </c>
      <c r="BL322" s="9">
        <v>30</v>
      </c>
      <c r="BM322" s="9">
        <v>0</v>
      </c>
      <c r="BN322" s="9">
        <v>0</v>
      </c>
      <c r="BO322" s="9">
        <v>0</v>
      </c>
    </row>
    <row r="323" spans="1:67" s="23" customFormat="1" ht="15.75" customHeight="1" x14ac:dyDescent="0.2">
      <c r="A323" s="21">
        <f t="shared" si="4"/>
        <v>2321</v>
      </c>
      <c r="B323" s="21" t="s">
        <v>1359</v>
      </c>
      <c r="C323" s="21" t="s">
        <v>2299</v>
      </c>
      <c r="D323" s="22" t="s">
        <v>2300</v>
      </c>
      <c r="E323" s="22" t="s">
        <v>2292</v>
      </c>
      <c r="F323" s="21">
        <v>0</v>
      </c>
      <c r="G323" s="21">
        <v>300</v>
      </c>
      <c r="H323" s="21">
        <v>0</v>
      </c>
      <c r="I323" s="21">
        <v>20</v>
      </c>
      <c r="J323" s="21">
        <v>150</v>
      </c>
      <c r="K323" s="21">
        <v>1</v>
      </c>
      <c r="L323" s="21">
        <v>0</v>
      </c>
      <c r="M323" s="21">
        <v>0</v>
      </c>
      <c r="N323" s="21">
        <v>0</v>
      </c>
      <c r="O323" s="21">
        <v>0</v>
      </c>
      <c r="P323" s="21">
        <v>0</v>
      </c>
      <c r="Q323" s="21">
        <v>0</v>
      </c>
      <c r="R323" s="21">
        <v>0</v>
      </c>
      <c r="S323" s="21">
        <v>0</v>
      </c>
      <c r="T323" s="21">
        <v>0</v>
      </c>
      <c r="U323" s="21">
        <v>0</v>
      </c>
      <c r="V323" s="21">
        <v>0</v>
      </c>
      <c r="W323" s="21">
        <v>0</v>
      </c>
      <c r="X323" s="21">
        <v>0</v>
      </c>
      <c r="Y323" s="21">
        <v>0</v>
      </c>
      <c r="Z323" s="21">
        <v>0</v>
      </c>
      <c r="AA323" s="21">
        <v>0</v>
      </c>
      <c r="AB323" s="21">
        <v>0</v>
      </c>
      <c r="AC323" s="21">
        <v>0</v>
      </c>
      <c r="AD323" s="21">
        <v>0</v>
      </c>
      <c r="AE323" s="21">
        <v>0</v>
      </c>
      <c r="AF323" s="21">
        <v>0</v>
      </c>
      <c r="AG323" s="21">
        <v>0</v>
      </c>
      <c r="AH323" s="21">
        <v>0</v>
      </c>
      <c r="AI323" s="21">
        <v>0</v>
      </c>
      <c r="AJ323" s="21">
        <v>0</v>
      </c>
      <c r="AK323" s="21">
        <v>0</v>
      </c>
      <c r="AL323" s="21" t="s">
        <v>31</v>
      </c>
      <c r="AM323" s="21" t="s">
        <v>48</v>
      </c>
      <c r="AN323" s="21" t="s">
        <v>2022</v>
      </c>
      <c r="AO323" s="21" t="s">
        <v>50</v>
      </c>
      <c r="AP323" s="21">
        <v>30</v>
      </c>
      <c r="AQ323" s="21">
        <v>20</v>
      </c>
      <c r="AR323" s="23">
        <v>1500</v>
      </c>
      <c r="AS323" s="23">
        <v>1200</v>
      </c>
      <c r="AT323" s="24" t="s">
        <v>50</v>
      </c>
      <c r="AU323" s="24" t="s">
        <v>50</v>
      </c>
      <c r="AV323" s="24" t="s">
        <v>50</v>
      </c>
      <c r="AW323" s="24" t="s">
        <v>50</v>
      </c>
      <c r="AX323" s="24" t="s">
        <v>50</v>
      </c>
      <c r="AY323" s="24" t="s">
        <v>50</v>
      </c>
      <c r="AZ323" s="24" t="s">
        <v>50</v>
      </c>
      <c r="BA323" s="24" t="s">
        <v>50</v>
      </c>
      <c r="BB323" s="24" t="s">
        <v>50</v>
      </c>
      <c r="BC323" s="24" t="s">
        <v>50</v>
      </c>
      <c r="BD323" s="24" t="s">
        <v>50</v>
      </c>
      <c r="BE323" s="24" t="s">
        <v>50</v>
      </c>
      <c r="BF323" s="24" t="s">
        <v>50</v>
      </c>
      <c r="BG323" s="24" t="s">
        <v>50</v>
      </c>
      <c r="BH323" s="24" t="s">
        <v>50</v>
      </c>
      <c r="BI323" s="23">
        <v>0</v>
      </c>
      <c r="BJ323" s="23">
        <v>0</v>
      </c>
      <c r="BK323" s="23">
        <v>1</v>
      </c>
      <c r="BL323" s="23">
        <v>30</v>
      </c>
      <c r="BM323">
        <v>0</v>
      </c>
      <c r="BN323">
        <v>0</v>
      </c>
      <c r="BO323" s="23">
        <v>0</v>
      </c>
    </row>
    <row r="324" spans="1:67" ht="15.75" customHeight="1" x14ac:dyDescent="0.2">
      <c r="A324" s="3">
        <f t="shared" si="4"/>
        <v>2322</v>
      </c>
      <c r="B324" s="3" t="s">
        <v>1359</v>
      </c>
      <c r="C324" s="3" t="s">
        <v>343</v>
      </c>
      <c r="D324" s="4" t="s">
        <v>350</v>
      </c>
      <c r="E324" s="4" t="s">
        <v>351</v>
      </c>
      <c r="F324" s="3">
        <v>1</v>
      </c>
      <c r="G324" s="3">
        <v>100</v>
      </c>
      <c r="H324" s="3">
        <v>0</v>
      </c>
      <c r="I324" s="3">
        <v>20</v>
      </c>
      <c r="J324" s="3">
        <v>0</v>
      </c>
      <c r="K324" s="3">
        <v>1</v>
      </c>
      <c r="L324" s="3">
        <v>0</v>
      </c>
      <c r="M324" s="3">
        <v>0</v>
      </c>
      <c r="N324" s="3">
        <v>0</v>
      </c>
      <c r="O324" s="3">
        <v>0</v>
      </c>
      <c r="P324" s="3">
        <v>0</v>
      </c>
      <c r="Q324" s="3">
        <v>0</v>
      </c>
      <c r="R324" s="3">
        <v>0</v>
      </c>
      <c r="S324" s="3">
        <v>0</v>
      </c>
      <c r="T324" s="3">
        <v>0</v>
      </c>
      <c r="U324" s="3">
        <v>0</v>
      </c>
      <c r="V324" s="3">
        <v>0</v>
      </c>
      <c r="W324" s="3">
        <v>0</v>
      </c>
      <c r="X324" s="3">
        <v>-10</v>
      </c>
      <c r="Y324" s="3">
        <v>100</v>
      </c>
      <c r="Z324" s="3">
        <v>0</v>
      </c>
      <c r="AA324" s="3">
        <v>0</v>
      </c>
      <c r="AB324" s="3">
        <v>0</v>
      </c>
      <c r="AC324" s="3">
        <v>0</v>
      </c>
      <c r="AD324" s="3">
        <v>0</v>
      </c>
      <c r="AE324" s="3">
        <v>0</v>
      </c>
      <c r="AF324" s="3">
        <v>0</v>
      </c>
      <c r="AG324" s="3">
        <v>0</v>
      </c>
      <c r="AH324" s="3">
        <v>0</v>
      </c>
      <c r="AI324" s="3">
        <v>0</v>
      </c>
      <c r="AJ324" s="3">
        <v>0</v>
      </c>
      <c r="AK324" s="3">
        <v>0</v>
      </c>
      <c r="AL324" s="3" t="s">
        <v>31</v>
      </c>
      <c r="AM324" s="3" t="s">
        <v>342</v>
      </c>
      <c r="AN324" s="3" t="s">
        <v>2026</v>
      </c>
      <c r="AO324" s="3" t="s">
        <v>1853</v>
      </c>
      <c r="AP324" s="3">
        <v>30</v>
      </c>
      <c r="AQ324" s="3">
        <v>2.5</v>
      </c>
      <c r="AR324">
        <v>3000</v>
      </c>
      <c r="AS324" s="3">
        <v>10</v>
      </c>
      <c r="AT324" s="6" t="s">
        <v>50</v>
      </c>
      <c r="AU324" s="6" t="s">
        <v>50</v>
      </c>
      <c r="AV324" s="6" t="s">
        <v>50</v>
      </c>
      <c r="AW324" s="6" t="s">
        <v>50</v>
      </c>
      <c r="AX324" s="6" t="s">
        <v>50</v>
      </c>
      <c r="AY324" s="6" t="s">
        <v>50</v>
      </c>
      <c r="AZ324" s="6" t="s">
        <v>50</v>
      </c>
      <c r="BA324" s="6" t="s">
        <v>50</v>
      </c>
      <c r="BB324" s="6" t="s">
        <v>50</v>
      </c>
      <c r="BC324" s="6" t="s">
        <v>50</v>
      </c>
      <c r="BD324" s="6" t="s">
        <v>50</v>
      </c>
      <c r="BE324" s="6" t="s">
        <v>50</v>
      </c>
      <c r="BF324" s="6" t="s">
        <v>50</v>
      </c>
      <c r="BG324" s="6" t="s">
        <v>50</v>
      </c>
      <c r="BH324" s="6" t="s">
        <v>50</v>
      </c>
      <c r="BI324">
        <v>1</v>
      </c>
      <c r="BJ324">
        <v>950</v>
      </c>
      <c r="BK324">
        <v>3</v>
      </c>
      <c r="BL324">
        <v>80</v>
      </c>
      <c r="BM324">
        <v>0</v>
      </c>
      <c r="BN324">
        <v>0</v>
      </c>
      <c r="BO324">
        <v>0</v>
      </c>
    </row>
    <row r="325" spans="1:67" ht="15.75" customHeight="1" x14ac:dyDescent="0.2">
      <c r="A325" s="3">
        <f t="shared" si="4"/>
        <v>2323</v>
      </c>
      <c r="B325" s="3" t="s">
        <v>1280</v>
      </c>
      <c r="C325" s="3" t="s">
        <v>361</v>
      </c>
      <c r="D325" s="4" t="s">
        <v>1281</v>
      </c>
      <c r="E325" s="4" t="s">
        <v>1071</v>
      </c>
      <c r="F325" s="3">
        <v>1</v>
      </c>
      <c r="G325" s="3">
        <v>100</v>
      </c>
      <c r="H325" s="3">
        <v>0</v>
      </c>
      <c r="I325" s="3">
        <v>20</v>
      </c>
      <c r="J325" s="3">
        <v>0</v>
      </c>
      <c r="K325" s="3">
        <v>1</v>
      </c>
      <c r="L325" s="3">
        <v>0</v>
      </c>
      <c r="M325" s="3">
        <v>0</v>
      </c>
      <c r="N325" s="3">
        <v>0</v>
      </c>
      <c r="O325" s="3">
        <v>0</v>
      </c>
      <c r="P325" s="3">
        <v>0</v>
      </c>
      <c r="Q325" s="3">
        <v>0</v>
      </c>
      <c r="R325" s="3">
        <v>0</v>
      </c>
      <c r="S325" s="3">
        <v>0</v>
      </c>
      <c r="T325" s="3">
        <v>0</v>
      </c>
      <c r="U325" s="3">
        <v>0</v>
      </c>
      <c r="V325" s="3">
        <v>0</v>
      </c>
      <c r="W325" s="3">
        <v>0</v>
      </c>
      <c r="X325" s="3">
        <v>-10</v>
      </c>
      <c r="Y325" s="3">
        <v>100</v>
      </c>
      <c r="Z325" s="3">
        <v>0</v>
      </c>
      <c r="AA325" s="3">
        <v>0</v>
      </c>
      <c r="AB325" s="3">
        <v>0</v>
      </c>
      <c r="AC325" s="3">
        <v>0</v>
      </c>
      <c r="AD325" s="3">
        <v>0</v>
      </c>
      <c r="AE325" s="3">
        <v>0</v>
      </c>
      <c r="AF325" s="3">
        <v>0</v>
      </c>
      <c r="AG325" s="3">
        <v>0</v>
      </c>
      <c r="AH325" s="3">
        <v>0</v>
      </c>
      <c r="AI325" s="3">
        <v>0</v>
      </c>
      <c r="AJ325" s="3">
        <v>0</v>
      </c>
      <c r="AK325" s="3">
        <v>0</v>
      </c>
      <c r="AL325" s="3" t="s">
        <v>31</v>
      </c>
      <c r="AM325" s="3" t="s">
        <v>342</v>
      </c>
      <c r="AN325" s="3" t="s">
        <v>2026</v>
      </c>
      <c r="AO325" s="3" t="s">
        <v>50</v>
      </c>
      <c r="AP325" s="3">
        <v>30</v>
      </c>
      <c r="AQ325" s="3">
        <v>2.5</v>
      </c>
      <c r="AR325">
        <v>3000</v>
      </c>
      <c r="AS325" s="3">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951</v>
      </c>
      <c r="BK325">
        <v>3</v>
      </c>
      <c r="BL325">
        <v>80</v>
      </c>
      <c r="BM325">
        <v>0</v>
      </c>
      <c r="BN325">
        <v>0</v>
      </c>
      <c r="BO325">
        <v>0</v>
      </c>
    </row>
    <row r="326" spans="1:67" s="37" customFormat="1" ht="15.75" customHeight="1" x14ac:dyDescent="0.2">
      <c r="A326" s="34">
        <f t="shared" si="4"/>
        <v>2324</v>
      </c>
      <c r="B326" s="34" t="s">
        <v>3468</v>
      </c>
      <c r="C326" s="34" t="s">
        <v>340</v>
      </c>
      <c r="D326" s="36" t="s">
        <v>3417</v>
      </c>
      <c r="E326" s="36" t="s">
        <v>341</v>
      </c>
      <c r="F326" s="34">
        <v>0</v>
      </c>
      <c r="G326" s="34">
        <v>100</v>
      </c>
      <c r="H326" s="34">
        <v>0</v>
      </c>
      <c r="I326" s="34">
        <v>20</v>
      </c>
      <c r="J326" s="34">
        <v>0</v>
      </c>
      <c r="K326" s="34">
        <v>1</v>
      </c>
      <c r="L326" s="34">
        <v>0</v>
      </c>
      <c r="M326" s="34">
        <v>0</v>
      </c>
      <c r="N326" s="34">
        <v>0</v>
      </c>
      <c r="O326" s="34">
        <v>0</v>
      </c>
      <c r="P326" s="34">
        <v>0</v>
      </c>
      <c r="Q326" s="34">
        <v>0</v>
      </c>
      <c r="R326" s="34">
        <v>0</v>
      </c>
      <c r="S326" s="34">
        <v>0</v>
      </c>
      <c r="T326" s="34">
        <v>0</v>
      </c>
      <c r="U326" s="34">
        <v>0</v>
      </c>
      <c r="V326" s="34">
        <v>0</v>
      </c>
      <c r="W326" s="34">
        <v>0</v>
      </c>
      <c r="X326" s="34">
        <v>0</v>
      </c>
      <c r="Y326" s="34">
        <v>50</v>
      </c>
      <c r="Z326" s="34">
        <v>0</v>
      </c>
      <c r="AA326" s="34">
        <v>0</v>
      </c>
      <c r="AB326" s="34">
        <v>0</v>
      </c>
      <c r="AC326" s="34">
        <v>0</v>
      </c>
      <c r="AD326" s="34">
        <v>0</v>
      </c>
      <c r="AE326" s="34">
        <v>0</v>
      </c>
      <c r="AF326" s="34">
        <v>0</v>
      </c>
      <c r="AG326" s="34">
        <v>0</v>
      </c>
      <c r="AH326" s="34">
        <v>0</v>
      </c>
      <c r="AI326" s="34">
        <v>0</v>
      </c>
      <c r="AJ326" s="34">
        <v>0</v>
      </c>
      <c r="AK326" s="34">
        <v>0</v>
      </c>
      <c r="AL326" s="34" t="s">
        <v>31</v>
      </c>
      <c r="AM326" s="34" t="s">
        <v>342</v>
      </c>
      <c r="AN326" s="34" t="s">
        <v>2026</v>
      </c>
      <c r="AO326" s="34" t="s">
        <v>1853</v>
      </c>
      <c r="AP326" s="34">
        <v>30</v>
      </c>
      <c r="AQ326" s="34">
        <v>2.5</v>
      </c>
      <c r="AR326" s="37">
        <v>7777</v>
      </c>
      <c r="AS326" s="34">
        <v>10</v>
      </c>
      <c r="AT326" s="38" t="s">
        <v>50</v>
      </c>
      <c r="AU326" s="38" t="s">
        <v>50</v>
      </c>
      <c r="AV326" s="38" t="s">
        <v>50</v>
      </c>
      <c r="AW326" s="38" t="s">
        <v>50</v>
      </c>
      <c r="AX326" s="38" t="s">
        <v>50</v>
      </c>
      <c r="AY326" s="38" t="s">
        <v>50</v>
      </c>
      <c r="AZ326" s="38" t="s">
        <v>50</v>
      </c>
      <c r="BA326" s="38" t="s">
        <v>50</v>
      </c>
      <c r="BB326" s="38" t="s">
        <v>50</v>
      </c>
      <c r="BC326" s="38" t="s">
        <v>50</v>
      </c>
      <c r="BD326" s="38" t="s">
        <v>50</v>
      </c>
      <c r="BE326" s="38" t="s">
        <v>50</v>
      </c>
      <c r="BF326" s="38" t="s">
        <v>50</v>
      </c>
      <c r="BG326" s="38" t="s">
        <v>50</v>
      </c>
      <c r="BH326" s="38" t="s">
        <v>50</v>
      </c>
      <c r="BI326" s="37">
        <v>0</v>
      </c>
      <c r="BJ326" s="37">
        <v>0</v>
      </c>
      <c r="BK326" s="37">
        <v>1</v>
      </c>
      <c r="BL326" s="37">
        <v>30</v>
      </c>
      <c r="BM326" s="37">
        <v>0</v>
      </c>
      <c r="BN326" s="37">
        <v>0</v>
      </c>
      <c r="BO326" s="37">
        <v>0</v>
      </c>
    </row>
    <row r="327" spans="1:67" s="23" customFormat="1" ht="15.75" customHeight="1" x14ac:dyDescent="0.2">
      <c r="A327" s="21">
        <f t="shared" si="4"/>
        <v>2325</v>
      </c>
      <c r="B327" s="21" t="s">
        <v>74</v>
      </c>
      <c r="C327" s="21" t="s">
        <v>2301</v>
      </c>
      <c r="D327" s="22" t="s">
        <v>2302</v>
      </c>
      <c r="E327" s="22" t="s">
        <v>2292</v>
      </c>
      <c r="F327" s="21">
        <v>0</v>
      </c>
      <c r="G327" s="21">
        <v>300</v>
      </c>
      <c r="H327" s="21">
        <v>0</v>
      </c>
      <c r="I327" s="21">
        <v>20</v>
      </c>
      <c r="J327" s="21">
        <v>150</v>
      </c>
      <c r="K327" s="21">
        <v>1</v>
      </c>
      <c r="L327" s="21">
        <v>0</v>
      </c>
      <c r="M327" s="21">
        <v>0</v>
      </c>
      <c r="N327" s="21">
        <v>0</v>
      </c>
      <c r="O327" s="21">
        <v>0</v>
      </c>
      <c r="P327" s="21">
        <v>0</v>
      </c>
      <c r="Q327" s="21">
        <v>0</v>
      </c>
      <c r="R327" s="21">
        <v>0</v>
      </c>
      <c r="S327" s="21">
        <v>0</v>
      </c>
      <c r="T327" s="21">
        <v>0</v>
      </c>
      <c r="U327" s="21">
        <v>0</v>
      </c>
      <c r="V327" s="21">
        <v>0</v>
      </c>
      <c r="W327" s="21">
        <v>0</v>
      </c>
      <c r="X327" s="21">
        <v>0</v>
      </c>
      <c r="Y327" s="21">
        <v>0</v>
      </c>
      <c r="Z327" s="21">
        <v>0</v>
      </c>
      <c r="AA327" s="21">
        <v>0</v>
      </c>
      <c r="AB327" s="21">
        <v>0</v>
      </c>
      <c r="AC327" s="21">
        <v>0</v>
      </c>
      <c r="AD327" s="21">
        <v>0</v>
      </c>
      <c r="AE327" s="21">
        <v>0</v>
      </c>
      <c r="AF327" s="21">
        <v>0</v>
      </c>
      <c r="AG327" s="21">
        <v>0</v>
      </c>
      <c r="AH327" s="21">
        <v>0</v>
      </c>
      <c r="AI327" s="21">
        <v>0</v>
      </c>
      <c r="AJ327" s="21">
        <v>0</v>
      </c>
      <c r="AK327" s="21">
        <v>0</v>
      </c>
      <c r="AL327" s="21" t="s">
        <v>31</v>
      </c>
      <c r="AM327" s="21" t="s">
        <v>48</v>
      </c>
      <c r="AN327" s="21" t="s">
        <v>2022</v>
      </c>
      <c r="AO327" s="21" t="s">
        <v>50</v>
      </c>
      <c r="AP327" s="21">
        <v>30</v>
      </c>
      <c r="AQ327" s="21">
        <v>20</v>
      </c>
      <c r="AR327" s="23">
        <v>1500</v>
      </c>
      <c r="AS327" s="23">
        <v>1200</v>
      </c>
      <c r="AT327" s="24" t="s">
        <v>50</v>
      </c>
      <c r="AU327" s="24" t="s">
        <v>50</v>
      </c>
      <c r="AV327" s="24" t="s">
        <v>50</v>
      </c>
      <c r="AW327" s="24" t="s">
        <v>50</v>
      </c>
      <c r="AX327" s="24" t="s">
        <v>50</v>
      </c>
      <c r="AY327" s="24" t="s">
        <v>50</v>
      </c>
      <c r="AZ327" s="24" t="s">
        <v>50</v>
      </c>
      <c r="BA327" s="24" t="s">
        <v>50</v>
      </c>
      <c r="BB327" s="24" t="s">
        <v>50</v>
      </c>
      <c r="BC327" s="24" t="s">
        <v>50</v>
      </c>
      <c r="BD327" s="24" t="s">
        <v>50</v>
      </c>
      <c r="BE327" s="24" t="s">
        <v>50</v>
      </c>
      <c r="BF327" s="24" t="s">
        <v>50</v>
      </c>
      <c r="BG327" s="24" t="s">
        <v>50</v>
      </c>
      <c r="BH327" s="24" t="s">
        <v>50</v>
      </c>
      <c r="BI327" s="23">
        <v>0</v>
      </c>
      <c r="BJ327" s="23">
        <v>0</v>
      </c>
      <c r="BK327" s="23">
        <v>1</v>
      </c>
      <c r="BL327" s="23">
        <v>30</v>
      </c>
      <c r="BM327">
        <v>0</v>
      </c>
      <c r="BN327">
        <v>0</v>
      </c>
      <c r="BO327" s="23">
        <v>0</v>
      </c>
    </row>
    <row r="328" spans="1:67" ht="15.75" customHeight="1" x14ac:dyDescent="0.2">
      <c r="A328" s="3">
        <f t="shared" si="4"/>
        <v>2326</v>
      </c>
      <c r="B328" s="3" t="s">
        <v>74</v>
      </c>
      <c r="C328" s="3" t="s">
        <v>74</v>
      </c>
      <c r="D328" s="4" t="s">
        <v>75</v>
      </c>
      <c r="E328" s="4" t="s">
        <v>76</v>
      </c>
      <c r="F328" s="3">
        <v>0</v>
      </c>
      <c r="G328" s="3">
        <v>300</v>
      </c>
      <c r="H328" s="3">
        <v>0</v>
      </c>
      <c r="I328" s="3">
        <v>20</v>
      </c>
      <c r="J328" s="3">
        <v>0</v>
      </c>
      <c r="K328" s="3">
        <v>1</v>
      </c>
      <c r="L328" s="3">
        <v>0</v>
      </c>
      <c r="M328" s="3">
        <v>0</v>
      </c>
      <c r="N328" s="3">
        <v>0</v>
      </c>
      <c r="O328" s="3">
        <v>0</v>
      </c>
      <c r="P328" s="3">
        <v>0</v>
      </c>
      <c r="Q328" s="3">
        <v>0</v>
      </c>
      <c r="R328" s="3">
        <v>0</v>
      </c>
      <c r="S328" s="3">
        <v>0</v>
      </c>
      <c r="T328" s="3">
        <v>0</v>
      </c>
      <c r="U328" s="3">
        <v>0</v>
      </c>
      <c r="V328" s="3">
        <v>0</v>
      </c>
      <c r="W328" s="3">
        <v>0</v>
      </c>
      <c r="X328" s="3">
        <v>0</v>
      </c>
      <c r="Y328" s="3">
        <v>50</v>
      </c>
      <c r="Z328" s="3">
        <v>0</v>
      </c>
      <c r="AA328" s="3">
        <v>0</v>
      </c>
      <c r="AB328" s="3">
        <v>0</v>
      </c>
      <c r="AC328" s="3">
        <v>0</v>
      </c>
      <c r="AD328" s="3">
        <v>0</v>
      </c>
      <c r="AE328" s="3">
        <v>0</v>
      </c>
      <c r="AF328" s="3">
        <v>0</v>
      </c>
      <c r="AG328" s="3">
        <v>0</v>
      </c>
      <c r="AH328" s="3">
        <v>0</v>
      </c>
      <c r="AI328" s="3">
        <v>0</v>
      </c>
      <c r="AJ328" s="3">
        <v>0</v>
      </c>
      <c r="AK328" s="3">
        <v>0</v>
      </c>
      <c r="AL328" s="3" t="s">
        <v>31</v>
      </c>
      <c r="AM328" s="3" t="s">
        <v>77</v>
      </c>
      <c r="AN328" s="3" t="s">
        <v>2027</v>
      </c>
      <c r="AO328" s="3" t="s">
        <v>50</v>
      </c>
      <c r="AP328" s="3">
        <v>30</v>
      </c>
      <c r="AQ328" s="3">
        <v>1.2</v>
      </c>
      <c r="AR328">
        <v>50</v>
      </c>
      <c r="AS328">
        <v>10</v>
      </c>
      <c r="AT328" s="6" t="s">
        <v>150</v>
      </c>
      <c r="AU328" s="6" t="s">
        <v>150</v>
      </c>
      <c r="AV328" s="6" t="s">
        <v>150</v>
      </c>
      <c r="AW328" s="6" t="s">
        <v>150</v>
      </c>
      <c r="AX328" s="6" t="s">
        <v>150</v>
      </c>
      <c r="AY328" s="6" t="s">
        <v>150</v>
      </c>
      <c r="AZ328" s="6" t="s">
        <v>150</v>
      </c>
      <c r="BA328" s="6" t="s">
        <v>150</v>
      </c>
      <c r="BB328" s="6" t="s">
        <v>150</v>
      </c>
      <c r="BC328" s="6" t="s">
        <v>150</v>
      </c>
      <c r="BD328" s="6" t="s">
        <v>50</v>
      </c>
      <c r="BE328" s="6" t="s">
        <v>50</v>
      </c>
      <c r="BF328" s="6" t="s">
        <v>50</v>
      </c>
      <c r="BG328" s="6" t="s">
        <v>50</v>
      </c>
      <c r="BH328" s="6" t="s">
        <v>50</v>
      </c>
      <c r="BI328">
        <v>1</v>
      </c>
      <c r="BJ328">
        <v>900</v>
      </c>
      <c r="BK328">
        <v>1</v>
      </c>
      <c r="BL328">
        <v>20</v>
      </c>
      <c r="BM328">
        <v>0</v>
      </c>
      <c r="BN328">
        <v>0</v>
      </c>
      <c r="BO328">
        <v>0</v>
      </c>
    </row>
    <row r="329" spans="1:67" ht="15.75" customHeight="1" x14ac:dyDescent="0.2">
      <c r="A329" s="3">
        <f t="shared" si="4"/>
        <v>2327</v>
      </c>
      <c r="B329" s="3" t="s">
        <v>951</v>
      </c>
      <c r="C329" s="3" t="s">
        <v>866</v>
      </c>
      <c r="D329" s="4" t="s">
        <v>864</v>
      </c>
      <c r="E329" s="4" t="s">
        <v>865</v>
      </c>
      <c r="F329" s="3">
        <v>0</v>
      </c>
      <c r="G329" s="3">
        <v>300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0</v>
      </c>
      <c r="Y329" s="3">
        <v>50</v>
      </c>
      <c r="Z329" s="3">
        <v>0</v>
      </c>
      <c r="AA329" s="3">
        <v>0</v>
      </c>
      <c r="AB329" s="3">
        <v>0</v>
      </c>
      <c r="AC329" s="3">
        <v>0</v>
      </c>
      <c r="AD329" s="3">
        <v>0</v>
      </c>
      <c r="AE329" s="3">
        <v>0</v>
      </c>
      <c r="AF329" s="3">
        <v>0</v>
      </c>
      <c r="AG329" s="3">
        <v>0</v>
      </c>
      <c r="AH329" s="3">
        <v>0</v>
      </c>
      <c r="AI329" s="3">
        <v>0</v>
      </c>
      <c r="AJ329" s="3">
        <v>0</v>
      </c>
      <c r="AK329" s="3">
        <v>0</v>
      </c>
      <c r="AL329" s="3" t="s">
        <v>31</v>
      </c>
      <c r="AM329" s="3" t="s">
        <v>77</v>
      </c>
      <c r="AN329" s="3" t="s">
        <v>2027</v>
      </c>
      <c r="AO329" s="3" t="s">
        <v>50</v>
      </c>
      <c r="AP329" s="3">
        <v>30</v>
      </c>
      <c r="AQ329" s="3">
        <v>1.3</v>
      </c>
      <c r="AR329">
        <v>50</v>
      </c>
      <c r="AS329">
        <v>10</v>
      </c>
      <c r="AT329" s="6" t="s">
        <v>50</v>
      </c>
      <c r="AU329" s="6" t="s">
        <v>50</v>
      </c>
      <c r="AV329" s="6" t="s">
        <v>50</v>
      </c>
      <c r="AW329" s="6" t="s">
        <v>50</v>
      </c>
      <c r="AX329" s="6" t="s">
        <v>50</v>
      </c>
      <c r="AY329" s="6" t="s">
        <v>50</v>
      </c>
      <c r="AZ329" s="6" t="s">
        <v>50</v>
      </c>
      <c r="BA329" s="6" t="s">
        <v>50</v>
      </c>
      <c r="BB329" s="6" t="s">
        <v>50</v>
      </c>
      <c r="BC329" s="6" t="s">
        <v>50</v>
      </c>
      <c r="BD329" s="6" t="s">
        <v>50</v>
      </c>
      <c r="BE329" s="6" t="s">
        <v>50</v>
      </c>
      <c r="BF329" s="6" t="s">
        <v>50</v>
      </c>
      <c r="BG329" s="6" t="s">
        <v>50</v>
      </c>
      <c r="BH329" s="6" t="s">
        <v>50</v>
      </c>
      <c r="BI329">
        <v>1</v>
      </c>
      <c r="BJ329">
        <v>901</v>
      </c>
      <c r="BK329">
        <v>1</v>
      </c>
      <c r="BL329">
        <v>20</v>
      </c>
      <c r="BM329">
        <v>0</v>
      </c>
      <c r="BN329">
        <v>0</v>
      </c>
      <c r="BO329">
        <v>0</v>
      </c>
    </row>
    <row r="330" spans="1:67" ht="15.75" customHeight="1" x14ac:dyDescent="0.2">
      <c r="A330" s="3">
        <f t="shared" si="4"/>
        <v>2328</v>
      </c>
      <c r="B330" s="3" t="s">
        <v>1376</v>
      </c>
      <c r="C330" s="3" t="s">
        <v>1325</v>
      </c>
      <c r="D330" s="4" t="s">
        <v>1323</v>
      </c>
      <c r="E330" s="4" t="s">
        <v>1324</v>
      </c>
      <c r="F330" s="3">
        <v>0</v>
      </c>
      <c r="G330" s="3">
        <v>300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0</v>
      </c>
      <c r="Y330" s="3">
        <v>50</v>
      </c>
      <c r="Z330" s="3">
        <v>0</v>
      </c>
      <c r="AA330" s="3">
        <v>0</v>
      </c>
      <c r="AB330" s="3">
        <v>0</v>
      </c>
      <c r="AC330" s="3">
        <v>0</v>
      </c>
      <c r="AD330" s="3">
        <v>0</v>
      </c>
      <c r="AE330" s="3">
        <v>0</v>
      </c>
      <c r="AF330" s="3">
        <v>0</v>
      </c>
      <c r="AG330" s="3">
        <v>0</v>
      </c>
      <c r="AH330" s="3">
        <v>0</v>
      </c>
      <c r="AI330" s="3">
        <v>0</v>
      </c>
      <c r="AJ330" s="3">
        <v>0</v>
      </c>
      <c r="AK330" s="3">
        <v>0</v>
      </c>
      <c r="AL330" s="3" t="s">
        <v>31</v>
      </c>
      <c r="AM330" s="3" t="s">
        <v>77</v>
      </c>
      <c r="AN330" s="3" t="s">
        <v>2027</v>
      </c>
      <c r="AO330" s="3" t="s">
        <v>50</v>
      </c>
      <c r="AP330" s="3">
        <v>30</v>
      </c>
      <c r="AQ330" s="3">
        <v>1.5</v>
      </c>
      <c r="AR330">
        <v>50</v>
      </c>
      <c r="AS330">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909</v>
      </c>
      <c r="BK330">
        <v>2</v>
      </c>
      <c r="BL330">
        <v>20</v>
      </c>
      <c r="BM330">
        <v>0</v>
      </c>
      <c r="BN330">
        <v>0</v>
      </c>
      <c r="BO330">
        <v>0</v>
      </c>
    </row>
    <row r="331" spans="1:67" ht="15.75" customHeight="1" x14ac:dyDescent="0.2">
      <c r="A331" s="3">
        <f t="shared" si="4"/>
        <v>2329</v>
      </c>
      <c r="B331" s="3" t="s">
        <v>1289</v>
      </c>
      <c r="C331" s="3" t="s">
        <v>1256</v>
      </c>
      <c r="D331" s="4" t="s">
        <v>1265</v>
      </c>
      <c r="E331" s="4" t="s">
        <v>1282</v>
      </c>
      <c r="F331" s="3">
        <v>0</v>
      </c>
      <c r="G331" s="3">
        <v>300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0</v>
      </c>
      <c r="Y331" s="3">
        <v>50</v>
      </c>
      <c r="Z331" s="3">
        <v>0</v>
      </c>
      <c r="AA331" s="3">
        <v>0</v>
      </c>
      <c r="AB331" s="3">
        <v>0</v>
      </c>
      <c r="AC331" s="3">
        <v>0</v>
      </c>
      <c r="AD331" s="3">
        <v>0</v>
      </c>
      <c r="AE331" s="3">
        <v>0</v>
      </c>
      <c r="AF331" s="3">
        <v>0</v>
      </c>
      <c r="AG331" s="3">
        <v>0</v>
      </c>
      <c r="AH331" s="3">
        <v>0</v>
      </c>
      <c r="AI331" s="3">
        <v>0</v>
      </c>
      <c r="AJ331" s="3">
        <v>0</v>
      </c>
      <c r="AK331" s="3">
        <v>0</v>
      </c>
      <c r="AL331" s="3" t="s">
        <v>31</v>
      </c>
      <c r="AM331" s="3" t="s">
        <v>77</v>
      </c>
      <c r="AN331" s="3" t="s">
        <v>2027</v>
      </c>
      <c r="AO331" s="3" t="s">
        <v>50</v>
      </c>
      <c r="AP331" s="3">
        <v>30</v>
      </c>
      <c r="AQ331" s="3">
        <v>1.6</v>
      </c>
      <c r="AR331">
        <v>250</v>
      </c>
      <c r="AS331">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906</v>
      </c>
      <c r="BK331">
        <v>1</v>
      </c>
      <c r="BL331">
        <v>20</v>
      </c>
      <c r="BM331">
        <v>0</v>
      </c>
      <c r="BN331">
        <v>0</v>
      </c>
      <c r="BO331">
        <v>0</v>
      </c>
    </row>
    <row r="332" spans="1:67" ht="15.75" customHeight="1" x14ac:dyDescent="0.2">
      <c r="A332" s="3">
        <f t="shared" si="4"/>
        <v>2330</v>
      </c>
      <c r="B332" s="3" t="s">
        <v>1290</v>
      </c>
      <c r="C332" s="3" t="s">
        <v>1257</v>
      </c>
      <c r="D332" s="4" t="s">
        <v>1266</v>
      </c>
      <c r="E332" s="4" t="s">
        <v>1283</v>
      </c>
      <c r="F332" s="3">
        <v>0</v>
      </c>
      <c r="G332" s="3">
        <v>300</v>
      </c>
      <c r="H332" s="3">
        <v>0</v>
      </c>
      <c r="I332" s="3">
        <v>20</v>
      </c>
      <c r="J332" s="3">
        <v>0</v>
      </c>
      <c r="K332" s="3">
        <v>1</v>
      </c>
      <c r="L332" s="3">
        <v>0</v>
      </c>
      <c r="M332" s="3">
        <v>0</v>
      </c>
      <c r="N332" s="3">
        <v>0</v>
      </c>
      <c r="O332" s="3">
        <v>0</v>
      </c>
      <c r="P332" s="3">
        <v>0</v>
      </c>
      <c r="Q332" s="3">
        <v>0</v>
      </c>
      <c r="R332" s="3">
        <v>0</v>
      </c>
      <c r="S332" s="3">
        <v>0</v>
      </c>
      <c r="T332" s="3">
        <v>0</v>
      </c>
      <c r="U332" s="3">
        <v>0</v>
      </c>
      <c r="V332" s="3">
        <v>0</v>
      </c>
      <c r="W332" s="3">
        <v>0</v>
      </c>
      <c r="X332" s="3">
        <v>0</v>
      </c>
      <c r="Y332" s="3">
        <v>50</v>
      </c>
      <c r="Z332" s="3">
        <v>0</v>
      </c>
      <c r="AA332" s="3">
        <v>0</v>
      </c>
      <c r="AB332" s="3">
        <v>0</v>
      </c>
      <c r="AC332" s="3">
        <v>0</v>
      </c>
      <c r="AD332" s="3">
        <v>0</v>
      </c>
      <c r="AE332" s="3">
        <v>0</v>
      </c>
      <c r="AF332" s="3">
        <v>0</v>
      </c>
      <c r="AG332" s="3">
        <v>0</v>
      </c>
      <c r="AH332" s="3">
        <v>0</v>
      </c>
      <c r="AI332" s="3">
        <v>0</v>
      </c>
      <c r="AJ332" s="3">
        <v>0</v>
      </c>
      <c r="AK332" s="3">
        <v>0</v>
      </c>
      <c r="AL332" s="3" t="s">
        <v>31</v>
      </c>
      <c r="AM332" s="3" t="s">
        <v>77</v>
      </c>
      <c r="AN332" s="3" t="s">
        <v>2027</v>
      </c>
      <c r="AO332" s="3" t="s">
        <v>50</v>
      </c>
      <c r="AP332" s="3">
        <v>30</v>
      </c>
      <c r="AQ332" s="3">
        <v>1.2</v>
      </c>
      <c r="AR332">
        <v>100</v>
      </c>
      <c r="AS332">
        <v>10</v>
      </c>
      <c r="AT332" s="6" t="s">
        <v>50</v>
      </c>
      <c r="AU332" s="6" t="s">
        <v>50</v>
      </c>
      <c r="AV332" s="6" t="s">
        <v>50</v>
      </c>
      <c r="AW332" s="6" t="s">
        <v>50</v>
      </c>
      <c r="AX332" s="6" t="s">
        <v>50</v>
      </c>
      <c r="AY332" s="6" t="s">
        <v>50</v>
      </c>
      <c r="AZ332" s="6" t="s">
        <v>50</v>
      </c>
      <c r="BA332" s="6" t="s">
        <v>50</v>
      </c>
      <c r="BB332" s="6" t="s">
        <v>50</v>
      </c>
      <c r="BC332" s="6" t="s">
        <v>50</v>
      </c>
      <c r="BD332" s="6" t="s">
        <v>50</v>
      </c>
      <c r="BE332" s="6" t="s">
        <v>50</v>
      </c>
      <c r="BF332" s="6" t="s">
        <v>50</v>
      </c>
      <c r="BG332" s="6" t="s">
        <v>50</v>
      </c>
      <c r="BH332" s="6" t="s">
        <v>50</v>
      </c>
      <c r="BI332">
        <v>1</v>
      </c>
      <c r="BJ332">
        <v>907</v>
      </c>
      <c r="BK332">
        <v>1</v>
      </c>
      <c r="BL332">
        <v>20</v>
      </c>
      <c r="BM332">
        <v>0</v>
      </c>
      <c r="BN332">
        <v>0</v>
      </c>
      <c r="BO332">
        <v>0</v>
      </c>
    </row>
    <row r="333" spans="1:67" ht="15.75" customHeight="1" x14ac:dyDescent="0.2">
      <c r="A333" s="3">
        <f t="shared" si="4"/>
        <v>2331</v>
      </c>
      <c r="B333" s="3" t="s">
        <v>1286</v>
      </c>
      <c r="C333" s="3" t="s">
        <v>1258</v>
      </c>
      <c r="D333" s="4" t="s">
        <v>1267</v>
      </c>
      <c r="E333" s="4" t="s">
        <v>1284</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2027</v>
      </c>
      <c r="AO333" s="3" t="s">
        <v>50</v>
      </c>
      <c r="AP333" s="3">
        <v>30</v>
      </c>
      <c r="AQ333" s="3">
        <v>1.4</v>
      </c>
      <c r="AR333">
        <v>120</v>
      </c>
      <c r="AS333">
        <v>10</v>
      </c>
      <c r="AT333" s="6" t="s">
        <v>50</v>
      </c>
      <c r="AU333" s="6" t="s">
        <v>50</v>
      </c>
      <c r="AV333" s="6" t="s">
        <v>50</v>
      </c>
      <c r="AW333" s="6" t="s">
        <v>50</v>
      </c>
      <c r="AX333" s="6" t="s">
        <v>50</v>
      </c>
      <c r="AY333" s="6" t="s">
        <v>50</v>
      </c>
      <c r="AZ333" s="6" t="s">
        <v>50</v>
      </c>
      <c r="BA333" s="6" t="s">
        <v>50</v>
      </c>
      <c r="BB333" s="6" t="s">
        <v>50</v>
      </c>
      <c r="BC333" s="6" t="s">
        <v>50</v>
      </c>
      <c r="BD333" s="6" t="s">
        <v>50</v>
      </c>
      <c r="BE333" s="6" t="s">
        <v>50</v>
      </c>
      <c r="BF333" s="6" t="s">
        <v>50</v>
      </c>
      <c r="BG333" s="6" t="s">
        <v>50</v>
      </c>
      <c r="BH333" s="6" t="s">
        <v>50</v>
      </c>
      <c r="BI333">
        <v>1</v>
      </c>
      <c r="BJ333">
        <v>908</v>
      </c>
      <c r="BK333">
        <v>1</v>
      </c>
      <c r="BL333">
        <v>20</v>
      </c>
      <c r="BM333">
        <v>0</v>
      </c>
      <c r="BN333">
        <v>0</v>
      </c>
      <c r="BO333">
        <v>0</v>
      </c>
    </row>
    <row r="334" spans="1:67" ht="15.75" customHeight="1" x14ac:dyDescent="0.2">
      <c r="A334" s="3">
        <f t="shared" si="4"/>
        <v>2332</v>
      </c>
      <c r="B334" s="3" t="s">
        <v>1288</v>
      </c>
      <c r="C334" s="3" t="s">
        <v>1259</v>
      </c>
      <c r="D334" s="4" t="s">
        <v>1268</v>
      </c>
      <c r="E334" s="4" t="s">
        <v>1285</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2027</v>
      </c>
      <c r="AO334" s="3" t="s">
        <v>50</v>
      </c>
      <c r="AP334" s="3">
        <v>30</v>
      </c>
      <c r="AQ334" s="3">
        <v>1.4</v>
      </c>
      <c r="AR334">
        <v>120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910</v>
      </c>
      <c r="BK334">
        <v>1</v>
      </c>
      <c r="BL334">
        <v>20</v>
      </c>
      <c r="BM334">
        <v>0</v>
      </c>
      <c r="BN334">
        <v>0</v>
      </c>
      <c r="BO334">
        <v>0</v>
      </c>
    </row>
    <row r="335" spans="1:67" ht="15.75" customHeight="1" x14ac:dyDescent="0.2">
      <c r="A335" s="3">
        <f t="shared" si="4"/>
        <v>2333</v>
      </c>
      <c r="B335" s="3" t="s">
        <v>1421</v>
      </c>
      <c r="C335" s="3" t="s">
        <v>1328</v>
      </c>
      <c r="D335" s="4" t="s">
        <v>1326</v>
      </c>
      <c r="E335" s="4" t="s">
        <v>1327</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0</v>
      </c>
      <c r="AH335" s="3">
        <v>0</v>
      </c>
      <c r="AI335" s="3">
        <v>0</v>
      </c>
      <c r="AJ335" s="3">
        <v>0</v>
      </c>
      <c r="AK335" s="3">
        <v>0</v>
      </c>
      <c r="AL335" s="3" t="s">
        <v>31</v>
      </c>
      <c r="AM335" s="3" t="s">
        <v>77</v>
      </c>
      <c r="AN335" s="3" t="s">
        <v>2027</v>
      </c>
      <c r="AO335" s="3" t="s">
        <v>50</v>
      </c>
      <c r="AP335" s="3">
        <v>30</v>
      </c>
      <c r="AQ335" s="3">
        <v>0.5</v>
      </c>
      <c r="AR335">
        <v>250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911</v>
      </c>
      <c r="BK335">
        <v>1</v>
      </c>
      <c r="BL335">
        <v>20</v>
      </c>
      <c r="BM335">
        <v>0</v>
      </c>
      <c r="BN335">
        <v>0</v>
      </c>
      <c r="BO335">
        <v>0</v>
      </c>
    </row>
    <row r="336" spans="1:67" ht="15.75" customHeight="1" x14ac:dyDescent="0.2">
      <c r="A336" s="3">
        <f t="shared" ref="A336:A390" si="5">ROW()+1998</f>
        <v>2334</v>
      </c>
      <c r="B336" s="3" t="s">
        <v>1606</v>
      </c>
      <c r="C336" s="3" t="s">
        <v>1607</v>
      </c>
      <c r="D336" s="4" t="s">
        <v>1608</v>
      </c>
      <c r="E336" s="4" t="s">
        <v>1609</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0</v>
      </c>
      <c r="AH336" s="3">
        <v>0</v>
      </c>
      <c r="AI336" s="3">
        <v>0</v>
      </c>
      <c r="AJ336" s="3">
        <v>0</v>
      </c>
      <c r="AK336" s="3">
        <v>0</v>
      </c>
      <c r="AL336" s="3" t="s">
        <v>31</v>
      </c>
      <c r="AM336" s="3" t="s">
        <v>77</v>
      </c>
      <c r="AN336" s="3" t="s">
        <v>2027</v>
      </c>
      <c r="AO336" s="3" t="s">
        <v>50</v>
      </c>
      <c r="AP336" s="3">
        <v>30</v>
      </c>
      <c r="AQ336" s="3">
        <v>1.4</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914</v>
      </c>
      <c r="BK336">
        <v>1</v>
      </c>
      <c r="BL336">
        <v>20</v>
      </c>
      <c r="BM336">
        <v>0</v>
      </c>
      <c r="BN336">
        <v>0</v>
      </c>
      <c r="BO336">
        <v>1</v>
      </c>
    </row>
    <row r="337" spans="1:67" ht="15.75" customHeight="1" x14ac:dyDescent="0.2">
      <c r="A337" s="3">
        <f t="shared" si="5"/>
        <v>2335</v>
      </c>
      <c r="B337" s="3" t="s">
        <v>1104</v>
      </c>
      <c r="C337" s="3" t="s">
        <v>78</v>
      </c>
      <c r="D337" s="4" t="s">
        <v>79</v>
      </c>
      <c r="E337" s="4" t="s">
        <v>80</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90</v>
      </c>
      <c r="Z337" s="3">
        <v>0</v>
      </c>
      <c r="AA337" s="3">
        <v>0</v>
      </c>
      <c r="AB337" s="3">
        <v>0</v>
      </c>
      <c r="AC337" s="3">
        <v>0</v>
      </c>
      <c r="AD337" s="3">
        <v>0</v>
      </c>
      <c r="AE337" s="3">
        <v>0</v>
      </c>
      <c r="AF337" s="3">
        <v>0</v>
      </c>
      <c r="AG337" s="3">
        <v>0</v>
      </c>
      <c r="AH337" s="3">
        <v>0</v>
      </c>
      <c r="AI337" s="3">
        <v>0</v>
      </c>
      <c r="AJ337" s="3">
        <v>0</v>
      </c>
      <c r="AK337" s="3">
        <v>0</v>
      </c>
      <c r="AL337" s="3" t="s">
        <v>31</v>
      </c>
      <c r="AM337" s="3" t="s">
        <v>77</v>
      </c>
      <c r="AN337" s="3" t="s">
        <v>2027</v>
      </c>
      <c r="AO337" s="3" t="s">
        <v>50</v>
      </c>
      <c r="AP337" s="3">
        <v>30</v>
      </c>
      <c r="AQ337" s="3">
        <v>1.6</v>
      </c>
      <c r="AR337">
        <v>300</v>
      </c>
      <c r="AS337">
        <v>10</v>
      </c>
      <c r="AT337" s="6" t="s">
        <v>150</v>
      </c>
      <c r="AU337" s="6" t="s">
        <v>150</v>
      </c>
      <c r="AV337" s="6" t="s">
        <v>150</v>
      </c>
      <c r="AW337" s="6" t="s">
        <v>150</v>
      </c>
      <c r="AX337" s="6" t="s">
        <v>150</v>
      </c>
      <c r="AY337" s="6" t="s">
        <v>150</v>
      </c>
      <c r="AZ337" s="6" t="s">
        <v>150</v>
      </c>
      <c r="BA337" s="6" t="s">
        <v>150</v>
      </c>
      <c r="BB337" s="6" t="s">
        <v>150</v>
      </c>
      <c r="BC337" s="6" t="s">
        <v>150</v>
      </c>
      <c r="BD337" s="6" t="s">
        <v>50</v>
      </c>
      <c r="BE337" s="6" t="s">
        <v>50</v>
      </c>
      <c r="BF337" s="6" t="s">
        <v>50</v>
      </c>
      <c r="BG337" s="6" t="s">
        <v>50</v>
      </c>
      <c r="BH337" s="6" t="s">
        <v>50</v>
      </c>
      <c r="BI337">
        <v>1</v>
      </c>
      <c r="BJ337">
        <v>902</v>
      </c>
      <c r="BK337">
        <v>2</v>
      </c>
      <c r="BL337">
        <v>20</v>
      </c>
      <c r="BM337">
        <v>0</v>
      </c>
      <c r="BN337">
        <v>0</v>
      </c>
      <c r="BO337">
        <v>0</v>
      </c>
    </row>
    <row r="338" spans="1:67" ht="15.75" customHeight="1" x14ac:dyDescent="0.2">
      <c r="A338" s="3">
        <f t="shared" si="5"/>
        <v>2336</v>
      </c>
      <c r="B338" s="3" t="s">
        <v>1105</v>
      </c>
      <c r="C338" s="3" t="s">
        <v>170</v>
      </c>
      <c r="D338" s="4" t="s">
        <v>3137</v>
      </c>
      <c r="E338" s="4" t="s">
        <v>1080</v>
      </c>
      <c r="F338" s="3">
        <v>0</v>
      </c>
      <c r="G338" s="3">
        <v>300</v>
      </c>
      <c r="H338" s="3">
        <v>0</v>
      </c>
      <c r="I338" s="3">
        <v>0</v>
      </c>
      <c r="J338" s="3">
        <v>0</v>
      </c>
      <c r="K338" s="3">
        <v>1</v>
      </c>
      <c r="L338" s="3">
        <v>0</v>
      </c>
      <c r="M338" s="3">
        <v>0</v>
      </c>
      <c r="N338" s="3">
        <v>0</v>
      </c>
      <c r="O338" s="3">
        <v>0</v>
      </c>
      <c r="P338" s="3">
        <v>0</v>
      </c>
      <c r="Q338" s="3">
        <v>0</v>
      </c>
      <c r="R338" s="3">
        <v>0</v>
      </c>
      <c r="S338" s="3">
        <v>0</v>
      </c>
      <c r="T338" s="3">
        <v>0</v>
      </c>
      <c r="U338" s="3">
        <v>0</v>
      </c>
      <c r="V338" s="3">
        <v>0</v>
      </c>
      <c r="W338" s="3">
        <v>0</v>
      </c>
      <c r="X338" s="3">
        <v>0</v>
      </c>
      <c r="Y338" s="3">
        <v>90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2027</v>
      </c>
      <c r="AO338" s="3" t="s">
        <v>50</v>
      </c>
      <c r="AP338" s="3">
        <v>30</v>
      </c>
      <c r="AQ338" s="3">
        <v>1.5</v>
      </c>
      <c r="AR338">
        <v>500</v>
      </c>
      <c r="AS338">
        <v>10</v>
      </c>
      <c r="AT338" s="6" t="s">
        <v>50</v>
      </c>
      <c r="AU338" s="6" t="s">
        <v>50</v>
      </c>
      <c r="AV338" s="6" t="s">
        <v>50</v>
      </c>
      <c r="AW338" s="6" t="s">
        <v>50</v>
      </c>
      <c r="AX338" s="6" t="s">
        <v>50</v>
      </c>
      <c r="AY338" s="6" t="s">
        <v>50</v>
      </c>
      <c r="AZ338" s="6" t="s">
        <v>50</v>
      </c>
      <c r="BA338" s="6" t="s">
        <v>50</v>
      </c>
      <c r="BB338" s="6" t="s">
        <v>50</v>
      </c>
      <c r="BC338" s="6" t="s">
        <v>50</v>
      </c>
      <c r="BD338" s="6" t="s">
        <v>50</v>
      </c>
      <c r="BE338" s="6" t="s">
        <v>50</v>
      </c>
      <c r="BF338" s="6" t="s">
        <v>50</v>
      </c>
      <c r="BG338" s="6" t="s">
        <v>50</v>
      </c>
      <c r="BH338" s="6" t="s">
        <v>50</v>
      </c>
      <c r="BI338">
        <v>1</v>
      </c>
      <c r="BJ338">
        <v>903</v>
      </c>
      <c r="BK338">
        <v>2</v>
      </c>
      <c r="BL338">
        <v>20</v>
      </c>
      <c r="BM338">
        <v>0</v>
      </c>
      <c r="BN338">
        <v>0</v>
      </c>
      <c r="BO338">
        <v>0</v>
      </c>
    </row>
    <row r="339" spans="1:67" ht="15.75" customHeight="1" x14ac:dyDescent="0.2">
      <c r="A339" s="3">
        <f t="shared" si="5"/>
        <v>2337</v>
      </c>
      <c r="B339" s="3" t="s">
        <v>1287</v>
      </c>
      <c r="C339" s="3" t="s">
        <v>1041</v>
      </c>
      <c r="D339" s="4" t="s">
        <v>1042</v>
      </c>
      <c r="E339" s="4" t="s">
        <v>1081</v>
      </c>
      <c r="F339" s="3">
        <v>0</v>
      </c>
      <c r="G339" s="3">
        <v>300</v>
      </c>
      <c r="H339" s="3">
        <v>0</v>
      </c>
      <c r="I339" s="3">
        <v>0</v>
      </c>
      <c r="J339" s="3">
        <v>0</v>
      </c>
      <c r="K339" s="3">
        <v>1</v>
      </c>
      <c r="L339" s="3">
        <v>0</v>
      </c>
      <c r="M339" s="3">
        <v>0</v>
      </c>
      <c r="N339" s="3">
        <v>0</v>
      </c>
      <c r="O339" s="3">
        <v>0</v>
      </c>
      <c r="P339" s="3">
        <v>0</v>
      </c>
      <c r="Q339" s="3">
        <v>0</v>
      </c>
      <c r="R339" s="3">
        <v>0</v>
      </c>
      <c r="S339" s="3">
        <v>0</v>
      </c>
      <c r="T339" s="3">
        <v>0</v>
      </c>
      <c r="U339" s="3">
        <v>0</v>
      </c>
      <c r="V339" s="3">
        <v>0</v>
      </c>
      <c r="W339" s="3">
        <v>0</v>
      </c>
      <c r="X339" s="3">
        <v>0</v>
      </c>
      <c r="Y339" s="3">
        <v>70</v>
      </c>
      <c r="Z339" s="3">
        <v>0</v>
      </c>
      <c r="AA339" s="3">
        <v>0</v>
      </c>
      <c r="AB339" s="3">
        <v>0</v>
      </c>
      <c r="AC339" s="3">
        <v>0</v>
      </c>
      <c r="AD339" s="3">
        <v>0</v>
      </c>
      <c r="AE339" s="3">
        <v>0</v>
      </c>
      <c r="AF339" s="3">
        <v>0</v>
      </c>
      <c r="AG339" s="3">
        <v>0</v>
      </c>
      <c r="AH339" s="3">
        <v>0</v>
      </c>
      <c r="AI339" s="3">
        <v>0</v>
      </c>
      <c r="AJ339" s="3">
        <v>0</v>
      </c>
      <c r="AK339" s="3">
        <v>0</v>
      </c>
      <c r="AL339" s="3" t="s">
        <v>31</v>
      </c>
      <c r="AM339" s="3" t="s">
        <v>77</v>
      </c>
      <c r="AN339" s="3" t="s">
        <v>2027</v>
      </c>
      <c r="AO339" s="3" t="s">
        <v>50</v>
      </c>
      <c r="AP339" s="3">
        <v>30</v>
      </c>
      <c r="AQ339" s="3">
        <v>1.4</v>
      </c>
      <c r="AR339">
        <v>300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904</v>
      </c>
      <c r="BK339">
        <v>2</v>
      </c>
      <c r="BL339">
        <v>20</v>
      </c>
      <c r="BM339">
        <v>0</v>
      </c>
      <c r="BN339">
        <v>0</v>
      </c>
      <c r="BO339">
        <v>0</v>
      </c>
    </row>
    <row r="340" spans="1:67" ht="15.75" customHeight="1" x14ac:dyDescent="0.2">
      <c r="A340" s="3">
        <f t="shared" si="5"/>
        <v>2338</v>
      </c>
      <c r="B340" s="3" t="s">
        <v>1051</v>
      </c>
      <c r="C340" s="3" t="s">
        <v>1051</v>
      </c>
      <c r="D340" s="4" t="s">
        <v>1050</v>
      </c>
      <c r="E340" s="4" t="s">
        <v>1052</v>
      </c>
      <c r="F340" s="3">
        <v>0</v>
      </c>
      <c r="G340" s="3">
        <v>300</v>
      </c>
      <c r="H340" s="3">
        <v>0</v>
      </c>
      <c r="I340" s="3">
        <v>20</v>
      </c>
      <c r="J340" s="3">
        <v>0</v>
      </c>
      <c r="K340" s="3">
        <v>1</v>
      </c>
      <c r="L340" s="3">
        <v>0</v>
      </c>
      <c r="M340" s="3">
        <v>0</v>
      </c>
      <c r="N340" s="3">
        <v>0</v>
      </c>
      <c r="O340" s="3">
        <v>0</v>
      </c>
      <c r="P340" s="3">
        <v>0</v>
      </c>
      <c r="Q340" s="3">
        <v>0</v>
      </c>
      <c r="R340" s="3">
        <v>0</v>
      </c>
      <c r="S340" s="3">
        <v>0</v>
      </c>
      <c r="T340" s="3">
        <v>0</v>
      </c>
      <c r="U340" s="3">
        <v>0</v>
      </c>
      <c r="V340" s="3">
        <v>0</v>
      </c>
      <c r="W340" s="3">
        <v>0</v>
      </c>
      <c r="X340" s="3">
        <v>0</v>
      </c>
      <c r="Y340" s="3">
        <v>70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2028</v>
      </c>
      <c r="AO340" s="3" t="s">
        <v>50</v>
      </c>
      <c r="AP340" s="3">
        <v>30</v>
      </c>
      <c r="AQ340" s="3">
        <v>2</v>
      </c>
      <c r="AR340">
        <v>1500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905</v>
      </c>
      <c r="BK340">
        <v>2</v>
      </c>
      <c r="BL340">
        <v>40</v>
      </c>
      <c r="BM340">
        <v>0</v>
      </c>
      <c r="BN340">
        <v>0</v>
      </c>
      <c r="BO340">
        <v>0</v>
      </c>
    </row>
    <row r="341" spans="1:67" ht="15.75" customHeight="1" x14ac:dyDescent="0.2">
      <c r="A341" s="3">
        <f t="shared" si="5"/>
        <v>2339</v>
      </c>
      <c r="B341" s="3" t="s">
        <v>3086</v>
      </c>
      <c r="C341" s="3" t="s">
        <v>3086</v>
      </c>
      <c r="D341" s="4" t="s">
        <v>3150</v>
      </c>
      <c r="E341" s="4" t="s">
        <v>3087</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70</v>
      </c>
      <c r="Z341" s="3">
        <v>0</v>
      </c>
      <c r="AA341" s="3">
        <v>0</v>
      </c>
      <c r="AB341" s="3">
        <v>0</v>
      </c>
      <c r="AC341" s="3">
        <v>0</v>
      </c>
      <c r="AD341" s="3">
        <v>0</v>
      </c>
      <c r="AE341" s="3">
        <v>0</v>
      </c>
      <c r="AF341" s="3">
        <v>0</v>
      </c>
      <c r="AG341" s="3">
        <v>0</v>
      </c>
      <c r="AH341" s="3">
        <v>0</v>
      </c>
      <c r="AI341" s="3">
        <v>0</v>
      </c>
      <c r="AJ341" s="3">
        <v>0</v>
      </c>
      <c r="AK341" s="3">
        <v>0</v>
      </c>
      <c r="AL341" s="3" t="s">
        <v>31</v>
      </c>
      <c r="AM341" s="3" t="s">
        <v>77</v>
      </c>
      <c r="AN341" s="3" t="s">
        <v>3131</v>
      </c>
      <c r="AO341" s="3" t="s">
        <v>50</v>
      </c>
      <c r="AP341" s="3">
        <v>30</v>
      </c>
      <c r="AQ341" s="3">
        <v>1.4</v>
      </c>
      <c r="AR341">
        <v>250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1330</v>
      </c>
      <c r="BK341">
        <v>1</v>
      </c>
      <c r="BL341">
        <v>20</v>
      </c>
      <c r="BM341">
        <v>1</v>
      </c>
      <c r="BN341">
        <v>0</v>
      </c>
      <c r="BO341">
        <v>0</v>
      </c>
    </row>
    <row r="342" spans="1:67" ht="15.75" customHeight="1" x14ac:dyDescent="0.2">
      <c r="A342" s="3">
        <f t="shared" si="5"/>
        <v>2340</v>
      </c>
      <c r="B342" s="3" t="s">
        <v>3088</v>
      </c>
      <c r="C342" s="3" t="s">
        <v>3088</v>
      </c>
      <c r="D342" s="4" t="s">
        <v>3151</v>
      </c>
      <c r="E342" s="4" t="s">
        <v>3089</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70</v>
      </c>
      <c r="Z342" s="3">
        <v>0</v>
      </c>
      <c r="AA342" s="3">
        <v>0</v>
      </c>
      <c r="AB342" s="3">
        <v>0</v>
      </c>
      <c r="AC342" s="3">
        <v>0</v>
      </c>
      <c r="AD342" s="3">
        <v>0</v>
      </c>
      <c r="AE342" s="3">
        <v>0</v>
      </c>
      <c r="AF342" s="3">
        <v>0</v>
      </c>
      <c r="AG342" s="3">
        <v>0</v>
      </c>
      <c r="AH342" s="3">
        <v>0</v>
      </c>
      <c r="AI342" s="3">
        <v>0</v>
      </c>
      <c r="AJ342" s="3">
        <v>0</v>
      </c>
      <c r="AK342" s="3">
        <v>0</v>
      </c>
      <c r="AL342" s="3" t="s">
        <v>31</v>
      </c>
      <c r="AM342" s="3" t="s">
        <v>77</v>
      </c>
      <c r="AN342" s="3" t="s">
        <v>3131</v>
      </c>
      <c r="AO342" s="3" t="s">
        <v>50</v>
      </c>
      <c r="AP342" s="3">
        <v>30</v>
      </c>
      <c r="AQ342" s="3">
        <v>1.4</v>
      </c>
      <c r="AR342">
        <v>250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1331</v>
      </c>
      <c r="BK342">
        <v>1</v>
      </c>
      <c r="BL342">
        <v>20</v>
      </c>
      <c r="BM342">
        <v>1</v>
      </c>
      <c r="BN342">
        <v>0</v>
      </c>
      <c r="BO342">
        <v>0</v>
      </c>
    </row>
    <row r="343" spans="1:67" ht="15.75" customHeight="1" x14ac:dyDescent="0.2">
      <c r="A343" s="3">
        <f t="shared" si="5"/>
        <v>2341</v>
      </c>
      <c r="B343" s="3" t="s">
        <v>3090</v>
      </c>
      <c r="C343" s="3" t="s">
        <v>3090</v>
      </c>
      <c r="D343" s="4" t="s">
        <v>3152</v>
      </c>
      <c r="E343" s="4" t="s">
        <v>3134</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70</v>
      </c>
      <c r="Z343" s="3">
        <v>0</v>
      </c>
      <c r="AA343" s="3">
        <v>0</v>
      </c>
      <c r="AB343" s="3">
        <v>0</v>
      </c>
      <c r="AC343" s="3">
        <v>0</v>
      </c>
      <c r="AD343" s="3">
        <v>0</v>
      </c>
      <c r="AE343" s="3">
        <v>0</v>
      </c>
      <c r="AF343" s="3">
        <v>0</v>
      </c>
      <c r="AG343" s="3">
        <v>0</v>
      </c>
      <c r="AH343" s="3">
        <v>0</v>
      </c>
      <c r="AI343" s="3">
        <v>0</v>
      </c>
      <c r="AJ343" s="3">
        <v>0</v>
      </c>
      <c r="AK343" s="3">
        <v>0</v>
      </c>
      <c r="AL343" s="3" t="s">
        <v>31</v>
      </c>
      <c r="AM343" s="3" t="s">
        <v>77</v>
      </c>
      <c r="AN343" s="3" t="s">
        <v>3131</v>
      </c>
      <c r="AO343" s="3" t="s">
        <v>50</v>
      </c>
      <c r="AP343" s="3">
        <v>30</v>
      </c>
      <c r="AQ343" s="3">
        <v>1.4</v>
      </c>
      <c r="AR343">
        <v>250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1332</v>
      </c>
      <c r="BK343">
        <v>1</v>
      </c>
      <c r="BL343">
        <v>20</v>
      </c>
      <c r="BM343">
        <v>1</v>
      </c>
      <c r="BN343">
        <v>0</v>
      </c>
      <c r="BO343">
        <v>0</v>
      </c>
    </row>
    <row r="344" spans="1:67" ht="15.75" customHeight="1" x14ac:dyDescent="0.2">
      <c r="A344" s="3">
        <f t="shared" si="5"/>
        <v>2342</v>
      </c>
      <c r="B344" s="3" t="s">
        <v>3091</v>
      </c>
      <c r="C344" s="3" t="s">
        <v>3091</v>
      </c>
      <c r="D344" s="4" t="s">
        <v>3154</v>
      </c>
      <c r="E344" s="4" t="s">
        <v>3135</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0</v>
      </c>
      <c r="AF344" s="3">
        <v>0</v>
      </c>
      <c r="AG344" s="3">
        <v>0</v>
      </c>
      <c r="AH344" s="3">
        <v>0</v>
      </c>
      <c r="AI344" s="3">
        <v>0</v>
      </c>
      <c r="AJ344" s="3">
        <v>0</v>
      </c>
      <c r="AK344" s="3">
        <v>0</v>
      </c>
      <c r="AL344" s="3" t="s">
        <v>31</v>
      </c>
      <c r="AM344" s="3" t="s">
        <v>77</v>
      </c>
      <c r="AN344" s="3" t="s">
        <v>3131</v>
      </c>
      <c r="AO344" s="3" t="s">
        <v>50</v>
      </c>
      <c r="AP344" s="3">
        <v>30</v>
      </c>
      <c r="AQ344" s="3">
        <v>1.4</v>
      </c>
      <c r="AR344">
        <v>250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1333</v>
      </c>
      <c r="BK344">
        <v>1</v>
      </c>
      <c r="BL344">
        <v>20</v>
      </c>
      <c r="BM344">
        <v>1</v>
      </c>
      <c r="BN344">
        <v>0</v>
      </c>
      <c r="BO344">
        <v>0</v>
      </c>
    </row>
    <row r="345" spans="1:67" ht="15.75" customHeight="1" x14ac:dyDescent="0.2">
      <c r="A345" s="3">
        <f t="shared" si="5"/>
        <v>2343</v>
      </c>
      <c r="B345" s="3" t="s">
        <v>3092</v>
      </c>
      <c r="C345" s="3" t="s">
        <v>3092</v>
      </c>
      <c r="D345" s="4" t="s">
        <v>3420</v>
      </c>
      <c r="E345" s="4" t="s">
        <v>3136</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0</v>
      </c>
      <c r="AF345" s="3">
        <v>0</v>
      </c>
      <c r="AG345" s="3">
        <v>0</v>
      </c>
      <c r="AH345" s="3">
        <v>0</v>
      </c>
      <c r="AI345" s="3">
        <v>0</v>
      </c>
      <c r="AJ345" s="3">
        <v>0</v>
      </c>
      <c r="AK345" s="3">
        <v>0</v>
      </c>
      <c r="AL345" s="3" t="s">
        <v>31</v>
      </c>
      <c r="AM345" s="3" t="s">
        <v>77</v>
      </c>
      <c r="AN345" s="3" t="s">
        <v>3131</v>
      </c>
      <c r="AO345" s="3" t="s">
        <v>50</v>
      </c>
      <c r="AP345" s="3">
        <v>30</v>
      </c>
      <c r="AQ345" s="3">
        <v>1.4</v>
      </c>
      <c r="AR345">
        <v>250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1334</v>
      </c>
      <c r="BK345">
        <v>1</v>
      </c>
      <c r="BL345">
        <v>20</v>
      </c>
      <c r="BM345">
        <v>1</v>
      </c>
      <c r="BN345">
        <v>0</v>
      </c>
      <c r="BO345">
        <v>0</v>
      </c>
    </row>
    <row r="346" spans="1:67" ht="15.75" customHeight="1" x14ac:dyDescent="0.2">
      <c r="A346" s="3">
        <f t="shared" si="5"/>
        <v>2344</v>
      </c>
      <c r="B346" s="3" t="s">
        <v>3138</v>
      </c>
      <c r="C346" s="3" t="s">
        <v>3093</v>
      </c>
      <c r="D346" s="4" t="s">
        <v>3153</v>
      </c>
      <c r="E346" s="4" t="s">
        <v>3094</v>
      </c>
      <c r="F346" s="3">
        <v>0</v>
      </c>
      <c r="G346" s="3">
        <v>300</v>
      </c>
      <c r="H346" s="3">
        <v>0</v>
      </c>
      <c r="I346" s="3">
        <v>0</v>
      </c>
      <c r="J346" s="3">
        <v>0</v>
      </c>
      <c r="K346" s="3">
        <v>1</v>
      </c>
      <c r="L346" s="3">
        <v>0</v>
      </c>
      <c r="M346" s="3">
        <v>0</v>
      </c>
      <c r="N346" s="3">
        <v>0</v>
      </c>
      <c r="O346" s="3">
        <v>0</v>
      </c>
      <c r="P346" s="3">
        <v>0</v>
      </c>
      <c r="Q346" s="3">
        <v>0</v>
      </c>
      <c r="R346" s="3">
        <v>0</v>
      </c>
      <c r="S346" s="3">
        <v>0</v>
      </c>
      <c r="T346" s="3">
        <v>0</v>
      </c>
      <c r="U346" s="3">
        <v>0</v>
      </c>
      <c r="V346" s="3">
        <v>0</v>
      </c>
      <c r="W346" s="3">
        <v>0</v>
      </c>
      <c r="X346" s="3">
        <v>0</v>
      </c>
      <c r="Y346" s="3">
        <v>110</v>
      </c>
      <c r="Z346" s="3">
        <v>0</v>
      </c>
      <c r="AA346" s="3">
        <v>0</v>
      </c>
      <c r="AB346" s="3">
        <v>0</v>
      </c>
      <c r="AC346" s="3">
        <v>0</v>
      </c>
      <c r="AD346" s="3">
        <v>0</v>
      </c>
      <c r="AE346" s="3">
        <v>0</v>
      </c>
      <c r="AF346" s="3">
        <v>0</v>
      </c>
      <c r="AG346" s="3">
        <v>0</v>
      </c>
      <c r="AH346" s="3">
        <v>0</v>
      </c>
      <c r="AI346" s="3">
        <v>0</v>
      </c>
      <c r="AJ346" s="3">
        <v>0</v>
      </c>
      <c r="AK346" s="3">
        <v>0</v>
      </c>
      <c r="AL346" s="3" t="s">
        <v>31</v>
      </c>
      <c r="AM346" s="3" t="s">
        <v>77</v>
      </c>
      <c r="AN346" s="3" t="s">
        <v>3131</v>
      </c>
      <c r="AO346" s="3" t="s">
        <v>50</v>
      </c>
      <c r="AP346" s="3">
        <v>30</v>
      </c>
      <c r="AQ346" s="3">
        <v>1.5</v>
      </c>
      <c r="AR346">
        <v>500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1335</v>
      </c>
      <c r="BK346">
        <v>2</v>
      </c>
      <c r="BL346">
        <v>20</v>
      </c>
      <c r="BM346">
        <v>1</v>
      </c>
      <c r="BN346">
        <v>0</v>
      </c>
      <c r="BO346">
        <v>0</v>
      </c>
    </row>
    <row r="347" spans="1:67" ht="15.75" customHeight="1" x14ac:dyDescent="0.2">
      <c r="A347" s="3">
        <f t="shared" si="5"/>
        <v>2345</v>
      </c>
      <c r="B347" s="3" t="s">
        <v>1602</v>
      </c>
      <c r="C347" s="3" t="s">
        <v>1598</v>
      </c>
      <c r="D347" s="4" t="s">
        <v>1641</v>
      </c>
      <c r="E347" s="4" t="s">
        <v>1600</v>
      </c>
      <c r="F347" s="3">
        <v>0</v>
      </c>
      <c r="G347" s="3">
        <v>300</v>
      </c>
      <c r="H347" s="3">
        <v>0</v>
      </c>
      <c r="I347" s="3">
        <v>20</v>
      </c>
      <c r="J347" s="3">
        <v>0</v>
      </c>
      <c r="K347" s="3">
        <v>1</v>
      </c>
      <c r="L347" s="3">
        <v>0</v>
      </c>
      <c r="M347" s="3">
        <v>0</v>
      </c>
      <c r="N347" s="3">
        <v>0</v>
      </c>
      <c r="O347" s="3">
        <v>0</v>
      </c>
      <c r="P347" s="3">
        <v>0</v>
      </c>
      <c r="Q347" s="3">
        <v>0</v>
      </c>
      <c r="R347" s="3">
        <v>0</v>
      </c>
      <c r="S347" s="3">
        <v>0</v>
      </c>
      <c r="T347" s="3">
        <v>0</v>
      </c>
      <c r="U347" s="3">
        <v>0</v>
      </c>
      <c r="V347" s="3">
        <v>0</v>
      </c>
      <c r="W347" s="3">
        <v>0</v>
      </c>
      <c r="X347" s="3">
        <v>0</v>
      </c>
      <c r="Y347" s="3">
        <v>50</v>
      </c>
      <c r="Z347" s="3">
        <v>0</v>
      </c>
      <c r="AA347" s="3">
        <v>0</v>
      </c>
      <c r="AB347" s="3">
        <v>0</v>
      </c>
      <c r="AC347" s="3">
        <v>0</v>
      </c>
      <c r="AD347" s="3">
        <v>0</v>
      </c>
      <c r="AE347" s="3">
        <v>0</v>
      </c>
      <c r="AF347" s="3">
        <v>0</v>
      </c>
      <c r="AG347" s="3">
        <v>0</v>
      </c>
      <c r="AH347" s="3">
        <v>0</v>
      </c>
      <c r="AI347" s="3">
        <v>0</v>
      </c>
      <c r="AJ347" s="3">
        <v>0</v>
      </c>
      <c r="AK347" s="3">
        <v>0</v>
      </c>
      <c r="AL347" s="3" t="s">
        <v>31</v>
      </c>
      <c r="AM347" s="3" t="s">
        <v>77</v>
      </c>
      <c r="AN347" s="3" t="s">
        <v>2027</v>
      </c>
      <c r="AO347" s="3" t="s">
        <v>50</v>
      </c>
      <c r="AP347" s="3">
        <v>30</v>
      </c>
      <c r="AQ347" s="3">
        <v>1.5</v>
      </c>
      <c r="AR347">
        <v>50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912</v>
      </c>
      <c r="BK347">
        <v>2</v>
      </c>
      <c r="BL347">
        <v>40</v>
      </c>
      <c r="BM347">
        <v>0</v>
      </c>
      <c r="BN347">
        <v>0</v>
      </c>
      <c r="BO347">
        <v>1</v>
      </c>
    </row>
    <row r="348" spans="1:67" ht="15.75" customHeight="1" x14ac:dyDescent="0.2">
      <c r="A348" s="3">
        <f t="shared" si="5"/>
        <v>2346</v>
      </c>
      <c r="B348" s="3" t="s">
        <v>1603</v>
      </c>
      <c r="C348" s="3" t="s">
        <v>1599</v>
      </c>
      <c r="D348" s="4" t="s">
        <v>1640</v>
      </c>
      <c r="E348" s="4" t="s">
        <v>1601</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50</v>
      </c>
      <c r="Z348" s="3">
        <v>0</v>
      </c>
      <c r="AA348" s="3">
        <v>0</v>
      </c>
      <c r="AB348" s="3">
        <v>0</v>
      </c>
      <c r="AC348" s="3">
        <v>0</v>
      </c>
      <c r="AD348" s="3">
        <v>0</v>
      </c>
      <c r="AE348" s="3">
        <v>0</v>
      </c>
      <c r="AF348" s="3">
        <v>0</v>
      </c>
      <c r="AG348" s="3">
        <v>0</v>
      </c>
      <c r="AH348" s="3">
        <v>0</v>
      </c>
      <c r="AI348" s="3">
        <v>0</v>
      </c>
      <c r="AJ348" s="3">
        <v>0</v>
      </c>
      <c r="AK348" s="3">
        <v>0</v>
      </c>
      <c r="AL348" s="3" t="s">
        <v>31</v>
      </c>
      <c r="AM348" s="3" t="s">
        <v>77</v>
      </c>
      <c r="AN348" s="3" t="s">
        <v>2027</v>
      </c>
      <c r="AO348" s="3" t="s">
        <v>50</v>
      </c>
      <c r="AP348" s="3">
        <v>30</v>
      </c>
      <c r="AQ348" s="3">
        <v>1.7</v>
      </c>
      <c r="AR348">
        <v>50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913</v>
      </c>
      <c r="BK348">
        <v>2</v>
      </c>
      <c r="BL348">
        <v>40</v>
      </c>
      <c r="BM348">
        <v>0</v>
      </c>
      <c r="BN348">
        <v>0</v>
      </c>
      <c r="BO348">
        <v>1</v>
      </c>
    </row>
    <row r="349" spans="1:67" s="23" customFormat="1" ht="15.75" customHeight="1" x14ac:dyDescent="0.2">
      <c r="A349" s="21">
        <f t="shared" si="5"/>
        <v>2347</v>
      </c>
      <c r="B349" s="21" t="s">
        <v>97</v>
      </c>
      <c r="C349" s="21" t="s">
        <v>3419</v>
      </c>
      <c r="D349" s="22" t="s">
        <v>3418</v>
      </c>
      <c r="E349" s="22" t="s">
        <v>2292</v>
      </c>
      <c r="F349" s="21">
        <v>0</v>
      </c>
      <c r="G349" s="21">
        <v>300</v>
      </c>
      <c r="H349" s="21">
        <v>0</v>
      </c>
      <c r="I349" s="21">
        <v>20</v>
      </c>
      <c r="J349" s="21">
        <v>150</v>
      </c>
      <c r="K349" s="21">
        <v>1</v>
      </c>
      <c r="L349" s="21">
        <v>0</v>
      </c>
      <c r="M349" s="21">
        <v>0</v>
      </c>
      <c r="N349" s="21">
        <v>0</v>
      </c>
      <c r="O349" s="21">
        <v>0</v>
      </c>
      <c r="P349" s="21">
        <v>0</v>
      </c>
      <c r="Q349" s="21">
        <v>0</v>
      </c>
      <c r="R349" s="21">
        <v>0</v>
      </c>
      <c r="S349" s="21">
        <v>0</v>
      </c>
      <c r="T349" s="21">
        <v>0</v>
      </c>
      <c r="U349" s="21">
        <v>0</v>
      </c>
      <c r="V349" s="21">
        <v>0</v>
      </c>
      <c r="W349" s="21">
        <v>0</v>
      </c>
      <c r="X349" s="21">
        <v>0</v>
      </c>
      <c r="Y349" s="21">
        <v>0</v>
      </c>
      <c r="Z349" s="21">
        <v>0</v>
      </c>
      <c r="AA349" s="21">
        <v>0</v>
      </c>
      <c r="AB349" s="21">
        <v>0</v>
      </c>
      <c r="AC349" s="21">
        <v>0</v>
      </c>
      <c r="AD349" s="21">
        <v>0</v>
      </c>
      <c r="AE349" s="21">
        <v>0</v>
      </c>
      <c r="AF349" s="21">
        <v>0</v>
      </c>
      <c r="AG349" s="21">
        <v>0</v>
      </c>
      <c r="AH349" s="21">
        <v>0</v>
      </c>
      <c r="AI349" s="21">
        <v>0</v>
      </c>
      <c r="AJ349" s="21">
        <v>0</v>
      </c>
      <c r="AK349" s="21">
        <v>0</v>
      </c>
      <c r="AL349" s="21" t="s">
        <v>31</v>
      </c>
      <c r="AM349" s="21" t="s">
        <v>2648</v>
      </c>
      <c r="AN349" s="21" t="s">
        <v>2649</v>
      </c>
      <c r="AO349" s="21" t="s">
        <v>50</v>
      </c>
      <c r="AP349" s="21">
        <v>30</v>
      </c>
      <c r="AQ349" s="21">
        <v>20</v>
      </c>
      <c r="AR349" s="23">
        <v>1500</v>
      </c>
      <c r="AS349" s="23">
        <v>1200</v>
      </c>
      <c r="AT349" s="24" t="s">
        <v>50</v>
      </c>
      <c r="AU349" s="24" t="s">
        <v>50</v>
      </c>
      <c r="AV349" s="24" t="s">
        <v>50</v>
      </c>
      <c r="AW349" s="24" t="s">
        <v>50</v>
      </c>
      <c r="AX349" s="24" t="s">
        <v>50</v>
      </c>
      <c r="AY349" s="24" t="s">
        <v>50</v>
      </c>
      <c r="AZ349" s="24" t="s">
        <v>50</v>
      </c>
      <c r="BA349" s="24" t="s">
        <v>50</v>
      </c>
      <c r="BB349" s="24" t="s">
        <v>50</v>
      </c>
      <c r="BC349" s="24" t="s">
        <v>50</v>
      </c>
      <c r="BD349" s="24" t="s">
        <v>50</v>
      </c>
      <c r="BE349" s="24" t="s">
        <v>50</v>
      </c>
      <c r="BF349" s="24" t="s">
        <v>50</v>
      </c>
      <c r="BG349" s="24" t="s">
        <v>50</v>
      </c>
      <c r="BH349" s="24" t="s">
        <v>50</v>
      </c>
      <c r="BI349" s="23">
        <v>0</v>
      </c>
      <c r="BJ349" s="23">
        <v>0</v>
      </c>
      <c r="BK349" s="23">
        <v>1</v>
      </c>
      <c r="BL349" s="23">
        <v>30</v>
      </c>
      <c r="BM349">
        <v>0</v>
      </c>
      <c r="BN349">
        <v>0</v>
      </c>
      <c r="BO349" s="23">
        <v>0</v>
      </c>
    </row>
    <row r="350" spans="1:67" ht="15.75" customHeight="1" x14ac:dyDescent="0.2">
      <c r="A350" s="3">
        <f t="shared" si="5"/>
        <v>2348</v>
      </c>
      <c r="B350" s="3" t="s">
        <v>2647</v>
      </c>
      <c r="C350" s="3" t="s">
        <v>2647</v>
      </c>
      <c r="D350" s="4" t="s">
        <v>2679</v>
      </c>
      <c r="E350" s="4" t="s">
        <v>2646</v>
      </c>
      <c r="F350" s="3">
        <v>1</v>
      </c>
      <c r="G350" s="3">
        <v>300</v>
      </c>
      <c r="H350" s="3">
        <v>0</v>
      </c>
      <c r="I350" s="3">
        <v>20</v>
      </c>
      <c r="J350" s="3">
        <v>0</v>
      </c>
      <c r="K350" s="3">
        <v>1</v>
      </c>
      <c r="L350" s="3">
        <v>0</v>
      </c>
      <c r="M350" s="3">
        <v>0</v>
      </c>
      <c r="N350" s="3">
        <v>0</v>
      </c>
      <c r="O350" s="3">
        <v>0</v>
      </c>
      <c r="P350" s="3">
        <v>50</v>
      </c>
      <c r="Q350" s="3">
        <v>0</v>
      </c>
      <c r="R350" s="3">
        <v>0</v>
      </c>
      <c r="S350" s="3">
        <v>0</v>
      </c>
      <c r="T350" s="3">
        <v>0</v>
      </c>
      <c r="U350" s="3">
        <v>0</v>
      </c>
      <c r="V350" s="3">
        <v>0</v>
      </c>
      <c r="W350" s="3">
        <v>0</v>
      </c>
      <c r="X350" s="3">
        <v>0</v>
      </c>
      <c r="Y350" s="3">
        <v>50</v>
      </c>
      <c r="Z350" s="3">
        <v>0</v>
      </c>
      <c r="AA350" s="3">
        <v>0</v>
      </c>
      <c r="AB350" s="3">
        <v>0</v>
      </c>
      <c r="AC350" s="3">
        <v>0</v>
      </c>
      <c r="AD350" s="3">
        <v>0</v>
      </c>
      <c r="AE350" s="3">
        <v>0</v>
      </c>
      <c r="AF350" s="3">
        <v>0</v>
      </c>
      <c r="AG350" s="3">
        <v>0</v>
      </c>
      <c r="AH350" s="3">
        <v>0</v>
      </c>
      <c r="AI350" s="3">
        <v>0</v>
      </c>
      <c r="AJ350" s="3">
        <v>0</v>
      </c>
      <c r="AK350" s="3">
        <v>0</v>
      </c>
      <c r="AL350" s="3" t="s">
        <v>31</v>
      </c>
      <c r="AM350" s="3" t="s">
        <v>2648</v>
      </c>
      <c r="AN350" s="3" t="s">
        <v>2649</v>
      </c>
      <c r="AO350" s="3" t="s">
        <v>50</v>
      </c>
      <c r="AP350" s="3">
        <v>30</v>
      </c>
      <c r="AQ350" s="3">
        <v>1.2</v>
      </c>
      <c r="AR350">
        <v>50</v>
      </c>
      <c r="AS350">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1800</v>
      </c>
      <c r="BK350">
        <v>2</v>
      </c>
      <c r="BL350">
        <v>20</v>
      </c>
      <c r="BM350">
        <v>0</v>
      </c>
      <c r="BN350">
        <v>0</v>
      </c>
      <c r="BO350">
        <v>0</v>
      </c>
    </row>
    <row r="351" spans="1:67" ht="15.75" customHeight="1" x14ac:dyDescent="0.2">
      <c r="A351" s="3">
        <f t="shared" si="5"/>
        <v>2349</v>
      </c>
      <c r="B351" s="3" t="s">
        <v>2682</v>
      </c>
      <c r="C351" s="3" t="s">
        <v>2682</v>
      </c>
      <c r="D351" s="4" t="s">
        <v>2680</v>
      </c>
      <c r="E351" s="4" t="s">
        <v>2681</v>
      </c>
      <c r="F351" s="3">
        <v>1</v>
      </c>
      <c r="G351" s="3">
        <v>300</v>
      </c>
      <c r="H351" s="3">
        <v>0</v>
      </c>
      <c r="I351" s="3">
        <v>20</v>
      </c>
      <c r="J351" s="3">
        <v>0</v>
      </c>
      <c r="K351" s="3">
        <v>1</v>
      </c>
      <c r="L351" s="3">
        <v>0</v>
      </c>
      <c r="M351" s="3">
        <v>0</v>
      </c>
      <c r="N351" s="3">
        <v>0</v>
      </c>
      <c r="O351" s="3">
        <v>0</v>
      </c>
      <c r="P351" s="3">
        <v>50</v>
      </c>
      <c r="Q351" s="3">
        <v>0</v>
      </c>
      <c r="R351" s="3">
        <v>0</v>
      </c>
      <c r="S351" s="3">
        <v>0</v>
      </c>
      <c r="T351" s="3">
        <v>0</v>
      </c>
      <c r="U351" s="3">
        <v>0</v>
      </c>
      <c r="V351" s="3">
        <v>0</v>
      </c>
      <c r="W351" s="3">
        <v>0</v>
      </c>
      <c r="X351" s="3">
        <v>0</v>
      </c>
      <c r="Y351" s="3">
        <v>50</v>
      </c>
      <c r="Z351" s="3">
        <v>0</v>
      </c>
      <c r="AA351" s="3">
        <v>0</v>
      </c>
      <c r="AB351" s="3">
        <v>0</v>
      </c>
      <c r="AC351" s="3">
        <v>0</v>
      </c>
      <c r="AD351" s="3">
        <v>0</v>
      </c>
      <c r="AE351" s="3">
        <v>0</v>
      </c>
      <c r="AF351" s="3">
        <v>0</v>
      </c>
      <c r="AG351" s="3">
        <v>0</v>
      </c>
      <c r="AH351" s="3">
        <v>0</v>
      </c>
      <c r="AI351" s="3">
        <v>0</v>
      </c>
      <c r="AJ351" s="3">
        <v>0</v>
      </c>
      <c r="AK351" s="3">
        <v>0</v>
      </c>
      <c r="AL351" s="3" t="s">
        <v>31</v>
      </c>
      <c r="AM351" s="3" t="s">
        <v>2648</v>
      </c>
      <c r="AN351" s="3" t="s">
        <v>2649</v>
      </c>
      <c r="AO351" s="3" t="s">
        <v>50</v>
      </c>
      <c r="AP351" s="3">
        <v>30</v>
      </c>
      <c r="AQ351" s="3">
        <v>1.2</v>
      </c>
      <c r="AR351">
        <v>50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1801</v>
      </c>
      <c r="BK351">
        <v>2</v>
      </c>
      <c r="BL351">
        <v>20</v>
      </c>
      <c r="BM351">
        <v>0</v>
      </c>
      <c r="BN351">
        <v>0</v>
      </c>
      <c r="BO351">
        <v>0</v>
      </c>
    </row>
    <row r="352" spans="1:67" ht="15.75" customHeight="1" x14ac:dyDescent="0.2">
      <c r="A352" s="3">
        <f t="shared" si="5"/>
        <v>2350</v>
      </c>
      <c r="B352" s="3" t="s">
        <v>2693</v>
      </c>
      <c r="C352" s="3" t="s">
        <v>2693</v>
      </c>
      <c r="D352" s="4" t="s">
        <v>2692</v>
      </c>
      <c r="E352" s="4" t="s">
        <v>2694</v>
      </c>
      <c r="F352" s="3">
        <v>1</v>
      </c>
      <c r="G352" s="3">
        <v>300</v>
      </c>
      <c r="H352" s="3">
        <v>0</v>
      </c>
      <c r="I352" s="3">
        <v>20</v>
      </c>
      <c r="J352" s="3">
        <v>0</v>
      </c>
      <c r="K352" s="3">
        <v>1</v>
      </c>
      <c r="L352" s="3">
        <v>0</v>
      </c>
      <c r="M352" s="3">
        <v>0</v>
      </c>
      <c r="N352" s="3">
        <v>0</v>
      </c>
      <c r="O352" s="3">
        <v>0</v>
      </c>
      <c r="P352" s="3">
        <v>50</v>
      </c>
      <c r="Q352" s="3">
        <v>0</v>
      </c>
      <c r="R352" s="3">
        <v>0</v>
      </c>
      <c r="S352" s="3">
        <v>0</v>
      </c>
      <c r="T352" s="3">
        <v>0</v>
      </c>
      <c r="U352" s="3">
        <v>0</v>
      </c>
      <c r="V352" s="3">
        <v>0</v>
      </c>
      <c r="W352" s="3">
        <v>0</v>
      </c>
      <c r="X352" s="3">
        <v>0</v>
      </c>
      <c r="Y352" s="3">
        <v>50</v>
      </c>
      <c r="Z352" s="3">
        <v>0</v>
      </c>
      <c r="AA352" s="3">
        <v>0</v>
      </c>
      <c r="AB352" s="3">
        <v>0</v>
      </c>
      <c r="AC352" s="3">
        <v>0</v>
      </c>
      <c r="AD352" s="3">
        <v>0</v>
      </c>
      <c r="AE352" s="3">
        <v>0</v>
      </c>
      <c r="AF352" s="3">
        <v>0</v>
      </c>
      <c r="AG352" s="3">
        <v>0</v>
      </c>
      <c r="AH352" s="3">
        <v>0</v>
      </c>
      <c r="AI352" s="3">
        <v>0</v>
      </c>
      <c r="AJ352" s="3">
        <v>0</v>
      </c>
      <c r="AK352" s="3">
        <v>0</v>
      </c>
      <c r="AL352" s="3" t="s">
        <v>31</v>
      </c>
      <c r="AM352" s="3" t="s">
        <v>2648</v>
      </c>
      <c r="AN352" s="3" t="s">
        <v>2649</v>
      </c>
      <c r="AO352" s="3" t="s">
        <v>50</v>
      </c>
      <c r="AP352" s="3">
        <v>30</v>
      </c>
      <c r="AQ352" s="3">
        <v>1.2</v>
      </c>
      <c r="AR352">
        <v>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1802</v>
      </c>
      <c r="BK352">
        <v>2</v>
      </c>
      <c r="BL352">
        <v>20</v>
      </c>
      <c r="BM352">
        <v>0</v>
      </c>
      <c r="BN352">
        <v>0</v>
      </c>
      <c r="BO352">
        <v>0</v>
      </c>
    </row>
    <row r="353" spans="1:67" ht="15.75" customHeight="1" x14ac:dyDescent="0.2">
      <c r="A353" s="3">
        <f t="shared" si="5"/>
        <v>2351</v>
      </c>
      <c r="B353" s="3" t="s">
        <v>2685</v>
      </c>
      <c r="C353" s="3" t="s">
        <v>2685</v>
      </c>
      <c r="D353" s="4" t="s">
        <v>2683</v>
      </c>
      <c r="E353" s="4" t="s">
        <v>2684</v>
      </c>
      <c r="F353" s="3">
        <v>1</v>
      </c>
      <c r="G353" s="3">
        <v>300</v>
      </c>
      <c r="H353" s="3">
        <v>0</v>
      </c>
      <c r="I353" s="3">
        <v>20</v>
      </c>
      <c r="J353" s="3">
        <v>0</v>
      </c>
      <c r="K353" s="3">
        <v>1</v>
      </c>
      <c r="L353" s="3">
        <v>0</v>
      </c>
      <c r="M353" s="3">
        <v>0</v>
      </c>
      <c r="N353" s="3">
        <v>0</v>
      </c>
      <c r="O353" s="3">
        <v>0</v>
      </c>
      <c r="P353" s="3">
        <v>50</v>
      </c>
      <c r="Q353" s="3">
        <v>0</v>
      </c>
      <c r="R353" s="3">
        <v>0</v>
      </c>
      <c r="S353" s="3">
        <v>0</v>
      </c>
      <c r="T353" s="3">
        <v>0</v>
      </c>
      <c r="U353" s="3">
        <v>0</v>
      </c>
      <c r="V353" s="3">
        <v>0</v>
      </c>
      <c r="W353" s="3">
        <v>0</v>
      </c>
      <c r="X353" s="3">
        <v>0</v>
      </c>
      <c r="Y353" s="3">
        <v>50</v>
      </c>
      <c r="Z353" s="3">
        <v>0</v>
      </c>
      <c r="AA353" s="3">
        <v>0</v>
      </c>
      <c r="AB353" s="3">
        <v>0</v>
      </c>
      <c r="AC353" s="3">
        <v>0</v>
      </c>
      <c r="AD353" s="3">
        <v>0</v>
      </c>
      <c r="AE353" s="3">
        <v>0</v>
      </c>
      <c r="AF353" s="3">
        <v>0</v>
      </c>
      <c r="AG353" s="3">
        <v>0</v>
      </c>
      <c r="AH353" s="3">
        <v>0</v>
      </c>
      <c r="AI353" s="3">
        <v>0</v>
      </c>
      <c r="AJ353" s="3">
        <v>0</v>
      </c>
      <c r="AK353" s="3">
        <v>0</v>
      </c>
      <c r="AL353" s="3" t="s">
        <v>31</v>
      </c>
      <c r="AM353" s="3" t="s">
        <v>2648</v>
      </c>
      <c r="AN353" s="3" t="s">
        <v>2649</v>
      </c>
      <c r="AO353" s="3" t="s">
        <v>50</v>
      </c>
      <c r="AP353" s="3">
        <v>30</v>
      </c>
      <c r="AQ353" s="3">
        <v>1.2</v>
      </c>
      <c r="AR353">
        <v>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1803</v>
      </c>
      <c r="BK353">
        <v>2</v>
      </c>
      <c r="BL353">
        <v>20</v>
      </c>
      <c r="BM353">
        <v>0</v>
      </c>
      <c r="BN353">
        <v>0</v>
      </c>
      <c r="BO353">
        <v>0</v>
      </c>
    </row>
    <row r="354" spans="1:67" ht="15.75" customHeight="1" x14ac:dyDescent="0.2">
      <c r="A354" s="3">
        <f t="shared" si="5"/>
        <v>2352</v>
      </c>
      <c r="B354" s="3" t="s">
        <v>2688</v>
      </c>
      <c r="C354" s="3" t="s">
        <v>2688</v>
      </c>
      <c r="D354" s="4" t="s">
        <v>2686</v>
      </c>
      <c r="E354" s="4" t="s">
        <v>2687</v>
      </c>
      <c r="F354" s="3">
        <v>1</v>
      </c>
      <c r="G354" s="3">
        <v>300</v>
      </c>
      <c r="H354" s="3">
        <v>0</v>
      </c>
      <c r="I354" s="3">
        <v>20</v>
      </c>
      <c r="J354" s="3">
        <v>0</v>
      </c>
      <c r="K354" s="3">
        <v>1</v>
      </c>
      <c r="L354" s="3">
        <v>0</v>
      </c>
      <c r="M354" s="3">
        <v>0</v>
      </c>
      <c r="N354" s="3">
        <v>0</v>
      </c>
      <c r="O354" s="3">
        <v>0</v>
      </c>
      <c r="P354" s="3">
        <v>50</v>
      </c>
      <c r="Q354" s="3">
        <v>0</v>
      </c>
      <c r="R354" s="3">
        <v>0</v>
      </c>
      <c r="S354" s="3">
        <v>0</v>
      </c>
      <c r="T354" s="3">
        <v>0</v>
      </c>
      <c r="U354" s="3">
        <v>0</v>
      </c>
      <c r="V354" s="3">
        <v>0</v>
      </c>
      <c r="W354" s="3">
        <v>0</v>
      </c>
      <c r="X354" s="3">
        <v>0</v>
      </c>
      <c r="Y354" s="3">
        <v>50</v>
      </c>
      <c r="Z354" s="3">
        <v>0</v>
      </c>
      <c r="AA354" s="3">
        <v>0</v>
      </c>
      <c r="AB354" s="3">
        <v>0</v>
      </c>
      <c r="AC354" s="3">
        <v>0</v>
      </c>
      <c r="AD354" s="3">
        <v>0</v>
      </c>
      <c r="AE354" s="3">
        <v>0</v>
      </c>
      <c r="AF354" s="3">
        <v>0</v>
      </c>
      <c r="AG354" s="3">
        <v>0</v>
      </c>
      <c r="AH354" s="3">
        <v>0</v>
      </c>
      <c r="AI354" s="3">
        <v>0</v>
      </c>
      <c r="AJ354" s="3">
        <v>0</v>
      </c>
      <c r="AK354" s="3">
        <v>0</v>
      </c>
      <c r="AL354" s="3" t="s">
        <v>31</v>
      </c>
      <c r="AM354" s="3" t="s">
        <v>2648</v>
      </c>
      <c r="AN354" s="3" t="s">
        <v>2649</v>
      </c>
      <c r="AO354" s="3" t="s">
        <v>50</v>
      </c>
      <c r="AP354" s="3">
        <v>30</v>
      </c>
      <c r="AQ354" s="3">
        <v>1.2</v>
      </c>
      <c r="AR354">
        <v>50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1804</v>
      </c>
      <c r="BK354">
        <v>2</v>
      </c>
      <c r="BL354">
        <v>20</v>
      </c>
      <c r="BM354">
        <v>0</v>
      </c>
      <c r="BN354">
        <v>0</v>
      </c>
      <c r="BO354">
        <v>0</v>
      </c>
    </row>
    <row r="355" spans="1:67" ht="15.75" customHeight="1" x14ac:dyDescent="0.2">
      <c r="A355" s="3">
        <f t="shared" si="5"/>
        <v>2353</v>
      </c>
      <c r="B355" s="3" t="s">
        <v>2691</v>
      </c>
      <c r="C355" s="3" t="s">
        <v>2691</v>
      </c>
      <c r="D355" s="4" t="s">
        <v>2689</v>
      </c>
      <c r="E355" s="4" t="s">
        <v>2690</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0</v>
      </c>
      <c r="AF355" s="3">
        <v>0</v>
      </c>
      <c r="AG355" s="3">
        <v>0</v>
      </c>
      <c r="AH355" s="3">
        <v>0</v>
      </c>
      <c r="AI355" s="3">
        <v>0</v>
      </c>
      <c r="AJ355" s="3">
        <v>0</v>
      </c>
      <c r="AK355" s="3">
        <v>0</v>
      </c>
      <c r="AL355" s="3" t="s">
        <v>31</v>
      </c>
      <c r="AM355" s="3" t="s">
        <v>2648</v>
      </c>
      <c r="AN355" s="3" t="s">
        <v>2649</v>
      </c>
      <c r="AO355" s="3" t="s">
        <v>50</v>
      </c>
      <c r="AP355" s="3">
        <v>30</v>
      </c>
      <c r="AQ355" s="3">
        <v>1.2</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1805</v>
      </c>
      <c r="BK355">
        <v>2</v>
      </c>
      <c r="BL355">
        <v>20</v>
      </c>
      <c r="BM355">
        <v>0</v>
      </c>
      <c r="BN355">
        <v>0</v>
      </c>
      <c r="BO355">
        <v>0</v>
      </c>
    </row>
    <row r="356" spans="1:67" ht="15.75" customHeight="1" x14ac:dyDescent="0.2">
      <c r="A356" s="3">
        <f t="shared" si="5"/>
        <v>2354</v>
      </c>
      <c r="B356" s="3" t="s">
        <v>2701</v>
      </c>
      <c r="C356" s="3" t="s">
        <v>2701</v>
      </c>
      <c r="D356" s="4" t="s">
        <v>2697</v>
      </c>
      <c r="E356" s="4" t="s">
        <v>2699</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0</v>
      </c>
      <c r="AF356" s="3">
        <v>0</v>
      </c>
      <c r="AG356" s="3">
        <v>0</v>
      </c>
      <c r="AH356" s="3">
        <v>0</v>
      </c>
      <c r="AI356" s="3">
        <v>0</v>
      </c>
      <c r="AJ356" s="3">
        <v>0</v>
      </c>
      <c r="AK356" s="3">
        <v>0</v>
      </c>
      <c r="AL356" s="3" t="s">
        <v>31</v>
      </c>
      <c r="AM356" s="3" t="s">
        <v>2648</v>
      </c>
      <c r="AN356" s="3" t="s">
        <v>2649</v>
      </c>
      <c r="AO356" s="3" t="s">
        <v>50</v>
      </c>
      <c r="AP356" s="3">
        <v>30</v>
      </c>
      <c r="AQ356" s="3">
        <v>1.2</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1806</v>
      </c>
      <c r="BK356">
        <v>2</v>
      </c>
      <c r="BL356">
        <v>20</v>
      </c>
      <c r="BM356">
        <v>0</v>
      </c>
      <c r="BN356">
        <v>0</v>
      </c>
      <c r="BO356">
        <v>0</v>
      </c>
    </row>
    <row r="357" spans="1:67" s="43" customFormat="1" ht="15.75" customHeight="1" x14ac:dyDescent="0.2">
      <c r="A357" s="40">
        <f t="shared" si="5"/>
        <v>2355</v>
      </c>
      <c r="B357" s="40" t="s">
        <v>2685</v>
      </c>
      <c r="C357" s="40" t="s">
        <v>2702</v>
      </c>
      <c r="D357" s="45" t="s">
        <v>2698</v>
      </c>
      <c r="E357" s="45" t="s">
        <v>2700</v>
      </c>
      <c r="F357" s="40">
        <v>1</v>
      </c>
      <c r="G357" s="40">
        <v>300</v>
      </c>
      <c r="H357" s="40">
        <v>0</v>
      </c>
      <c r="I357" s="40">
        <v>20</v>
      </c>
      <c r="J357" s="40">
        <v>0</v>
      </c>
      <c r="K357" s="40">
        <v>1</v>
      </c>
      <c r="L357" s="40">
        <v>0</v>
      </c>
      <c r="M357" s="40">
        <v>0</v>
      </c>
      <c r="N357" s="40">
        <v>0</v>
      </c>
      <c r="O357" s="40">
        <v>0</v>
      </c>
      <c r="P357" s="40">
        <v>50</v>
      </c>
      <c r="Q357" s="40">
        <v>0</v>
      </c>
      <c r="R357" s="40">
        <v>0</v>
      </c>
      <c r="S357" s="40">
        <v>0</v>
      </c>
      <c r="T357" s="40">
        <v>0</v>
      </c>
      <c r="U357" s="40">
        <v>0</v>
      </c>
      <c r="V357" s="40">
        <v>0</v>
      </c>
      <c r="W357" s="40">
        <v>0</v>
      </c>
      <c r="X357" s="40">
        <v>0</v>
      </c>
      <c r="Y357" s="40">
        <v>50</v>
      </c>
      <c r="Z357" s="40">
        <v>0</v>
      </c>
      <c r="AA357" s="40">
        <v>0</v>
      </c>
      <c r="AB357" s="40">
        <v>0</v>
      </c>
      <c r="AC357" s="40">
        <v>0</v>
      </c>
      <c r="AD357" s="40">
        <v>0</v>
      </c>
      <c r="AE357" s="40">
        <v>0</v>
      </c>
      <c r="AF357" s="40">
        <v>0</v>
      </c>
      <c r="AG357" s="40">
        <v>0</v>
      </c>
      <c r="AH357" s="40">
        <v>0</v>
      </c>
      <c r="AI357" s="40">
        <v>0</v>
      </c>
      <c r="AJ357" s="40">
        <v>0</v>
      </c>
      <c r="AK357" s="40">
        <v>0</v>
      </c>
      <c r="AL357" s="40" t="s">
        <v>31</v>
      </c>
      <c r="AM357" s="40" t="s">
        <v>2648</v>
      </c>
      <c r="AN357" s="40" t="s">
        <v>2649</v>
      </c>
      <c r="AO357" s="40" t="s">
        <v>50</v>
      </c>
      <c r="AP357" s="40">
        <v>30</v>
      </c>
      <c r="AQ357" s="40">
        <v>1.2</v>
      </c>
      <c r="AR357" s="43">
        <v>50</v>
      </c>
      <c r="AS357" s="43">
        <v>10</v>
      </c>
      <c r="AT357" s="44" t="s">
        <v>50</v>
      </c>
      <c r="AU357" s="44" t="s">
        <v>50</v>
      </c>
      <c r="AV357" s="44" t="s">
        <v>50</v>
      </c>
      <c r="AW357" s="44" t="s">
        <v>50</v>
      </c>
      <c r="AX357" s="44" t="s">
        <v>50</v>
      </c>
      <c r="AY357" s="44" t="s">
        <v>50</v>
      </c>
      <c r="AZ357" s="44" t="s">
        <v>50</v>
      </c>
      <c r="BA357" s="44" t="s">
        <v>50</v>
      </c>
      <c r="BB357" s="44" t="s">
        <v>50</v>
      </c>
      <c r="BC357" s="44" t="s">
        <v>50</v>
      </c>
      <c r="BD357" s="44" t="s">
        <v>50</v>
      </c>
      <c r="BE357" s="44" t="s">
        <v>50</v>
      </c>
      <c r="BF357" s="44" t="s">
        <v>50</v>
      </c>
      <c r="BG357" s="44" t="s">
        <v>50</v>
      </c>
      <c r="BH357" s="44" t="s">
        <v>50</v>
      </c>
      <c r="BI357" s="43">
        <v>1</v>
      </c>
      <c r="BJ357" s="43">
        <v>1807</v>
      </c>
      <c r="BK357" s="43">
        <v>2</v>
      </c>
      <c r="BL357" s="43">
        <v>20</v>
      </c>
      <c r="BM357" s="43">
        <v>0</v>
      </c>
      <c r="BN357" s="43">
        <v>0</v>
      </c>
      <c r="BO357" s="43">
        <v>0</v>
      </c>
    </row>
    <row r="358" spans="1:67" ht="15.75" customHeight="1" x14ac:dyDescent="0.2">
      <c r="A358" s="3">
        <f t="shared" si="5"/>
        <v>2356</v>
      </c>
      <c r="B358" s="3" t="s">
        <v>2695</v>
      </c>
      <c r="C358" s="3" t="s">
        <v>2695</v>
      </c>
      <c r="D358" s="4" t="s">
        <v>2703</v>
      </c>
      <c r="E358" s="4" t="s">
        <v>2696</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100</v>
      </c>
      <c r="Z358" s="3">
        <v>0</v>
      </c>
      <c r="AA358" s="3">
        <v>0</v>
      </c>
      <c r="AB358" s="3">
        <v>0</v>
      </c>
      <c r="AC358" s="3">
        <v>0</v>
      </c>
      <c r="AD358" s="3">
        <v>0</v>
      </c>
      <c r="AE358" s="3">
        <v>0</v>
      </c>
      <c r="AF358" s="3">
        <v>0</v>
      </c>
      <c r="AG358" s="3">
        <v>0</v>
      </c>
      <c r="AH358" s="3">
        <v>0</v>
      </c>
      <c r="AI358" s="3">
        <v>0</v>
      </c>
      <c r="AJ358" s="3">
        <v>0</v>
      </c>
      <c r="AK358" s="3">
        <v>0</v>
      </c>
      <c r="AL358" s="3" t="s">
        <v>31</v>
      </c>
      <c r="AM358" s="3" t="s">
        <v>2648</v>
      </c>
      <c r="AN358" s="3" t="s">
        <v>2649</v>
      </c>
      <c r="AO358" s="3" t="s">
        <v>50</v>
      </c>
      <c r="AP358" s="3">
        <v>30</v>
      </c>
      <c r="AQ358" s="3">
        <v>1.2</v>
      </c>
      <c r="AR358">
        <v>50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1808</v>
      </c>
      <c r="BK358">
        <v>2</v>
      </c>
      <c r="BL358">
        <v>20</v>
      </c>
      <c r="BM358">
        <v>0</v>
      </c>
      <c r="BN358">
        <v>0</v>
      </c>
      <c r="BO358">
        <v>0</v>
      </c>
    </row>
    <row r="359" spans="1:67" ht="15.75" customHeight="1" x14ac:dyDescent="0.2">
      <c r="A359" s="3">
        <f t="shared" si="5"/>
        <v>2357</v>
      </c>
      <c r="B359" s="3" t="s">
        <v>2706</v>
      </c>
      <c r="C359" s="3" t="s">
        <v>2706</v>
      </c>
      <c r="D359" s="4" t="s">
        <v>2704</v>
      </c>
      <c r="E359" s="4" t="s">
        <v>2705</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50</v>
      </c>
      <c r="Z359" s="3">
        <v>0</v>
      </c>
      <c r="AA359" s="3">
        <v>0</v>
      </c>
      <c r="AB359" s="3">
        <v>0</v>
      </c>
      <c r="AC359" s="3">
        <v>0</v>
      </c>
      <c r="AD359" s="3">
        <v>0</v>
      </c>
      <c r="AE359" s="3">
        <v>0</v>
      </c>
      <c r="AF359" s="3">
        <v>0</v>
      </c>
      <c r="AG359" s="3">
        <v>0</v>
      </c>
      <c r="AH359" s="3">
        <v>0</v>
      </c>
      <c r="AI359" s="3">
        <v>0</v>
      </c>
      <c r="AJ359" s="3">
        <v>0</v>
      </c>
      <c r="AK359" s="3">
        <v>0</v>
      </c>
      <c r="AL359" s="3" t="s">
        <v>31</v>
      </c>
      <c r="AM359" s="3" t="s">
        <v>2648</v>
      </c>
      <c r="AN359" s="3" t="s">
        <v>2649</v>
      </c>
      <c r="AO359" s="3" t="s">
        <v>50</v>
      </c>
      <c r="AP359" s="3">
        <v>30</v>
      </c>
      <c r="AQ359" s="3">
        <v>1.2</v>
      </c>
      <c r="AR359">
        <v>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1809</v>
      </c>
      <c r="BK359">
        <v>3</v>
      </c>
      <c r="BL359">
        <v>20</v>
      </c>
      <c r="BM359">
        <v>0</v>
      </c>
      <c r="BN359">
        <v>0</v>
      </c>
      <c r="BO359">
        <v>0</v>
      </c>
    </row>
    <row r="360" spans="1:67" ht="15.75" customHeight="1" x14ac:dyDescent="0.2">
      <c r="A360" s="3">
        <f t="shared" si="5"/>
        <v>2358</v>
      </c>
      <c r="B360" s="3" t="s">
        <v>2707</v>
      </c>
      <c r="C360" s="3" t="s">
        <v>2707</v>
      </c>
      <c r="D360" s="4" t="s">
        <v>2708</v>
      </c>
      <c r="E360" s="4" t="s">
        <v>2709</v>
      </c>
      <c r="F360" s="3">
        <v>1</v>
      </c>
      <c r="G360" s="3">
        <v>300</v>
      </c>
      <c r="H360" s="3">
        <v>0</v>
      </c>
      <c r="I360" s="3">
        <v>20</v>
      </c>
      <c r="J360" s="3">
        <v>0</v>
      </c>
      <c r="K360" s="3">
        <v>1</v>
      </c>
      <c r="L360" s="3">
        <v>0</v>
      </c>
      <c r="M360" s="3">
        <v>0</v>
      </c>
      <c r="N360" s="3">
        <v>0</v>
      </c>
      <c r="O360" s="3">
        <v>0</v>
      </c>
      <c r="P360" s="3">
        <v>50</v>
      </c>
      <c r="Q360" s="3">
        <v>0</v>
      </c>
      <c r="R360" s="3">
        <v>0</v>
      </c>
      <c r="S360" s="3">
        <v>0</v>
      </c>
      <c r="T360" s="3">
        <v>0</v>
      </c>
      <c r="U360" s="3">
        <v>0</v>
      </c>
      <c r="V360" s="3">
        <v>0</v>
      </c>
      <c r="W360" s="3">
        <v>0</v>
      </c>
      <c r="X360" s="3">
        <v>0</v>
      </c>
      <c r="Y360" s="3">
        <v>80</v>
      </c>
      <c r="Z360" s="3">
        <v>0</v>
      </c>
      <c r="AA360" s="3">
        <v>0</v>
      </c>
      <c r="AB360" s="3">
        <v>0</v>
      </c>
      <c r="AC360" s="3">
        <v>0</v>
      </c>
      <c r="AD360" s="3">
        <v>0</v>
      </c>
      <c r="AE360" s="3">
        <v>0</v>
      </c>
      <c r="AF360" s="3">
        <v>0</v>
      </c>
      <c r="AG360" s="3">
        <v>0</v>
      </c>
      <c r="AH360" s="3">
        <v>0</v>
      </c>
      <c r="AI360" s="3">
        <v>0</v>
      </c>
      <c r="AJ360" s="3">
        <v>0</v>
      </c>
      <c r="AK360" s="3">
        <v>0</v>
      </c>
      <c r="AL360" s="3" t="s">
        <v>31</v>
      </c>
      <c r="AM360" s="3" t="s">
        <v>2648</v>
      </c>
      <c r="AN360" s="3" t="s">
        <v>2649</v>
      </c>
      <c r="AO360" s="3" t="s">
        <v>50</v>
      </c>
      <c r="AP360" s="3">
        <v>30</v>
      </c>
      <c r="AQ360" s="3">
        <v>1.2</v>
      </c>
      <c r="AR360">
        <v>50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1810</v>
      </c>
      <c r="BK360">
        <v>3</v>
      </c>
      <c r="BL360">
        <v>20</v>
      </c>
      <c r="BM360">
        <v>0</v>
      </c>
      <c r="BN360">
        <v>0</v>
      </c>
      <c r="BO360">
        <v>1</v>
      </c>
    </row>
    <row r="361" spans="1:67" ht="15.75" customHeight="1" x14ac:dyDescent="0.2">
      <c r="A361" s="3">
        <f t="shared" si="5"/>
        <v>2359</v>
      </c>
      <c r="B361" s="3" t="s">
        <v>2650</v>
      </c>
      <c r="C361" s="3" t="s">
        <v>2650</v>
      </c>
      <c r="D361" s="4" t="s">
        <v>2655</v>
      </c>
      <c r="E361" s="4" t="s">
        <v>2651</v>
      </c>
      <c r="F361" s="3">
        <v>1</v>
      </c>
      <c r="G361" s="3">
        <v>300</v>
      </c>
      <c r="H361" s="3">
        <v>0</v>
      </c>
      <c r="I361" s="3">
        <v>20</v>
      </c>
      <c r="J361" s="3">
        <v>0</v>
      </c>
      <c r="K361" s="3">
        <v>1</v>
      </c>
      <c r="L361" s="3">
        <v>0</v>
      </c>
      <c r="M361" s="3">
        <v>0</v>
      </c>
      <c r="N361" s="3">
        <v>0</v>
      </c>
      <c r="O361" s="3">
        <v>0</v>
      </c>
      <c r="P361" s="3">
        <v>80</v>
      </c>
      <c r="Q361" s="3">
        <v>0</v>
      </c>
      <c r="R361" s="3">
        <v>0</v>
      </c>
      <c r="S361" s="3">
        <v>0</v>
      </c>
      <c r="T361" s="3">
        <v>0</v>
      </c>
      <c r="U361" s="3">
        <v>0</v>
      </c>
      <c r="V361" s="3">
        <v>0</v>
      </c>
      <c r="W361" s="3">
        <v>0</v>
      </c>
      <c r="X361" s="3">
        <v>0</v>
      </c>
      <c r="Y361" s="3">
        <v>50</v>
      </c>
      <c r="Z361" s="3">
        <v>0</v>
      </c>
      <c r="AA361" s="3">
        <v>0</v>
      </c>
      <c r="AB361" s="3">
        <v>0</v>
      </c>
      <c r="AC361" s="3">
        <v>0</v>
      </c>
      <c r="AD361" s="3">
        <v>0</v>
      </c>
      <c r="AE361" s="3">
        <v>0</v>
      </c>
      <c r="AF361" s="3">
        <v>0</v>
      </c>
      <c r="AG361" s="3">
        <v>0</v>
      </c>
      <c r="AH361" s="3">
        <v>0</v>
      </c>
      <c r="AI361" s="3">
        <v>0</v>
      </c>
      <c r="AJ361" s="3">
        <v>0</v>
      </c>
      <c r="AK361" s="3">
        <v>0</v>
      </c>
      <c r="AL361" s="3" t="s">
        <v>31</v>
      </c>
      <c r="AM361" s="3" t="s">
        <v>2648</v>
      </c>
      <c r="AN361" s="3" t="s">
        <v>2649</v>
      </c>
      <c r="AO361" s="3" t="s">
        <v>50</v>
      </c>
      <c r="AP361" s="3">
        <v>30</v>
      </c>
      <c r="AQ361" s="3">
        <v>1.2</v>
      </c>
      <c r="AR361">
        <v>50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1811</v>
      </c>
      <c r="BK361">
        <v>4</v>
      </c>
      <c r="BL361">
        <v>20</v>
      </c>
      <c r="BM361">
        <v>0</v>
      </c>
      <c r="BN361">
        <v>0</v>
      </c>
      <c r="BO361">
        <v>0</v>
      </c>
    </row>
    <row r="362" spans="1:67" s="23" customFormat="1" ht="15.75" customHeight="1" x14ac:dyDescent="0.2">
      <c r="A362" s="21">
        <f t="shared" si="5"/>
        <v>2360</v>
      </c>
      <c r="B362" s="21" t="s">
        <v>97</v>
      </c>
      <c r="C362" s="21" t="s">
        <v>3214</v>
      </c>
      <c r="D362" s="22" t="s">
        <v>3215</v>
      </c>
      <c r="E362" s="22" t="s">
        <v>2292</v>
      </c>
      <c r="F362" s="21">
        <v>0</v>
      </c>
      <c r="G362" s="21">
        <v>300</v>
      </c>
      <c r="H362" s="21">
        <v>0</v>
      </c>
      <c r="I362" s="21">
        <v>20</v>
      </c>
      <c r="J362" s="21">
        <v>150</v>
      </c>
      <c r="K362" s="21">
        <v>1</v>
      </c>
      <c r="L362" s="21">
        <v>0</v>
      </c>
      <c r="M362" s="21">
        <v>0</v>
      </c>
      <c r="N362" s="21">
        <v>0</v>
      </c>
      <c r="O362" s="21">
        <v>0</v>
      </c>
      <c r="P362" s="21">
        <v>0</v>
      </c>
      <c r="Q362" s="21">
        <v>0</v>
      </c>
      <c r="R362" s="21">
        <v>0</v>
      </c>
      <c r="S362" s="21">
        <v>0</v>
      </c>
      <c r="T362" s="21">
        <v>0</v>
      </c>
      <c r="U362" s="21">
        <v>0</v>
      </c>
      <c r="V362" s="21">
        <v>0</v>
      </c>
      <c r="W362" s="21">
        <v>0</v>
      </c>
      <c r="X362" s="21">
        <v>0</v>
      </c>
      <c r="Y362" s="21">
        <v>0</v>
      </c>
      <c r="Z362" s="21">
        <v>0</v>
      </c>
      <c r="AA362" s="21">
        <v>0</v>
      </c>
      <c r="AB362" s="21">
        <v>0</v>
      </c>
      <c r="AC362" s="21">
        <v>0</v>
      </c>
      <c r="AD362" s="21">
        <v>0</v>
      </c>
      <c r="AE362" s="21">
        <v>0</v>
      </c>
      <c r="AF362" s="21">
        <v>0</v>
      </c>
      <c r="AG362" s="21">
        <v>0</v>
      </c>
      <c r="AH362" s="21">
        <v>0</v>
      </c>
      <c r="AI362" s="21">
        <v>0</v>
      </c>
      <c r="AJ362" s="21">
        <v>0</v>
      </c>
      <c r="AK362" s="21">
        <v>0</v>
      </c>
      <c r="AL362" s="21" t="s">
        <v>31</v>
      </c>
      <c r="AM362" s="21" t="s">
        <v>2648</v>
      </c>
      <c r="AN362" s="21" t="s">
        <v>2649</v>
      </c>
      <c r="AO362" s="21" t="s">
        <v>50</v>
      </c>
      <c r="AP362" s="21">
        <v>30</v>
      </c>
      <c r="AQ362" s="21">
        <v>20</v>
      </c>
      <c r="AR362" s="23">
        <v>1500</v>
      </c>
      <c r="AS362" s="23">
        <v>1200</v>
      </c>
      <c r="AT362" s="24" t="s">
        <v>50</v>
      </c>
      <c r="AU362" s="24" t="s">
        <v>50</v>
      </c>
      <c r="AV362" s="24" t="s">
        <v>50</v>
      </c>
      <c r="AW362" s="24" t="s">
        <v>50</v>
      </c>
      <c r="AX362" s="24" t="s">
        <v>50</v>
      </c>
      <c r="AY362" s="24" t="s">
        <v>50</v>
      </c>
      <c r="AZ362" s="24" t="s">
        <v>50</v>
      </c>
      <c r="BA362" s="24" t="s">
        <v>50</v>
      </c>
      <c r="BB362" s="24" t="s">
        <v>50</v>
      </c>
      <c r="BC362" s="24" t="s">
        <v>50</v>
      </c>
      <c r="BD362" s="24" t="s">
        <v>50</v>
      </c>
      <c r="BE362" s="24" t="s">
        <v>50</v>
      </c>
      <c r="BF362" s="24" t="s">
        <v>50</v>
      </c>
      <c r="BG362" s="24" t="s">
        <v>50</v>
      </c>
      <c r="BH362" s="24" t="s">
        <v>50</v>
      </c>
      <c r="BI362" s="23">
        <v>0</v>
      </c>
      <c r="BJ362" s="23">
        <v>0</v>
      </c>
      <c r="BK362" s="23">
        <v>1</v>
      </c>
      <c r="BL362" s="23">
        <v>30</v>
      </c>
      <c r="BM362">
        <v>0</v>
      </c>
      <c r="BN362">
        <v>0</v>
      </c>
      <c r="BO362" s="23">
        <v>0</v>
      </c>
    </row>
    <row r="363" spans="1:67" s="43" customFormat="1" ht="15.75" customHeight="1" x14ac:dyDescent="0.2">
      <c r="A363" s="40">
        <f t="shared" si="5"/>
        <v>2361</v>
      </c>
      <c r="B363" s="40" t="s">
        <v>2701</v>
      </c>
      <c r="C363" s="40" t="s">
        <v>3197</v>
      </c>
      <c r="D363" s="45" t="s">
        <v>3196</v>
      </c>
      <c r="E363" s="45" t="s">
        <v>3213</v>
      </c>
      <c r="F363" s="40">
        <v>1</v>
      </c>
      <c r="G363" s="40">
        <v>300</v>
      </c>
      <c r="H363" s="40">
        <v>0</v>
      </c>
      <c r="I363" s="40">
        <v>20</v>
      </c>
      <c r="J363" s="40">
        <v>0</v>
      </c>
      <c r="K363" s="40">
        <v>1</v>
      </c>
      <c r="L363" s="40">
        <v>0</v>
      </c>
      <c r="M363" s="40">
        <v>0</v>
      </c>
      <c r="N363" s="40">
        <v>0</v>
      </c>
      <c r="O363" s="40">
        <v>0</v>
      </c>
      <c r="P363" s="40">
        <v>50</v>
      </c>
      <c r="Q363" s="40">
        <v>0</v>
      </c>
      <c r="R363" s="40">
        <v>0</v>
      </c>
      <c r="S363" s="40">
        <v>0</v>
      </c>
      <c r="T363" s="40">
        <v>0</v>
      </c>
      <c r="U363" s="40">
        <v>0</v>
      </c>
      <c r="V363" s="40">
        <v>0</v>
      </c>
      <c r="W363" s="40">
        <v>0</v>
      </c>
      <c r="X363" s="40">
        <v>0</v>
      </c>
      <c r="Y363" s="40">
        <v>80</v>
      </c>
      <c r="Z363" s="40">
        <v>0</v>
      </c>
      <c r="AA363" s="40">
        <v>0</v>
      </c>
      <c r="AB363" s="40">
        <v>0</v>
      </c>
      <c r="AC363" s="40">
        <v>0</v>
      </c>
      <c r="AD363" s="40">
        <v>0</v>
      </c>
      <c r="AE363" s="40">
        <v>0</v>
      </c>
      <c r="AF363" s="40">
        <v>0</v>
      </c>
      <c r="AG363" s="40">
        <v>0</v>
      </c>
      <c r="AH363" s="40">
        <v>0</v>
      </c>
      <c r="AI363" s="40">
        <v>0</v>
      </c>
      <c r="AJ363" s="40">
        <v>0</v>
      </c>
      <c r="AK363" s="40">
        <v>0</v>
      </c>
      <c r="AL363" s="40" t="s">
        <v>31</v>
      </c>
      <c r="AM363" s="40" t="s">
        <v>2648</v>
      </c>
      <c r="AN363" s="40" t="s">
        <v>3428</v>
      </c>
      <c r="AO363" s="40" t="s">
        <v>50</v>
      </c>
      <c r="AP363" s="40">
        <v>30</v>
      </c>
      <c r="AQ363" s="40">
        <v>1.2</v>
      </c>
      <c r="AR363" s="43">
        <v>50</v>
      </c>
      <c r="AS363" s="43">
        <v>10</v>
      </c>
      <c r="AT363" s="44" t="s">
        <v>50</v>
      </c>
      <c r="AU363" s="44" t="s">
        <v>50</v>
      </c>
      <c r="AV363" s="44" t="s">
        <v>50</v>
      </c>
      <c r="AW363" s="44" t="s">
        <v>50</v>
      </c>
      <c r="AX363" s="44" t="s">
        <v>50</v>
      </c>
      <c r="AY363" s="44" t="s">
        <v>50</v>
      </c>
      <c r="AZ363" s="44" t="s">
        <v>50</v>
      </c>
      <c r="BA363" s="44" t="s">
        <v>50</v>
      </c>
      <c r="BB363" s="44" t="s">
        <v>50</v>
      </c>
      <c r="BC363" s="44" t="s">
        <v>50</v>
      </c>
      <c r="BD363" s="44" t="s">
        <v>50</v>
      </c>
      <c r="BE363" s="44" t="s">
        <v>50</v>
      </c>
      <c r="BF363" s="44" t="s">
        <v>50</v>
      </c>
      <c r="BG363" s="44" t="s">
        <v>50</v>
      </c>
      <c r="BH363" s="44" t="s">
        <v>50</v>
      </c>
      <c r="BI363" s="43">
        <v>1</v>
      </c>
      <c r="BJ363" s="43">
        <v>1820</v>
      </c>
      <c r="BK363" s="43">
        <v>3</v>
      </c>
      <c r="BL363" s="43">
        <v>20</v>
      </c>
      <c r="BM363" s="43">
        <v>0</v>
      </c>
      <c r="BN363" s="43">
        <v>0</v>
      </c>
      <c r="BO363" s="43">
        <v>0</v>
      </c>
    </row>
    <row r="364" spans="1:67" s="43" customFormat="1" ht="15.75" customHeight="1" x14ac:dyDescent="0.2">
      <c r="A364" s="40">
        <f t="shared" si="5"/>
        <v>2362</v>
      </c>
      <c r="B364" s="40" t="s">
        <v>2701</v>
      </c>
      <c r="C364" s="40" t="s">
        <v>3211</v>
      </c>
      <c r="D364" s="45" t="s">
        <v>3210</v>
      </c>
      <c r="E364" s="45" t="s">
        <v>3212</v>
      </c>
      <c r="F364" s="40">
        <v>1</v>
      </c>
      <c r="G364" s="40">
        <v>300</v>
      </c>
      <c r="H364" s="40">
        <v>0</v>
      </c>
      <c r="I364" s="40">
        <v>20</v>
      </c>
      <c r="J364" s="40">
        <v>0</v>
      </c>
      <c r="K364" s="40">
        <v>1</v>
      </c>
      <c r="L364" s="40">
        <v>0</v>
      </c>
      <c r="M364" s="40">
        <v>0</v>
      </c>
      <c r="N364" s="40">
        <v>0</v>
      </c>
      <c r="O364" s="40">
        <v>0</v>
      </c>
      <c r="P364" s="40">
        <v>50</v>
      </c>
      <c r="Q364" s="40">
        <v>0</v>
      </c>
      <c r="R364" s="40">
        <v>0</v>
      </c>
      <c r="S364" s="40">
        <v>0</v>
      </c>
      <c r="T364" s="40">
        <v>0</v>
      </c>
      <c r="U364" s="40">
        <v>0</v>
      </c>
      <c r="V364" s="40">
        <v>0</v>
      </c>
      <c r="W364" s="40">
        <v>0</v>
      </c>
      <c r="X364" s="40">
        <v>0</v>
      </c>
      <c r="Y364" s="40">
        <v>120</v>
      </c>
      <c r="Z364" s="40">
        <v>0</v>
      </c>
      <c r="AA364" s="40">
        <v>0</v>
      </c>
      <c r="AB364" s="40">
        <v>0</v>
      </c>
      <c r="AC364" s="40">
        <v>0</v>
      </c>
      <c r="AD364" s="40">
        <v>0</v>
      </c>
      <c r="AE364" s="40">
        <v>0</v>
      </c>
      <c r="AF364" s="40">
        <v>0</v>
      </c>
      <c r="AG364" s="40">
        <v>0</v>
      </c>
      <c r="AH364" s="40">
        <v>0</v>
      </c>
      <c r="AI364" s="40">
        <v>0</v>
      </c>
      <c r="AJ364" s="40">
        <v>0</v>
      </c>
      <c r="AK364" s="40">
        <v>0</v>
      </c>
      <c r="AL364" s="40" t="s">
        <v>31</v>
      </c>
      <c r="AM364" s="40" t="s">
        <v>2648</v>
      </c>
      <c r="AN364" s="40" t="s">
        <v>3428</v>
      </c>
      <c r="AO364" s="40" t="s">
        <v>50</v>
      </c>
      <c r="AP364" s="40">
        <v>30</v>
      </c>
      <c r="AQ364" s="40">
        <v>1.2</v>
      </c>
      <c r="AR364" s="43">
        <v>50</v>
      </c>
      <c r="AS364" s="43">
        <v>10</v>
      </c>
      <c r="AT364" s="44" t="s">
        <v>50</v>
      </c>
      <c r="AU364" s="44" t="s">
        <v>50</v>
      </c>
      <c r="AV364" s="44" t="s">
        <v>50</v>
      </c>
      <c r="AW364" s="44" t="s">
        <v>50</v>
      </c>
      <c r="AX364" s="44" t="s">
        <v>50</v>
      </c>
      <c r="AY364" s="44" t="s">
        <v>50</v>
      </c>
      <c r="AZ364" s="44" t="s">
        <v>50</v>
      </c>
      <c r="BA364" s="44" t="s">
        <v>50</v>
      </c>
      <c r="BB364" s="44" t="s">
        <v>50</v>
      </c>
      <c r="BC364" s="44" t="s">
        <v>50</v>
      </c>
      <c r="BD364" s="44" t="s">
        <v>50</v>
      </c>
      <c r="BE364" s="44" t="s">
        <v>50</v>
      </c>
      <c r="BF364" s="44" t="s">
        <v>50</v>
      </c>
      <c r="BG364" s="44" t="s">
        <v>50</v>
      </c>
      <c r="BH364" s="44" t="s">
        <v>50</v>
      </c>
      <c r="BI364" s="43">
        <v>1</v>
      </c>
      <c r="BJ364" s="43">
        <v>1821</v>
      </c>
      <c r="BK364" s="43">
        <v>3</v>
      </c>
      <c r="BL364" s="43">
        <v>20</v>
      </c>
      <c r="BM364" s="43">
        <v>0</v>
      </c>
      <c r="BN364" s="43">
        <v>0</v>
      </c>
      <c r="BO364" s="43">
        <v>0</v>
      </c>
    </row>
    <row r="365" spans="1:67" s="43" customFormat="1" ht="15.75" customHeight="1" x14ac:dyDescent="0.2">
      <c r="A365" s="40">
        <f t="shared" si="5"/>
        <v>2363</v>
      </c>
      <c r="B365" s="40" t="s">
        <v>2701</v>
      </c>
      <c r="C365" s="40" t="s">
        <v>3198</v>
      </c>
      <c r="D365" s="45" t="s">
        <v>3383</v>
      </c>
      <c r="E365" s="45" t="s">
        <v>3384</v>
      </c>
      <c r="F365" s="40">
        <v>1</v>
      </c>
      <c r="G365" s="40">
        <v>300</v>
      </c>
      <c r="H365" s="40">
        <v>0</v>
      </c>
      <c r="I365" s="40">
        <v>20</v>
      </c>
      <c r="J365" s="40">
        <v>0</v>
      </c>
      <c r="K365" s="40">
        <v>1</v>
      </c>
      <c r="L365" s="40">
        <v>0</v>
      </c>
      <c r="M365" s="40">
        <v>0</v>
      </c>
      <c r="N365" s="40">
        <v>0</v>
      </c>
      <c r="O365" s="40">
        <v>0</v>
      </c>
      <c r="P365" s="40">
        <v>50</v>
      </c>
      <c r="Q365" s="40">
        <v>0</v>
      </c>
      <c r="R365" s="40">
        <v>0</v>
      </c>
      <c r="S365" s="40">
        <v>0</v>
      </c>
      <c r="T365" s="40">
        <v>0</v>
      </c>
      <c r="U365" s="40">
        <v>0</v>
      </c>
      <c r="V365" s="40">
        <v>0</v>
      </c>
      <c r="W365" s="40">
        <v>0</v>
      </c>
      <c r="X365" s="40">
        <v>0</v>
      </c>
      <c r="Y365" s="40">
        <v>80</v>
      </c>
      <c r="Z365" s="40">
        <v>0</v>
      </c>
      <c r="AA365" s="40">
        <v>0</v>
      </c>
      <c r="AB365" s="40">
        <v>0</v>
      </c>
      <c r="AC365" s="40">
        <v>0</v>
      </c>
      <c r="AD365" s="40">
        <v>0</v>
      </c>
      <c r="AE365" s="40">
        <v>0</v>
      </c>
      <c r="AF365" s="40">
        <v>0</v>
      </c>
      <c r="AG365" s="40">
        <v>0</v>
      </c>
      <c r="AH365" s="40">
        <v>0</v>
      </c>
      <c r="AI365" s="40">
        <v>0</v>
      </c>
      <c r="AJ365" s="40">
        <v>0</v>
      </c>
      <c r="AK365" s="40">
        <v>0</v>
      </c>
      <c r="AL365" s="40" t="s">
        <v>31</v>
      </c>
      <c r="AM365" s="40" t="s">
        <v>2648</v>
      </c>
      <c r="AN365" s="40" t="s">
        <v>3428</v>
      </c>
      <c r="AO365" s="40" t="s">
        <v>50</v>
      </c>
      <c r="AP365" s="40">
        <v>30</v>
      </c>
      <c r="AQ365" s="40">
        <v>1.2</v>
      </c>
      <c r="AR365" s="43">
        <v>50</v>
      </c>
      <c r="AS365" s="43">
        <v>10</v>
      </c>
      <c r="AT365" s="44" t="s">
        <v>50</v>
      </c>
      <c r="AU365" s="44" t="s">
        <v>50</v>
      </c>
      <c r="AV365" s="44" t="s">
        <v>50</v>
      </c>
      <c r="AW365" s="44" t="s">
        <v>50</v>
      </c>
      <c r="AX365" s="44" t="s">
        <v>50</v>
      </c>
      <c r="AY365" s="44" t="s">
        <v>50</v>
      </c>
      <c r="AZ365" s="44" t="s">
        <v>50</v>
      </c>
      <c r="BA365" s="44" t="s">
        <v>50</v>
      </c>
      <c r="BB365" s="44" t="s">
        <v>50</v>
      </c>
      <c r="BC365" s="44" t="s">
        <v>50</v>
      </c>
      <c r="BD365" s="44" t="s">
        <v>50</v>
      </c>
      <c r="BE365" s="44" t="s">
        <v>50</v>
      </c>
      <c r="BF365" s="44" t="s">
        <v>50</v>
      </c>
      <c r="BG365" s="44" t="s">
        <v>50</v>
      </c>
      <c r="BH365" s="44" t="s">
        <v>50</v>
      </c>
      <c r="BI365" s="43">
        <v>1</v>
      </c>
      <c r="BJ365" s="43">
        <v>1822</v>
      </c>
      <c r="BK365" s="43">
        <v>3</v>
      </c>
      <c r="BL365" s="43">
        <v>20</v>
      </c>
      <c r="BM365" s="43">
        <v>0</v>
      </c>
      <c r="BN365" s="43">
        <v>0</v>
      </c>
      <c r="BO365" s="43">
        <v>0</v>
      </c>
    </row>
    <row r="366" spans="1:67" s="43" customFormat="1" ht="15.75" customHeight="1" x14ac:dyDescent="0.2">
      <c r="A366" s="40">
        <f t="shared" si="5"/>
        <v>2364</v>
      </c>
      <c r="B366" s="40" t="s">
        <v>2701</v>
      </c>
      <c r="C366" s="40" t="s">
        <v>3200</v>
      </c>
      <c r="D366" s="45" t="s">
        <v>3202</v>
      </c>
      <c r="E366" s="45" t="s">
        <v>3203</v>
      </c>
      <c r="F366" s="40">
        <v>1</v>
      </c>
      <c r="G366" s="40">
        <v>300</v>
      </c>
      <c r="H366" s="40">
        <v>0</v>
      </c>
      <c r="I366" s="40">
        <v>20</v>
      </c>
      <c r="J366" s="40">
        <v>0</v>
      </c>
      <c r="K366" s="40">
        <v>1</v>
      </c>
      <c r="L366" s="40">
        <v>0</v>
      </c>
      <c r="M366" s="40">
        <v>0</v>
      </c>
      <c r="N366" s="40">
        <v>0</v>
      </c>
      <c r="O366" s="40">
        <v>0</v>
      </c>
      <c r="P366" s="40">
        <v>50</v>
      </c>
      <c r="Q366" s="40">
        <v>0</v>
      </c>
      <c r="R366" s="40">
        <v>0</v>
      </c>
      <c r="S366" s="40">
        <v>0</v>
      </c>
      <c r="T366" s="40">
        <v>0</v>
      </c>
      <c r="U366" s="40">
        <v>0</v>
      </c>
      <c r="V366" s="40">
        <v>0</v>
      </c>
      <c r="W366" s="40">
        <v>0</v>
      </c>
      <c r="X366" s="40">
        <v>0</v>
      </c>
      <c r="Y366" s="40">
        <v>80</v>
      </c>
      <c r="Z366" s="40">
        <v>0</v>
      </c>
      <c r="AA366" s="40">
        <v>0</v>
      </c>
      <c r="AB366" s="40">
        <v>0</v>
      </c>
      <c r="AC366" s="40">
        <v>0</v>
      </c>
      <c r="AD366" s="40">
        <v>0</v>
      </c>
      <c r="AE366" s="40">
        <v>0</v>
      </c>
      <c r="AF366" s="40">
        <v>0</v>
      </c>
      <c r="AG366" s="40">
        <v>0</v>
      </c>
      <c r="AH366" s="40">
        <v>0</v>
      </c>
      <c r="AI366" s="40">
        <v>0</v>
      </c>
      <c r="AJ366" s="40">
        <v>0</v>
      </c>
      <c r="AK366" s="40">
        <v>0</v>
      </c>
      <c r="AL366" s="40" t="s">
        <v>31</v>
      </c>
      <c r="AM366" s="40" t="s">
        <v>2648</v>
      </c>
      <c r="AN366" s="40" t="s">
        <v>3428</v>
      </c>
      <c r="AO366" s="40" t="s">
        <v>50</v>
      </c>
      <c r="AP366" s="40">
        <v>30</v>
      </c>
      <c r="AQ366" s="40">
        <v>1.2</v>
      </c>
      <c r="AR366" s="43">
        <v>50</v>
      </c>
      <c r="AS366" s="43">
        <v>10</v>
      </c>
      <c r="AT366" s="44" t="s">
        <v>50</v>
      </c>
      <c r="AU366" s="44" t="s">
        <v>50</v>
      </c>
      <c r="AV366" s="44" t="s">
        <v>50</v>
      </c>
      <c r="AW366" s="44" t="s">
        <v>50</v>
      </c>
      <c r="AX366" s="44" t="s">
        <v>50</v>
      </c>
      <c r="AY366" s="44" t="s">
        <v>50</v>
      </c>
      <c r="AZ366" s="44" t="s">
        <v>50</v>
      </c>
      <c r="BA366" s="44" t="s">
        <v>50</v>
      </c>
      <c r="BB366" s="44" t="s">
        <v>50</v>
      </c>
      <c r="BC366" s="44" t="s">
        <v>50</v>
      </c>
      <c r="BD366" s="44" t="s">
        <v>50</v>
      </c>
      <c r="BE366" s="44" t="s">
        <v>50</v>
      </c>
      <c r="BF366" s="44" t="s">
        <v>50</v>
      </c>
      <c r="BG366" s="44" t="s">
        <v>50</v>
      </c>
      <c r="BH366" s="44" t="s">
        <v>50</v>
      </c>
      <c r="BI366" s="43">
        <v>1</v>
      </c>
      <c r="BJ366" s="43">
        <v>1823</v>
      </c>
      <c r="BK366" s="43">
        <v>3</v>
      </c>
      <c r="BL366" s="43">
        <v>20</v>
      </c>
      <c r="BM366" s="43">
        <v>0</v>
      </c>
      <c r="BN366" s="43">
        <v>0</v>
      </c>
      <c r="BO366" s="43">
        <v>0</v>
      </c>
    </row>
    <row r="367" spans="1:67" s="43" customFormat="1" ht="15.75" customHeight="1" x14ac:dyDescent="0.2">
      <c r="A367" s="40">
        <f t="shared" si="5"/>
        <v>2365</v>
      </c>
      <c r="B367" s="40" t="s">
        <v>2701</v>
      </c>
      <c r="C367" s="40" t="s">
        <v>3199</v>
      </c>
      <c r="D367" s="45" t="s">
        <v>3382</v>
      </c>
      <c r="E367" s="45" t="s">
        <v>3204</v>
      </c>
      <c r="F367" s="40">
        <v>1</v>
      </c>
      <c r="G367" s="40">
        <v>300</v>
      </c>
      <c r="H367" s="40">
        <v>0</v>
      </c>
      <c r="I367" s="40">
        <v>20</v>
      </c>
      <c r="J367" s="40">
        <v>0</v>
      </c>
      <c r="K367" s="40">
        <v>1</v>
      </c>
      <c r="L367" s="40">
        <v>0</v>
      </c>
      <c r="M367" s="40">
        <v>0</v>
      </c>
      <c r="N367" s="40">
        <v>0</v>
      </c>
      <c r="O367" s="40">
        <v>0</v>
      </c>
      <c r="P367" s="40">
        <v>50</v>
      </c>
      <c r="Q367" s="40">
        <v>0</v>
      </c>
      <c r="R367" s="40">
        <v>0</v>
      </c>
      <c r="S367" s="40">
        <v>0</v>
      </c>
      <c r="T367" s="40">
        <v>0</v>
      </c>
      <c r="U367" s="40">
        <v>0</v>
      </c>
      <c r="V367" s="40">
        <v>0</v>
      </c>
      <c r="W367" s="40">
        <v>0</v>
      </c>
      <c r="X367" s="40">
        <v>0</v>
      </c>
      <c r="Y367" s="40">
        <v>80</v>
      </c>
      <c r="Z367" s="40">
        <v>0</v>
      </c>
      <c r="AA367" s="40">
        <v>0</v>
      </c>
      <c r="AB367" s="40">
        <v>0</v>
      </c>
      <c r="AC367" s="40">
        <v>0</v>
      </c>
      <c r="AD367" s="40">
        <v>0</v>
      </c>
      <c r="AE367" s="40">
        <v>0</v>
      </c>
      <c r="AF367" s="40">
        <v>0</v>
      </c>
      <c r="AG367" s="40">
        <v>0</v>
      </c>
      <c r="AH367" s="40">
        <v>0</v>
      </c>
      <c r="AI367" s="40">
        <v>0</v>
      </c>
      <c r="AJ367" s="40">
        <v>0</v>
      </c>
      <c r="AK367" s="40">
        <v>0</v>
      </c>
      <c r="AL367" s="40" t="s">
        <v>31</v>
      </c>
      <c r="AM367" s="40" t="s">
        <v>2648</v>
      </c>
      <c r="AN367" s="40" t="s">
        <v>3428</v>
      </c>
      <c r="AO367" s="40" t="s">
        <v>50</v>
      </c>
      <c r="AP367" s="40">
        <v>30</v>
      </c>
      <c r="AQ367" s="40">
        <v>1.2</v>
      </c>
      <c r="AR367" s="43">
        <v>50</v>
      </c>
      <c r="AS367" s="43">
        <v>10</v>
      </c>
      <c r="AT367" s="44" t="s">
        <v>50</v>
      </c>
      <c r="AU367" s="44" t="s">
        <v>50</v>
      </c>
      <c r="AV367" s="44" t="s">
        <v>50</v>
      </c>
      <c r="AW367" s="44" t="s">
        <v>50</v>
      </c>
      <c r="AX367" s="44" t="s">
        <v>50</v>
      </c>
      <c r="AY367" s="44" t="s">
        <v>50</v>
      </c>
      <c r="AZ367" s="44" t="s">
        <v>50</v>
      </c>
      <c r="BA367" s="44" t="s">
        <v>50</v>
      </c>
      <c r="BB367" s="44" t="s">
        <v>50</v>
      </c>
      <c r="BC367" s="44" t="s">
        <v>50</v>
      </c>
      <c r="BD367" s="44" t="s">
        <v>50</v>
      </c>
      <c r="BE367" s="44" t="s">
        <v>50</v>
      </c>
      <c r="BF367" s="44" t="s">
        <v>50</v>
      </c>
      <c r="BG367" s="44" t="s">
        <v>50</v>
      </c>
      <c r="BH367" s="44" t="s">
        <v>50</v>
      </c>
      <c r="BI367" s="43">
        <v>1</v>
      </c>
      <c r="BJ367" s="43">
        <v>1824</v>
      </c>
      <c r="BK367" s="43">
        <v>3</v>
      </c>
      <c r="BL367" s="43">
        <v>20</v>
      </c>
      <c r="BM367" s="43">
        <v>0</v>
      </c>
      <c r="BN367" s="43">
        <v>0</v>
      </c>
      <c r="BO367" s="43">
        <v>0</v>
      </c>
    </row>
    <row r="368" spans="1:67" s="43" customFormat="1" ht="15.75" customHeight="1" x14ac:dyDescent="0.2">
      <c r="A368" s="40">
        <f t="shared" si="5"/>
        <v>2366</v>
      </c>
      <c r="B368" s="40" t="s">
        <v>2701</v>
      </c>
      <c r="C368" s="40" t="s">
        <v>3209</v>
      </c>
      <c r="D368" s="45" t="s">
        <v>3207</v>
      </c>
      <c r="E368" s="45" t="s">
        <v>3208</v>
      </c>
      <c r="F368" s="40">
        <v>1</v>
      </c>
      <c r="G368" s="40">
        <v>300</v>
      </c>
      <c r="H368" s="40">
        <v>0</v>
      </c>
      <c r="I368" s="40">
        <v>20</v>
      </c>
      <c r="J368" s="40">
        <v>0</v>
      </c>
      <c r="K368" s="40">
        <v>1</v>
      </c>
      <c r="L368" s="40">
        <v>0</v>
      </c>
      <c r="M368" s="40">
        <v>0</v>
      </c>
      <c r="N368" s="40">
        <v>0</v>
      </c>
      <c r="O368" s="40">
        <v>0</v>
      </c>
      <c r="P368" s="40">
        <v>50</v>
      </c>
      <c r="Q368" s="40">
        <v>0</v>
      </c>
      <c r="R368" s="40">
        <v>0</v>
      </c>
      <c r="S368" s="40">
        <v>0</v>
      </c>
      <c r="T368" s="40">
        <v>0</v>
      </c>
      <c r="U368" s="40">
        <v>0</v>
      </c>
      <c r="V368" s="40">
        <v>0</v>
      </c>
      <c r="W368" s="40">
        <v>0</v>
      </c>
      <c r="X368" s="40">
        <v>0</v>
      </c>
      <c r="Y368" s="40">
        <v>80</v>
      </c>
      <c r="Z368" s="40">
        <v>0</v>
      </c>
      <c r="AA368" s="40">
        <v>0</v>
      </c>
      <c r="AB368" s="40">
        <v>0</v>
      </c>
      <c r="AC368" s="40">
        <v>0</v>
      </c>
      <c r="AD368" s="40">
        <v>0</v>
      </c>
      <c r="AE368" s="40">
        <v>0</v>
      </c>
      <c r="AF368" s="40">
        <v>0</v>
      </c>
      <c r="AG368" s="40">
        <v>0</v>
      </c>
      <c r="AH368" s="40">
        <v>0</v>
      </c>
      <c r="AI368" s="40">
        <v>0</v>
      </c>
      <c r="AJ368" s="40">
        <v>0</v>
      </c>
      <c r="AK368" s="40">
        <v>0</v>
      </c>
      <c r="AL368" s="40" t="s">
        <v>31</v>
      </c>
      <c r="AM368" s="40" t="s">
        <v>2648</v>
      </c>
      <c r="AN368" s="40" t="s">
        <v>3428</v>
      </c>
      <c r="AO368" s="40" t="s">
        <v>50</v>
      </c>
      <c r="AP368" s="40">
        <v>30</v>
      </c>
      <c r="AQ368" s="40">
        <v>1.2</v>
      </c>
      <c r="AR368" s="43">
        <v>50</v>
      </c>
      <c r="AS368" s="43">
        <v>10</v>
      </c>
      <c r="AT368" s="44" t="s">
        <v>50</v>
      </c>
      <c r="AU368" s="44" t="s">
        <v>50</v>
      </c>
      <c r="AV368" s="44" t="s">
        <v>50</v>
      </c>
      <c r="AW368" s="44" t="s">
        <v>50</v>
      </c>
      <c r="AX368" s="44" t="s">
        <v>50</v>
      </c>
      <c r="AY368" s="44" t="s">
        <v>50</v>
      </c>
      <c r="AZ368" s="44" t="s">
        <v>50</v>
      </c>
      <c r="BA368" s="44" t="s">
        <v>50</v>
      </c>
      <c r="BB368" s="44" t="s">
        <v>50</v>
      </c>
      <c r="BC368" s="44" t="s">
        <v>50</v>
      </c>
      <c r="BD368" s="44" t="s">
        <v>50</v>
      </c>
      <c r="BE368" s="44" t="s">
        <v>50</v>
      </c>
      <c r="BF368" s="44" t="s">
        <v>50</v>
      </c>
      <c r="BG368" s="44" t="s">
        <v>50</v>
      </c>
      <c r="BH368" s="44" t="s">
        <v>50</v>
      </c>
      <c r="BI368" s="43">
        <v>1</v>
      </c>
      <c r="BJ368" s="43">
        <v>1825</v>
      </c>
      <c r="BK368" s="43">
        <v>3</v>
      </c>
      <c r="BL368" s="43">
        <v>20</v>
      </c>
      <c r="BM368" s="43">
        <v>0</v>
      </c>
      <c r="BN368" s="43">
        <v>0</v>
      </c>
      <c r="BO368" s="43">
        <v>0</v>
      </c>
    </row>
    <row r="369" spans="1:67" s="43" customFormat="1" ht="15.75" customHeight="1" x14ac:dyDescent="0.2">
      <c r="A369" s="40">
        <f t="shared" si="5"/>
        <v>2367</v>
      </c>
      <c r="B369" s="40" t="s">
        <v>2701</v>
      </c>
      <c r="C369" s="40" t="s">
        <v>3201</v>
      </c>
      <c r="D369" s="45" t="s">
        <v>3205</v>
      </c>
      <c r="E369" s="45" t="s">
        <v>3206</v>
      </c>
      <c r="F369" s="40">
        <v>1</v>
      </c>
      <c r="G369" s="40">
        <v>300</v>
      </c>
      <c r="H369" s="40">
        <v>0</v>
      </c>
      <c r="I369" s="40">
        <v>20</v>
      </c>
      <c r="J369" s="40">
        <v>0</v>
      </c>
      <c r="K369" s="40">
        <v>1</v>
      </c>
      <c r="L369" s="40">
        <v>0</v>
      </c>
      <c r="M369" s="40">
        <v>0</v>
      </c>
      <c r="N369" s="40">
        <v>0</v>
      </c>
      <c r="O369" s="40">
        <v>0</v>
      </c>
      <c r="P369" s="40">
        <v>50</v>
      </c>
      <c r="Q369" s="40">
        <v>0</v>
      </c>
      <c r="R369" s="40">
        <v>0</v>
      </c>
      <c r="S369" s="40">
        <v>0</v>
      </c>
      <c r="T369" s="40">
        <v>0</v>
      </c>
      <c r="U369" s="40">
        <v>0</v>
      </c>
      <c r="V369" s="40">
        <v>0</v>
      </c>
      <c r="W369" s="40">
        <v>0</v>
      </c>
      <c r="X369" s="40">
        <v>0</v>
      </c>
      <c r="Y369" s="40">
        <v>80</v>
      </c>
      <c r="Z369" s="40">
        <v>0</v>
      </c>
      <c r="AA369" s="40">
        <v>0</v>
      </c>
      <c r="AB369" s="40">
        <v>0</v>
      </c>
      <c r="AC369" s="40">
        <v>0</v>
      </c>
      <c r="AD369" s="40">
        <v>0</v>
      </c>
      <c r="AE369" s="40">
        <v>0</v>
      </c>
      <c r="AF369" s="40">
        <v>0</v>
      </c>
      <c r="AG369" s="40">
        <v>0</v>
      </c>
      <c r="AH369" s="40">
        <v>0</v>
      </c>
      <c r="AI369" s="40">
        <v>0</v>
      </c>
      <c r="AJ369" s="40">
        <v>0</v>
      </c>
      <c r="AK369" s="40">
        <v>0</v>
      </c>
      <c r="AL369" s="40" t="s">
        <v>31</v>
      </c>
      <c r="AM369" s="40" t="s">
        <v>2648</v>
      </c>
      <c r="AN369" s="40" t="s">
        <v>3428</v>
      </c>
      <c r="AO369" s="40" t="s">
        <v>50</v>
      </c>
      <c r="AP369" s="40">
        <v>30</v>
      </c>
      <c r="AQ369" s="40">
        <v>1.2</v>
      </c>
      <c r="AR369" s="43">
        <v>50</v>
      </c>
      <c r="AS369" s="43">
        <v>10</v>
      </c>
      <c r="AT369" s="44" t="s">
        <v>50</v>
      </c>
      <c r="AU369" s="44" t="s">
        <v>50</v>
      </c>
      <c r="AV369" s="44" t="s">
        <v>50</v>
      </c>
      <c r="AW369" s="44" t="s">
        <v>50</v>
      </c>
      <c r="AX369" s="44" t="s">
        <v>50</v>
      </c>
      <c r="AY369" s="44" t="s">
        <v>50</v>
      </c>
      <c r="AZ369" s="44" t="s">
        <v>50</v>
      </c>
      <c r="BA369" s="44" t="s">
        <v>50</v>
      </c>
      <c r="BB369" s="44" t="s">
        <v>50</v>
      </c>
      <c r="BC369" s="44" t="s">
        <v>50</v>
      </c>
      <c r="BD369" s="44" t="s">
        <v>50</v>
      </c>
      <c r="BE369" s="44" t="s">
        <v>50</v>
      </c>
      <c r="BF369" s="44" t="s">
        <v>50</v>
      </c>
      <c r="BG369" s="44" t="s">
        <v>50</v>
      </c>
      <c r="BH369" s="44" t="s">
        <v>50</v>
      </c>
      <c r="BI369" s="43">
        <v>1</v>
      </c>
      <c r="BJ369" s="43">
        <v>1826</v>
      </c>
      <c r="BK369" s="43">
        <v>3</v>
      </c>
      <c r="BL369" s="43">
        <v>20</v>
      </c>
      <c r="BM369" s="43">
        <v>0</v>
      </c>
      <c r="BN369" s="43">
        <v>0</v>
      </c>
      <c r="BO369" s="43">
        <v>0</v>
      </c>
    </row>
    <row r="370" spans="1:67" s="23" customFormat="1" ht="15.75" customHeight="1" x14ac:dyDescent="0.2">
      <c r="A370" s="21">
        <f t="shared" si="5"/>
        <v>2368</v>
      </c>
      <c r="B370" s="21" t="s">
        <v>97</v>
      </c>
      <c r="C370" s="21" t="s">
        <v>2303</v>
      </c>
      <c r="D370" s="22" t="s">
        <v>2304</v>
      </c>
      <c r="E370" s="22" t="s">
        <v>2292</v>
      </c>
      <c r="F370" s="21">
        <v>0</v>
      </c>
      <c r="G370" s="21">
        <v>300</v>
      </c>
      <c r="H370" s="21">
        <v>0</v>
      </c>
      <c r="I370" s="21">
        <v>20</v>
      </c>
      <c r="J370" s="21">
        <v>150</v>
      </c>
      <c r="K370" s="21">
        <v>1</v>
      </c>
      <c r="L370" s="21">
        <v>0</v>
      </c>
      <c r="M370" s="21">
        <v>0</v>
      </c>
      <c r="N370" s="21">
        <v>0</v>
      </c>
      <c r="O370" s="21">
        <v>0</v>
      </c>
      <c r="P370" s="21">
        <v>0</v>
      </c>
      <c r="Q370" s="21">
        <v>0</v>
      </c>
      <c r="R370" s="21">
        <v>0</v>
      </c>
      <c r="S370" s="21">
        <v>0</v>
      </c>
      <c r="T370" s="21">
        <v>0</v>
      </c>
      <c r="U370" s="21">
        <v>0</v>
      </c>
      <c r="V370" s="21">
        <v>0</v>
      </c>
      <c r="W370" s="21">
        <v>0</v>
      </c>
      <c r="X370" s="21">
        <v>0</v>
      </c>
      <c r="Y370" s="21">
        <v>0</v>
      </c>
      <c r="Z370" s="21">
        <v>0</v>
      </c>
      <c r="AA370" s="21">
        <v>0</v>
      </c>
      <c r="AB370" s="21">
        <v>0</v>
      </c>
      <c r="AC370" s="21">
        <v>0</v>
      </c>
      <c r="AD370" s="21">
        <v>0</v>
      </c>
      <c r="AE370" s="21">
        <v>0</v>
      </c>
      <c r="AF370" s="21">
        <v>0</v>
      </c>
      <c r="AG370" s="21">
        <v>0</v>
      </c>
      <c r="AH370" s="21">
        <v>0</v>
      </c>
      <c r="AI370" s="21">
        <v>0</v>
      </c>
      <c r="AJ370" s="21">
        <v>0</v>
      </c>
      <c r="AK370" s="21">
        <v>0</v>
      </c>
      <c r="AL370" s="21" t="s">
        <v>31</v>
      </c>
      <c r="AM370" s="21" t="s">
        <v>48</v>
      </c>
      <c r="AN370" s="21" t="s">
        <v>2022</v>
      </c>
      <c r="AO370" s="21" t="s">
        <v>50</v>
      </c>
      <c r="AP370" s="21">
        <v>30</v>
      </c>
      <c r="AQ370" s="21">
        <v>20</v>
      </c>
      <c r="AR370" s="23">
        <v>1500</v>
      </c>
      <c r="AS370" s="23">
        <v>1200</v>
      </c>
      <c r="AT370" s="24" t="s">
        <v>50</v>
      </c>
      <c r="AU370" s="24" t="s">
        <v>50</v>
      </c>
      <c r="AV370" s="24" t="s">
        <v>50</v>
      </c>
      <c r="AW370" s="24" t="s">
        <v>50</v>
      </c>
      <c r="AX370" s="24" t="s">
        <v>50</v>
      </c>
      <c r="AY370" s="24" t="s">
        <v>50</v>
      </c>
      <c r="AZ370" s="24" t="s">
        <v>50</v>
      </c>
      <c r="BA370" s="24" t="s">
        <v>50</v>
      </c>
      <c r="BB370" s="24" t="s">
        <v>50</v>
      </c>
      <c r="BC370" s="24" t="s">
        <v>50</v>
      </c>
      <c r="BD370" s="24" t="s">
        <v>50</v>
      </c>
      <c r="BE370" s="24" t="s">
        <v>50</v>
      </c>
      <c r="BF370" s="24" t="s">
        <v>50</v>
      </c>
      <c r="BG370" s="24" t="s">
        <v>50</v>
      </c>
      <c r="BH370" s="24" t="s">
        <v>50</v>
      </c>
      <c r="BI370" s="23">
        <v>0</v>
      </c>
      <c r="BJ370" s="23">
        <v>0</v>
      </c>
      <c r="BK370" s="23">
        <v>1</v>
      </c>
      <c r="BL370" s="23">
        <v>30</v>
      </c>
      <c r="BM370">
        <v>0</v>
      </c>
      <c r="BN370">
        <v>0</v>
      </c>
      <c r="BO370" s="23">
        <v>0</v>
      </c>
    </row>
    <row r="371" spans="1:67" ht="15.75" customHeight="1" x14ac:dyDescent="0.2">
      <c r="A371" s="3">
        <f t="shared" si="5"/>
        <v>2369</v>
      </c>
      <c r="B371" s="3" t="s">
        <v>97</v>
      </c>
      <c r="C371" s="3" t="s">
        <v>944</v>
      </c>
      <c r="D371" s="4" t="s">
        <v>129</v>
      </c>
      <c r="E371" s="4" t="s">
        <v>137</v>
      </c>
      <c r="F371" s="3">
        <v>0</v>
      </c>
      <c r="G371" s="3">
        <v>300</v>
      </c>
      <c r="H371" s="3">
        <v>0</v>
      </c>
      <c r="I371" s="3">
        <v>20</v>
      </c>
      <c r="J371" s="3">
        <v>0</v>
      </c>
      <c r="K371" s="3">
        <v>1</v>
      </c>
      <c r="L371" s="3">
        <v>0</v>
      </c>
      <c r="M371" s="3">
        <v>0</v>
      </c>
      <c r="N371" s="3">
        <v>0</v>
      </c>
      <c r="O371" s="3">
        <v>0</v>
      </c>
      <c r="P371" s="3">
        <v>0</v>
      </c>
      <c r="Q371" s="3">
        <v>0</v>
      </c>
      <c r="R371" s="3">
        <v>0</v>
      </c>
      <c r="S371" s="3">
        <v>0</v>
      </c>
      <c r="T371" s="3">
        <v>0</v>
      </c>
      <c r="U371" s="3">
        <v>0</v>
      </c>
      <c r="V371" s="3">
        <v>0</v>
      </c>
      <c r="W371" s="3">
        <v>0</v>
      </c>
      <c r="X371" s="3">
        <v>0</v>
      </c>
      <c r="Y371" s="3">
        <v>60</v>
      </c>
      <c r="Z371" s="3">
        <v>0</v>
      </c>
      <c r="AA371" s="3">
        <v>0</v>
      </c>
      <c r="AB371" s="3">
        <v>0</v>
      </c>
      <c r="AC371" s="3">
        <v>0</v>
      </c>
      <c r="AD371" s="3">
        <v>0</v>
      </c>
      <c r="AE371" s="3">
        <v>0</v>
      </c>
      <c r="AF371" s="3">
        <v>0</v>
      </c>
      <c r="AG371" s="3">
        <v>0</v>
      </c>
      <c r="AH371" s="3">
        <v>0</v>
      </c>
      <c r="AI371" s="3">
        <v>0</v>
      </c>
      <c r="AJ371" s="3">
        <v>0</v>
      </c>
      <c r="AK371" s="3">
        <v>0</v>
      </c>
      <c r="AL371" s="3" t="s">
        <v>31</v>
      </c>
      <c r="AM371" s="3" t="s">
        <v>122</v>
      </c>
      <c r="AN371" s="3" t="s">
        <v>2029</v>
      </c>
      <c r="AO371" s="3" t="s">
        <v>1854</v>
      </c>
      <c r="AP371" s="3">
        <v>30</v>
      </c>
      <c r="AQ371" s="3">
        <v>1.5</v>
      </c>
      <c r="AR371">
        <v>800</v>
      </c>
      <c r="AS371">
        <v>10</v>
      </c>
      <c r="AT371" s="6" t="s">
        <v>150</v>
      </c>
      <c r="AU371" s="6" t="s">
        <v>150</v>
      </c>
      <c r="AV371" s="6" t="s">
        <v>150</v>
      </c>
      <c r="AW371" s="6" t="s">
        <v>150</v>
      </c>
      <c r="AX371" s="6" t="s">
        <v>150</v>
      </c>
      <c r="AY371" s="6" t="s">
        <v>150</v>
      </c>
      <c r="AZ371" s="6" t="s">
        <v>150</v>
      </c>
      <c r="BA371" s="6" t="s">
        <v>150</v>
      </c>
      <c r="BB371" s="6" t="s">
        <v>150</v>
      </c>
      <c r="BC371" s="6" t="s">
        <v>150</v>
      </c>
      <c r="BD371" s="6" t="s">
        <v>994</v>
      </c>
      <c r="BE371" s="6" t="s">
        <v>50</v>
      </c>
      <c r="BF371" s="6" t="s">
        <v>50</v>
      </c>
      <c r="BG371" s="6" t="s">
        <v>50</v>
      </c>
      <c r="BH371" s="6" t="s">
        <v>50</v>
      </c>
      <c r="BI371">
        <v>1</v>
      </c>
      <c r="BJ371">
        <v>601</v>
      </c>
      <c r="BK371">
        <v>3</v>
      </c>
      <c r="BL371">
        <v>10</v>
      </c>
      <c r="BM371">
        <v>0</v>
      </c>
      <c r="BN371">
        <v>0</v>
      </c>
      <c r="BO371">
        <v>0</v>
      </c>
    </row>
    <row r="372" spans="1:67" ht="15.75" customHeight="1" x14ac:dyDescent="0.2">
      <c r="A372" s="3">
        <f t="shared" si="5"/>
        <v>2370</v>
      </c>
      <c r="B372" s="3" t="s">
        <v>950</v>
      </c>
      <c r="C372" s="3" t="s">
        <v>863</v>
      </c>
      <c r="D372" s="4" t="s">
        <v>861</v>
      </c>
      <c r="E372" s="4" t="s">
        <v>862</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20</v>
      </c>
      <c r="Z372" s="3">
        <v>0</v>
      </c>
      <c r="AA372" s="3">
        <v>0</v>
      </c>
      <c r="AB372" s="3">
        <v>0</v>
      </c>
      <c r="AC372" s="3">
        <v>0</v>
      </c>
      <c r="AD372" s="3">
        <v>0</v>
      </c>
      <c r="AE372" s="3">
        <v>0</v>
      </c>
      <c r="AF372" s="3">
        <v>0</v>
      </c>
      <c r="AG372" s="3">
        <v>0</v>
      </c>
      <c r="AH372" s="3">
        <v>0</v>
      </c>
      <c r="AI372" s="3">
        <v>0</v>
      </c>
      <c r="AJ372" s="3">
        <v>0</v>
      </c>
      <c r="AK372" s="3">
        <v>0</v>
      </c>
      <c r="AL372" s="3" t="s">
        <v>31</v>
      </c>
      <c r="AM372" s="3" t="s">
        <v>122</v>
      </c>
      <c r="AN372" s="3" t="s">
        <v>2029</v>
      </c>
      <c r="AO372" s="3" t="s">
        <v>1853</v>
      </c>
      <c r="AP372" s="3">
        <v>30</v>
      </c>
      <c r="AQ372" s="3">
        <v>1.5</v>
      </c>
      <c r="AR372">
        <v>500</v>
      </c>
      <c r="AS372">
        <v>10</v>
      </c>
      <c r="AT372" s="6" t="s">
        <v>50</v>
      </c>
      <c r="AU372" s="6" t="s">
        <v>50</v>
      </c>
      <c r="AV372" s="6" t="s">
        <v>50</v>
      </c>
      <c r="AW372" s="6" t="s">
        <v>50</v>
      </c>
      <c r="AX372" s="6" t="s">
        <v>50</v>
      </c>
      <c r="AY372" s="6" t="s">
        <v>50</v>
      </c>
      <c r="AZ372" s="6" t="s">
        <v>50</v>
      </c>
      <c r="BA372" s="6" t="s">
        <v>50</v>
      </c>
      <c r="BB372" s="6" t="s">
        <v>50</v>
      </c>
      <c r="BC372" s="6" t="s">
        <v>50</v>
      </c>
      <c r="BD372" s="6" t="s">
        <v>873</v>
      </c>
      <c r="BE372" s="6" t="s">
        <v>50</v>
      </c>
      <c r="BF372" s="6" t="s">
        <v>50</v>
      </c>
      <c r="BG372" s="6" t="s">
        <v>50</v>
      </c>
      <c r="BH372" s="6" t="s">
        <v>50</v>
      </c>
      <c r="BI372">
        <v>1</v>
      </c>
      <c r="BJ372">
        <v>600</v>
      </c>
      <c r="BK372">
        <v>1</v>
      </c>
      <c r="BL372">
        <v>10</v>
      </c>
      <c r="BM372">
        <v>0</v>
      </c>
      <c r="BN372">
        <v>0</v>
      </c>
      <c r="BO372">
        <v>0</v>
      </c>
    </row>
    <row r="373" spans="1:67" ht="15.75" customHeight="1" x14ac:dyDescent="0.2">
      <c r="A373" s="3">
        <f t="shared" si="5"/>
        <v>2371</v>
      </c>
      <c r="B373" s="3" t="s">
        <v>1293</v>
      </c>
      <c r="C373" s="3" t="s">
        <v>848</v>
      </c>
      <c r="D373" s="4" t="s">
        <v>1521</v>
      </c>
      <c r="E373" s="4" t="s">
        <v>1476</v>
      </c>
      <c r="F373" s="3">
        <v>0</v>
      </c>
      <c r="G373" s="3">
        <v>300</v>
      </c>
      <c r="H373" s="3">
        <v>0</v>
      </c>
      <c r="I373" s="3">
        <v>20</v>
      </c>
      <c r="J373" s="3">
        <v>0</v>
      </c>
      <c r="K373" s="3">
        <v>1</v>
      </c>
      <c r="L373" s="3">
        <v>0</v>
      </c>
      <c r="M373" s="3">
        <v>0</v>
      </c>
      <c r="N373" s="3">
        <v>0</v>
      </c>
      <c r="O373" s="3">
        <v>0</v>
      </c>
      <c r="P373" s="3">
        <v>0</v>
      </c>
      <c r="Q373" s="3">
        <v>0</v>
      </c>
      <c r="R373" s="3">
        <v>0</v>
      </c>
      <c r="S373" s="3">
        <v>0</v>
      </c>
      <c r="T373" s="3">
        <v>0</v>
      </c>
      <c r="U373" s="3">
        <v>0</v>
      </c>
      <c r="V373" s="3">
        <v>0</v>
      </c>
      <c r="W373" s="3">
        <v>0</v>
      </c>
      <c r="X373" s="3">
        <v>0</v>
      </c>
      <c r="Y373" s="3">
        <v>60</v>
      </c>
      <c r="Z373" s="3">
        <v>0</v>
      </c>
      <c r="AA373" s="3">
        <v>0</v>
      </c>
      <c r="AB373" s="3">
        <v>0</v>
      </c>
      <c r="AC373" s="3">
        <v>0</v>
      </c>
      <c r="AD373" s="3">
        <v>0</v>
      </c>
      <c r="AE373" s="3">
        <v>0</v>
      </c>
      <c r="AF373" s="3">
        <v>0</v>
      </c>
      <c r="AG373" s="3">
        <v>0</v>
      </c>
      <c r="AH373" s="3">
        <v>0</v>
      </c>
      <c r="AI373" s="3">
        <v>0</v>
      </c>
      <c r="AJ373" s="3">
        <v>0</v>
      </c>
      <c r="AK373" s="3">
        <v>0</v>
      </c>
      <c r="AL373" s="3" t="s">
        <v>31</v>
      </c>
      <c r="AM373" s="3" t="s">
        <v>122</v>
      </c>
      <c r="AN373" s="3" t="s">
        <v>2029</v>
      </c>
      <c r="AO373" s="3" t="s">
        <v>1853</v>
      </c>
      <c r="AP373" s="3">
        <v>30</v>
      </c>
      <c r="AQ373" s="3">
        <v>1.8</v>
      </c>
      <c r="AR373">
        <v>3000</v>
      </c>
      <c r="AS373">
        <v>10</v>
      </c>
      <c r="AT373" s="6" t="s">
        <v>50</v>
      </c>
      <c r="AU373" s="6" t="s">
        <v>50</v>
      </c>
      <c r="AV373" s="6" t="s">
        <v>50</v>
      </c>
      <c r="AW373" s="6" t="s">
        <v>50</v>
      </c>
      <c r="AX373" s="6" t="s">
        <v>50</v>
      </c>
      <c r="AY373" s="6" t="s">
        <v>50</v>
      </c>
      <c r="AZ373" s="6" t="s">
        <v>50</v>
      </c>
      <c r="BA373" s="6" t="s">
        <v>50</v>
      </c>
      <c r="BB373" s="6" t="s">
        <v>50</v>
      </c>
      <c r="BC373" s="6" t="s">
        <v>50</v>
      </c>
      <c r="BD373" s="6" t="s">
        <v>1264</v>
      </c>
      <c r="BE373" s="6" t="s">
        <v>50</v>
      </c>
      <c r="BF373" s="6" t="s">
        <v>50</v>
      </c>
      <c r="BG373" s="6" t="s">
        <v>50</v>
      </c>
      <c r="BH373" s="6" t="s">
        <v>50</v>
      </c>
      <c r="BI373">
        <v>1</v>
      </c>
      <c r="BJ373">
        <v>602</v>
      </c>
      <c r="BK373">
        <v>4</v>
      </c>
      <c r="BL373">
        <v>10</v>
      </c>
      <c r="BM373">
        <v>0</v>
      </c>
      <c r="BN373">
        <v>0</v>
      </c>
      <c r="BO373">
        <v>0</v>
      </c>
    </row>
    <row r="374" spans="1:67" ht="15.75" customHeight="1" x14ac:dyDescent="0.2">
      <c r="A374" s="3">
        <f t="shared" si="5"/>
        <v>2372</v>
      </c>
      <c r="B374" s="3" t="s">
        <v>948</v>
      </c>
      <c r="C374" s="3" t="s">
        <v>833</v>
      </c>
      <c r="D374" s="4" t="s">
        <v>834</v>
      </c>
      <c r="E374" s="4" t="s">
        <v>835</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60</v>
      </c>
      <c r="Z374" s="3">
        <v>0</v>
      </c>
      <c r="AA374" s="3">
        <v>0</v>
      </c>
      <c r="AB374" s="3">
        <v>0</v>
      </c>
      <c r="AC374" s="3">
        <v>0</v>
      </c>
      <c r="AD374" s="3">
        <v>0</v>
      </c>
      <c r="AE374" s="3">
        <v>0</v>
      </c>
      <c r="AF374" s="3">
        <v>0</v>
      </c>
      <c r="AG374" s="3">
        <v>0</v>
      </c>
      <c r="AH374" s="3">
        <v>0</v>
      </c>
      <c r="AI374" s="3">
        <v>0</v>
      </c>
      <c r="AJ374" s="3">
        <v>0</v>
      </c>
      <c r="AK374" s="3">
        <v>0</v>
      </c>
      <c r="AL374" s="3" t="s">
        <v>31</v>
      </c>
      <c r="AM374" s="3" t="s">
        <v>122</v>
      </c>
      <c r="AN374" s="3" t="s">
        <v>2029</v>
      </c>
      <c r="AO374" s="3" t="s">
        <v>1853</v>
      </c>
      <c r="AP374" s="3">
        <v>30</v>
      </c>
      <c r="AQ374" s="3">
        <v>1.5</v>
      </c>
      <c r="AR374">
        <v>500</v>
      </c>
      <c r="AS374">
        <v>10</v>
      </c>
      <c r="AT374" s="6" t="s">
        <v>50</v>
      </c>
      <c r="AU374" s="6" t="s">
        <v>50</v>
      </c>
      <c r="AV374" s="6" t="s">
        <v>50</v>
      </c>
      <c r="AW374" s="6" t="s">
        <v>50</v>
      </c>
      <c r="AX374" s="6" t="s">
        <v>50</v>
      </c>
      <c r="AY374" s="6" t="s">
        <v>50</v>
      </c>
      <c r="AZ374" s="6" t="s">
        <v>50</v>
      </c>
      <c r="BA374" s="6" t="s">
        <v>50</v>
      </c>
      <c r="BB374" s="6" t="s">
        <v>50</v>
      </c>
      <c r="BC374" s="6" t="s">
        <v>50</v>
      </c>
      <c r="BD374" s="6" t="s">
        <v>836</v>
      </c>
      <c r="BE374" s="6" t="s">
        <v>50</v>
      </c>
      <c r="BF374" s="6" t="s">
        <v>50</v>
      </c>
      <c r="BG374" s="6" t="s">
        <v>50</v>
      </c>
      <c r="BH374" s="6" t="s">
        <v>50</v>
      </c>
      <c r="BI374">
        <v>1</v>
      </c>
      <c r="BJ374">
        <v>603</v>
      </c>
      <c r="BK374">
        <v>1</v>
      </c>
      <c r="BL374">
        <v>10</v>
      </c>
      <c r="BM374">
        <v>0</v>
      </c>
      <c r="BN374">
        <v>0</v>
      </c>
      <c r="BO374">
        <v>0</v>
      </c>
    </row>
    <row r="375" spans="1:67" ht="15.75" customHeight="1" x14ac:dyDescent="0.2">
      <c r="A375" s="3">
        <f t="shared" si="5"/>
        <v>2373</v>
      </c>
      <c r="B375" s="3" t="s">
        <v>1291</v>
      </c>
      <c r="C375" s="3" t="s">
        <v>1164</v>
      </c>
      <c r="D375" s="4" t="s">
        <v>1163</v>
      </c>
      <c r="E375" s="4" t="s">
        <v>1167</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60</v>
      </c>
      <c r="Z375" s="3">
        <v>0</v>
      </c>
      <c r="AA375" s="3">
        <v>0</v>
      </c>
      <c r="AB375" s="3">
        <v>0</v>
      </c>
      <c r="AC375" s="3">
        <v>0</v>
      </c>
      <c r="AD375" s="3">
        <v>0</v>
      </c>
      <c r="AE375" s="3">
        <v>0</v>
      </c>
      <c r="AF375" s="3">
        <v>0</v>
      </c>
      <c r="AG375" s="3">
        <v>0</v>
      </c>
      <c r="AH375" s="3">
        <v>0</v>
      </c>
      <c r="AI375" s="3">
        <v>0</v>
      </c>
      <c r="AJ375" s="3">
        <v>0</v>
      </c>
      <c r="AK375" s="3">
        <v>0</v>
      </c>
      <c r="AL375" s="3" t="s">
        <v>31</v>
      </c>
      <c r="AM375" s="3" t="s">
        <v>122</v>
      </c>
      <c r="AN375" s="3" t="s">
        <v>2029</v>
      </c>
      <c r="AO375" s="3" t="s">
        <v>1853</v>
      </c>
      <c r="AP375" s="3">
        <v>30</v>
      </c>
      <c r="AQ375" s="3">
        <v>1.7</v>
      </c>
      <c r="AR375">
        <v>700</v>
      </c>
      <c r="AS375">
        <v>10</v>
      </c>
      <c r="AT375" s="6" t="s">
        <v>50</v>
      </c>
      <c r="AU375" s="6" t="s">
        <v>50</v>
      </c>
      <c r="AV375" s="6" t="s">
        <v>50</v>
      </c>
      <c r="AW375" s="6" t="s">
        <v>50</v>
      </c>
      <c r="AX375" s="6" t="s">
        <v>50</v>
      </c>
      <c r="AY375" s="6" t="s">
        <v>50</v>
      </c>
      <c r="AZ375" s="6" t="s">
        <v>50</v>
      </c>
      <c r="BA375" s="6" t="s">
        <v>50</v>
      </c>
      <c r="BB375" s="6" t="s">
        <v>50</v>
      </c>
      <c r="BC375" s="6" t="s">
        <v>50</v>
      </c>
      <c r="BD375" s="6" t="s">
        <v>1143</v>
      </c>
      <c r="BE375" s="6" t="s">
        <v>50</v>
      </c>
      <c r="BF375" s="6" t="s">
        <v>50</v>
      </c>
      <c r="BG375" s="6" t="s">
        <v>50</v>
      </c>
      <c r="BH375" s="6" t="s">
        <v>50</v>
      </c>
      <c r="BI375">
        <v>1</v>
      </c>
      <c r="BJ375">
        <v>604</v>
      </c>
      <c r="BK375">
        <v>2</v>
      </c>
      <c r="BL375">
        <v>10</v>
      </c>
      <c r="BM375">
        <v>0</v>
      </c>
      <c r="BN375">
        <v>0</v>
      </c>
      <c r="BO375">
        <v>0</v>
      </c>
    </row>
    <row r="376" spans="1:67" ht="15.75" customHeight="1" x14ac:dyDescent="0.2">
      <c r="A376" s="3">
        <f t="shared" si="5"/>
        <v>2374</v>
      </c>
      <c r="B376" s="3" t="s">
        <v>1292</v>
      </c>
      <c r="C376" s="3" t="s">
        <v>1166</v>
      </c>
      <c r="D376" s="4" t="s">
        <v>1165</v>
      </c>
      <c r="E376" s="4" t="s">
        <v>1168</v>
      </c>
      <c r="F376" s="3">
        <v>0</v>
      </c>
      <c r="G376" s="3">
        <v>300</v>
      </c>
      <c r="H376" s="3">
        <v>0</v>
      </c>
      <c r="I376" s="3">
        <v>20</v>
      </c>
      <c r="J376" s="3">
        <v>0</v>
      </c>
      <c r="K376" s="3">
        <v>1</v>
      </c>
      <c r="L376" s="3">
        <v>0</v>
      </c>
      <c r="M376" s="3">
        <v>0</v>
      </c>
      <c r="N376" s="3">
        <v>0</v>
      </c>
      <c r="O376" s="3">
        <v>0</v>
      </c>
      <c r="P376" s="3">
        <v>0</v>
      </c>
      <c r="Q376" s="3">
        <v>0</v>
      </c>
      <c r="R376" s="3">
        <v>0</v>
      </c>
      <c r="S376" s="3">
        <v>0</v>
      </c>
      <c r="T376" s="3">
        <v>0</v>
      </c>
      <c r="U376" s="3">
        <v>0</v>
      </c>
      <c r="V376" s="3">
        <v>0</v>
      </c>
      <c r="W376" s="3">
        <v>0</v>
      </c>
      <c r="X376" s="3">
        <v>0</v>
      </c>
      <c r="Y376" s="3">
        <v>60</v>
      </c>
      <c r="Z376" s="3">
        <v>0</v>
      </c>
      <c r="AA376" s="3">
        <v>0</v>
      </c>
      <c r="AB376" s="3">
        <v>0</v>
      </c>
      <c r="AC376" s="3">
        <v>0</v>
      </c>
      <c r="AD376" s="3">
        <v>0</v>
      </c>
      <c r="AE376" s="3">
        <v>0</v>
      </c>
      <c r="AF376" s="3">
        <v>0</v>
      </c>
      <c r="AG376" s="3">
        <v>0</v>
      </c>
      <c r="AH376" s="3">
        <v>0</v>
      </c>
      <c r="AI376" s="3">
        <v>0</v>
      </c>
      <c r="AJ376" s="3">
        <v>0</v>
      </c>
      <c r="AK376" s="3">
        <v>0</v>
      </c>
      <c r="AL376" s="3" t="s">
        <v>31</v>
      </c>
      <c r="AM376" s="3" t="s">
        <v>122</v>
      </c>
      <c r="AN376" s="3" t="s">
        <v>2029</v>
      </c>
      <c r="AO376" s="3" t="s">
        <v>1853</v>
      </c>
      <c r="AP376" s="3">
        <v>30</v>
      </c>
      <c r="AQ376" s="3">
        <v>1.5</v>
      </c>
      <c r="AR376">
        <v>1000</v>
      </c>
      <c r="AS376">
        <v>10</v>
      </c>
      <c r="AT376" s="6" t="s">
        <v>50</v>
      </c>
      <c r="AU376" s="6" t="s">
        <v>50</v>
      </c>
      <c r="AV376" s="6" t="s">
        <v>50</v>
      </c>
      <c r="AW376" s="6" t="s">
        <v>50</v>
      </c>
      <c r="AX376" s="6" t="s">
        <v>50</v>
      </c>
      <c r="AY376" s="6" t="s">
        <v>50</v>
      </c>
      <c r="AZ376" s="6" t="s">
        <v>50</v>
      </c>
      <c r="BA376" s="6" t="s">
        <v>50</v>
      </c>
      <c r="BB376" s="6" t="s">
        <v>50</v>
      </c>
      <c r="BC376" s="6" t="s">
        <v>50</v>
      </c>
      <c r="BD376" s="6" t="s">
        <v>1144</v>
      </c>
      <c r="BE376" s="6" t="s">
        <v>50</v>
      </c>
      <c r="BF376" s="6" t="s">
        <v>50</v>
      </c>
      <c r="BG376" s="6" t="s">
        <v>50</v>
      </c>
      <c r="BH376" s="6" t="s">
        <v>50</v>
      </c>
      <c r="BI376">
        <v>1</v>
      </c>
      <c r="BJ376">
        <v>605</v>
      </c>
      <c r="BK376">
        <v>2</v>
      </c>
      <c r="BL376">
        <v>10</v>
      </c>
      <c r="BM376">
        <v>0</v>
      </c>
      <c r="BN376">
        <v>0</v>
      </c>
      <c r="BO376">
        <v>0</v>
      </c>
    </row>
    <row r="377" spans="1:67" ht="15.75" customHeight="1" x14ac:dyDescent="0.2">
      <c r="A377" s="3">
        <f t="shared" si="5"/>
        <v>2375</v>
      </c>
      <c r="B377" s="3" t="s">
        <v>1294</v>
      </c>
      <c r="C377" s="3" t="s">
        <v>1171</v>
      </c>
      <c r="D377" s="4" t="s">
        <v>1169</v>
      </c>
      <c r="E377" s="4" t="s">
        <v>1170</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110</v>
      </c>
      <c r="Z377" s="3">
        <v>0</v>
      </c>
      <c r="AA377" s="3">
        <v>0</v>
      </c>
      <c r="AB377" s="3">
        <v>0</v>
      </c>
      <c r="AC377" s="3">
        <v>0</v>
      </c>
      <c r="AD377" s="3">
        <v>0</v>
      </c>
      <c r="AE377" s="3">
        <v>0</v>
      </c>
      <c r="AF377" s="3">
        <v>0</v>
      </c>
      <c r="AG377" s="3">
        <v>0</v>
      </c>
      <c r="AH377" s="3">
        <v>0</v>
      </c>
      <c r="AI377" s="3">
        <v>0</v>
      </c>
      <c r="AJ377" s="3">
        <v>0</v>
      </c>
      <c r="AK377" s="3">
        <v>0</v>
      </c>
      <c r="AL377" s="3" t="s">
        <v>31</v>
      </c>
      <c r="AM377" s="3" t="s">
        <v>122</v>
      </c>
      <c r="AN377" s="3" t="s">
        <v>2030</v>
      </c>
      <c r="AO377" s="3" t="s">
        <v>51</v>
      </c>
      <c r="AP377" s="3">
        <v>30</v>
      </c>
      <c r="AQ377" s="3">
        <v>2</v>
      </c>
      <c r="AR377">
        <v>1500</v>
      </c>
      <c r="AS377">
        <v>10</v>
      </c>
      <c r="AT377" s="6" t="s">
        <v>50</v>
      </c>
      <c r="AU377" s="6" t="s">
        <v>50</v>
      </c>
      <c r="AV377" s="6" t="s">
        <v>50</v>
      </c>
      <c r="AW377" s="6" t="s">
        <v>50</v>
      </c>
      <c r="AX377" s="6" t="s">
        <v>50</v>
      </c>
      <c r="AY377" s="6" t="s">
        <v>50</v>
      </c>
      <c r="AZ377" s="6" t="s">
        <v>50</v>
      </c>
      <c r="BA377" s="6" t="s">
        <v>50</v>
      </c>
      <c r="BB377" s="6" t="s">
        <v>50</v>
      </c>
      <c r="BC377" s="6" t="s">
        <v>50</v>
      </c>
      <c r="BD377" s="6" t="s">
        <v>1145</v>
      </c>
      <c r="BE377" s="6" t="s">
        <v>50</v>
      </c>
      <c r="BF377" s="6" t="s">
        <v>50</v>
      </c>
      <c r="BG377" s="6" t="s">
        <v>50</v>
      </c>
      <c r="BH377" s="6" t="s">
        <v>50</v>
      </c>
      <c r="BI377">
        <v>1</v>
      </c>
      <c r="BJ377">
        <v>606</v>
      </c>
      <c r="BK377">
        <v>4</v>
      </c>
      <c r="BL377">
        <v>10</v>
      </c>
      <c r="BM377">
        <v>0</v>
      </c>
      <c r="BN377">
        <v>0</v>
      </c>
      <c r="BO377">
        <v>0</v>
      </c>
    </row>
    <row r="378" spans="1:67" ht="15.75" customHeight="1" x14ac:dyDescent="0.2">
      <c r="A378" s="3">
        <f t="shared" si="5"/>
        <v>2376</v>
      </c>
      <c r="B378" s="3" t="s">
        <v>949</v>
      </c>
      <c r="C378" s="3" t="s">
        <v>947</v>
      </c>
      <c r="D378" s="4" t="s">
        <v>945</v>
      </c>
      <c r="E378" s="4" t="s">
        <v>946</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60</v>
      </c>
      <c r="Z378" s="3">
        <v>0</v>
      </c>
      <c r="AA378" s="3">
        <v>0</v>
      </c>
      <c r="AB378" s="3">
        <v>0</v>
      </c>
      <c r="AC378" s="3">
        <v>0</v>
      </c>
      <c r="AD378" s="3">
        <v>0</v>
      </c>
      <c r="AE378" s="3">
        <v>0</v>
      </c>
      <c r="AF378" s="3">
        <v>0</v>
      </c>
      <c r="AG378" s="3">
        <v>0</v>
      </c>
      <c r="AH378" s="3">
        <v>0</v>
      </c>
      <c r="AI378" s="3">
        <v>0</v>
      </c>
      <c r="AJ378" s="3">
        <v>0</v>
      </c>
      <c r="AK378" s="3">
        <v>0</v>
      </c>
      <c r="AL378" s="3" t="s">
        <v>31</v>
      </c>
      <c r="AM378" s="3" t="s">
        <v>122</v>
      </c>
      <c r="AN378" s="3" t="s">
        <v>2029</v>
      </c>
      <c r="AO378" s="3" t="s">
        <v>1853</v>
      </c>
      <c r="AP378" s="3">
        <v>30</v>
      </c>
      <c r="AQ378" s="3">
        <v>1.5</v>
      </c>
      <c r="AR378">
        <v>2500</v>
      </c>
      <c r="AS378">
        <v>10</v>
      </c>
      <c r="AT378" s="6" t="s">
        <v>50</v>
      </c>
      <c r="AU378" s="6" t="s">
        <v>50</v>
      </c>
      <c r="AV378" s="6" t="s">
        <v>50</v>
      </c>
      <c r="AW378" s="6" t="s">
        <v>50</v>
      </c>
      <c r="AX378" s="6" t="s">
        <v>50</v>
      </c>
      <c r="AY378" s="6" t="s">
        <v>50</v>
      </c>
      <c r="AZ378" s="6" t="s">
        <v>50</v>
      </c>
      <c r="BA378" s="6" t="s">
        <v>50</v>
      </c>
      <c r="BB378" s="6" t="s">
        <v>50</v>
      </c>
      <c r="BC378" s="6" t="s">
        <v>50</v>
      </c>
      <c r="BD378" s="6" t="s">
        <v>919</v>
      </c>
      <c r="BE378" s="6" t="s">
        <v>50</v>
      </c>
      <c r="BF378" s="6" t="s">
        <v>50</v>
      </c>
      <c r="BG378" s="6" t="s">
        <v>50</v>
      </c>
      <c r="BH378" s="6" t="s">
        <v>50</v>
      </c>
      <c r="BI378">
        <v>1</v>
      </c>
      <c r="BJ378">
        <v>607</v>
      </c>
      <c r="BK378">
        <v>3</v>
      </c>
      <c r="BL378">
        <v>10</v>
      </c>
      <c r="BM378">
        <v>0</v>
      </c>
      <c r="BN378">
        <v>0</v>
      </c>
      <c r="BO378">
        <v>0</v>
      </c>
    </row>
    <row r="379" spans="1:67" ht="15.75" customHeight="1" x14ac:dyDescent="0.2">
      <c r="A379" s="3">
        <f t="shared" si="5"/>
        <v>2377</v>
      </c>
      <c r="B379" s="3" t="s">
        <v>1829</v>
      </c>
      <c r="C379" s="3" t="s">
        <v>1830</v>
      </c>
      <c r="D379" s="4" t="s">
        <v>1831</v>
      </c>
      <c r="E379" s="4" t="s">
        <v>1832</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0</v>
      </c>
      <c r="AF379" s="3">
        <v>0</v>
      </c>
      <c r="AG379" s="3">
        <v>0</v>
      </c>
      <c r="AH379" s="3">
        <v>0</v>
      </c>
      <c r="AI379" s="3">
        <v>0</v>
      </c>
      <c r="AJ379" s="3">
        <v>0</v>
      </c>
      <c r="AK379" s="3">
        <v>0</v>
      </c>
      <c r="AL379" s="3" t="s">
        <v>157</v>
      </c>
      <c r="AM379" s="3" t="s">
        <v>122</v>
      </c>
      <c r="AN379" s="3" t="s">
        <v>2029</v>
      </c>
      <c r="AO379" s="3" t="s">
        <v>1853</v>
      </c>
      <c r="AP379" s="3">
        <v>30</v>
      </c>
      <c r="AQ379" s="3">
        <v>1.5</v>
      </c>
      <c r="AR379">
        <v>2500</v>
      </c>
      <c r="AS379">
        <v>10</v>
      </c>
      <c r="AT379" s="6" t="s">
        <v>50</v>
      </c>
      <c r="AU379" s="6" t="s">
        <v>50</v>
      </c>
      <c r="AV379" s="6" t="s">
        <v>50</v>
      </c>
      <c r="AW379" s="6" t="s">
        <v>50</v>
      </c>
      <c r="AX379" s="6" t="s">
        <v>50</v>
      </c>
      <c r="AY379" s="6" t="s">
        <v>50</v>
      </c>
      <c r="AZ379" s="6" t="s">
        <v>50</v>
      </c>
      <c r="BA379" s="6" t="s">
        <v>50</v>
      </c>
      <c r="BB379" s="6" t="s">
        <v>50</v>
      </c>
      <c r="BC379" s="6" t="s">
        <v>50</v>
      </c>
      <c r="BD379" s="6" t="s">
        <v>1847</v>
      </c>
      <c r="BE379" s="6" t="s">
        <v>50</v>
      </c>
      <c r="BF379" s="6" t="s">
        <v>50</v>
      </c>
      <c r="BG379" s="6" t="s">
        <v>50</v>
      </c>
      <c r="BH379" s="6" t="s">
        <v>50</v>
      </c>
      <c r="BI379">
        <v>1</v>
      </c>
      <c r="BJ379">
        <v>608</v>
      </c>
      <c r="BK379">
        <v>3</v>
      </c>
      <c r="BL379">
        <v>10</v>
      </c>
      <c r="BM379">
        <v>0</v>
      </c>
      <c r="BN379">
        <v>0</v>
      </c>
      <c r="BO379">
        <v>1</v>
      </c>
    </row>
    <row r="380" spans="1:67" s="23" customFormat="1" ht="15.75" customHeight="1" x14ac:dyDescent="0.2">
      <c r="A380" s="21">
        <f t="shared" si="5"/>
        <v>2378</v>
      </c>
      <c r="B380" s="21" t="s">
        <v>97</v>
      </c>
      <c r="C380" s="21" t="s">
        <v>2352</v>
      </c>
      <c r="D380" s="22" t="s">
        <v>2353</v>
      </c>
      <c r="E380" s="22" t="s">
        <v>2292</v>
      </c>
      <c r="F380" s="21">
        <v>0</v>
      </c>
      <c r="G380" s="21">
        <v>300</v>
      </c>
      <c r="H380" s="21">
        <v>0</v>
      </c>
      <c r="I380" s="21">
        <v>20</v>
      </c>
      <c r="J380" s="21">
        <v>150</v>
      </c>
      <c r="K380" s="21">
        <v>1</v>
      </c>
      <c r="L380" s="21">
        <v>0</v>
      </c>
      <c r="M380" s="21">
        <v>0</v>
      </c>
      <c r="N380" s="21">
        <v>0</v>
      </c>
      <c r="O380" s="21">
        <v>0</v>
      </c>
      <c r="P380" s="21">
        <v>0</v>
      </c>
      <c r="Q380" s="21">
        <v>0</v>
      </c>
      <c r="R380" s="21">
        <v>0</v>
      </c>
      <c r="S380" s="21">
        <v>0</v>
      </c>
      <c r="T380" s="21">
        <v>0</v>
      </c>
      <c r="U380" s="21">
        <v>0</v>
      </c>
      <c r="V380" s="21">
        <v>0</v>
      </c>
      <c r="W380" s="21">
        <v>0</v>
      </c>
      <c r="X380" s="21">
        <v>0</v>
      </c>
      <c r="Y380" s="21">
        <v>0</v>
      </c>
      <c r="Z380" s="21">
        <v>0</v>
      </c>
      <c r="AA380" s="21">
        <v>0</v>
      </c>
      <c r="AB380" s="21">
        <v>0</v>
      </c>
      <c r="AC380" s="21">
        <v>0</v>
      </c>
      <c r="AD380" s="21">
        <v>0</v>
      </c>
      <c r="AE380" s="21">
        <v>0</v>
      </c>
      <c r="AF380" s="21">
        <v>0</v>
      </c>
      <c r="AG380" s="21">
        <v>0</v>
      </c>
      <c r="AH380" s="21">
        <v>0</v>
      </c>
      <c r="AI380" s="21">
        <v>0</v>
      </c>
      <c r="AJ380" s="21">
        <v>0</v>
      </c>
      <c r="AK380" s="21">
        <v>0</v>
      </c>
      <c r="AL380" s="21" t="s">
        <v>31</v>
      </c>
      <c r="AM380" s="21" t="s">
        <v>48</v>
      </c>
      <c r="AN380" s="21" t="s">
        <v>2022</v>
      </c>
      <c r="AO380" s="21" t="s">
        <v>50</v>
      </c>
      <c r="AP380" s="21">
        <v>30</v>
      </c>
      <c r="AQ380" s="21">
        <v>20</v>
      </c>
      <c r="AR380" s="23">
        <v>1500</v>
      </c>
      <c r="AS380" s="23">
        <v>1200</v>
      </c>
      <c r="AT380" s="24" t="s">
        <v>50</v>
      </c>
      <c r="AU380" s="24" t="s">
        <v>50</v>
      </c>
      <c r="AV380" s="24" t="s">
        <v>50</v>
      </c>
      <c r="AW380" s="24" t="s">
        <v>50</v>
      </c>
      <c r="AX380" s="24" t="s">
        <v>50</v>
      </c>
      <c r="AY380" s="24" t="s">
        <v>50</v>
      </c>
      <c r="AZ380" s="24" t="s">
        <v>50</v>
      </c>
      <c r="BA380" s="24" t="s">
        <v>50</v>
      </c>
      <c r="BB380" s="24" t="s">
        <v>50</v>
      </c>
      <c r="BC380" s="24" t="s">
        <v>50</v>
      </c>
      <c r="BD380" s="24" t="s">
        <v>50</v>
      </c>
      <c r="BE380" s="24" t="s">
        <v>50</v>
      </c>
      <c r="BF380" s="24" t="s">
        <v>50</v>
      </c>
      <c r="BG380" s="24" t="s">
        <v>50</v>
      </c>
      <c r="BH380" s="24" t="s">
        <v>50</v>
      </c>
      <c r="BI380" s="23">
        <v>0</v>
      </c>
      <c r="BJ380" s="23">
        <v>0</v>
      </c>
      <c r="BK380" s="23">
        <v>1</v>
      </c>
      <c r="BL380" s="23">
        <v>30</v>
      </c>
      <c r="BM380">
        <v>0</v>
      </c>
      <c r="BN380">
        <v>0</v>
      </c>
      <c r="BO380" s="23">
        <v>0</v>
      </c>
    </row>
    <row r="381" spans="1:67" ht="15.75" customHeight="1" x14ac:dyDescent="0.2">
      <c r="A381" s="3">
        <f t="shared" si="5"/>
        <v>2379</v>
      </c>
      <c r="B381" s="3" t="s">
        <v>385</v>
      </c>
      <c r="C381" s="3" t="s">
        <v>120</v>
      </c>
      <c r="D381" s="4" t="s">
        <v>108</v>
      </c>
      <c r="E381" s="4" t="s">
        <v>138</v>
      </c>
      <c r="F381" s="3">
        <v>0</v>
      </c>
      <c r="G381" s="3">
        <v>100</v>
      </c>
      <c r="H381" s="3">
        <v>0</v>
      </c>
      <c r="I381" s="3">
        <v>20</v>
      </c>
      <c r="J381" s="3">
        <v>0</v>
      </c>
      <c r="K381" s="3">
        <v>1</v>
      </c>
      <c r="L381" s="3">
        <v>0</v>
      </c>
      <c r="M381" s="3">
        <v>0</v>
      </c>
      <c r="N381" s="3">
        <v>0</v>
      </c>
      <c r="O381" s="3">
        <v>0</v>
      </c>
      <c r="P381" s="3">
        <v>0</v>
      </c>
      <c r="Q381" s="3">
        <v>0</v>
      </c>
      <c r="R381" s="3">
        <v>0</v>
      </c>
      <c r="S381" s="3">
        <v>0</v>
      </c>
      <c r="T381" s="3">
        <v>0</v>
      </c>
      <c r="U381" s="3">
        <v>0</v>
      </c>
      <c r="V381" s="3">
        <v>0</v>
      </c>
      <c r="W381" s="3">
        <v>0</v>
      </c>
      <c r="X381" s="3">
        <v>0</v>
      </c>
      <c r="Y381" s="3">
        <v>50</v>
      </c>
      <c r="Z381" s="3">
        <v>0</v>
      </c>
      <c r="AA381" s="3">
        <v>0</v>
      </c>
      <c r="AB381" s="3">
        <v>0</v>
      </c>
      <c r="AC381" s="3">
        <v>0</v>
      </c>
      <c r="AD381" s="3">
        <v>0</v>
      </c>
      <c r="AE381" s="3">
        <v>0</v>
      </c>
      <c r="AF381" s="3">
        <v>0</v>
      </c>
      <c r="AG381" s="3">
        <v>0</v>
      </c>
      <c r="AH381" s="3">
        <v>0</v>
      </c>
      <c r="AI381" s="3">
        <v>0</v>
      </c>
      <c r="AJ381" s="3">
        <v>0</v>
      </c>
      <c r="AK381" s="3">
        <v>0</v>
      </c>
      <c r="AL381" s="3" t="s">
        <v>31</v>
      </c>
      <c r="AM381" s="3" t="s">
        <v>123</v>
      </c>
      <c r="AN381" s="3" t="s">
        <v>2031</v>
      </c>
      <c r="AO381" s="3" t="s">
        <v>1854</v>
      </c>
      <c r="AP381" s="3">
        <v>30</v>
      </c>
      <c r="AQ381" s="3">
        <v>1.2</v>
      </c>
      <c r="AR381">
        <v>500</v>
      </c>
      <c r="AS381">
        <v>10</v>
      </c>
      <c r="AT381" s="6" t="s">
        <v>150</v>
      </c>
      <c r="AU381" s="6" t="s">
        <v>150</v>
      </c>
      <c r="AV381" s="6" t="s">
        <v>150</v>
      </c>
      <c r="AW381" s="6" t="s">
        <v>150</v>
      </c>
      <c r="AX381" s="6" t="s">
        <v>150</v>
      </c>
      <c r="AY381" s="6" t="s">
        <v>150</v>
      </c>
      <c r="AZ381" s="6" t="s">
        <v>150</v>
      </c>
      <c r="BA381" s="6" t="s">
        <v>150</v>
      </c>
      <c r="BB381" s="6" t="s">
        <v>150</v>
      </c>
      <c r="BC381" s="6" t="s">
        <v>150</v>
      </c>
      <c r="BD381" s="6" t="s">
        <v>123</v>
      </c>
      <c r="BE381" s="6" t="s">
        <v>50</v>
      </c>
      <c r="BF381" s="6" t="s">
        <v>50</v>
      </c>
      <c r="BG381" s="6" t="s">
        <v>50</v>
      </c>
      <c r="BH381" s="6" t="s">
        <v>50</v>
      </c>
      <c r="BI381">
        <v>1</v>
      </c>
      <c r="BJ381">
        <v>630</v>
      </c>
      <c r="BK381">
        <v>2</v>
      </c>
      <c r="BL381">
        <v>10</v>
      </c>
      <c r="BM381">
        <v>0</v>
      </c>
      <c r="BN381">
        <v>0</v>
      </c>
      <c r="BO381">
        <v>0</v>
      </c>
    </row>
    <row r="382" spans="1:67" ht="15.75" customHeight="1" x14ac:dyDescent="0.2">
      <c r="A382" s="3">
        <f t="shared" si="5"/>
        <v>2380</v>
      </c>
      <c r="B382" s="3" t="s">
        <v>1604</v>
      </c>
      <c r="C382" s="3" t="s">
        <v>1596</v>
      </c>
      <c r="D382" s="4" t="s">
        <v>1595</v>
      </c>
      <c r="E382" s="4" t="s">
        <v>1597</v>
      </c>
      <c r="F382" s="3">
        <v>0</v>
      </c>
      <c r="G382" s="3">
        <v>100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50</v>
      </c>
      <c r="Z382" s="3">
        <v>0</v>
      </c>
      <c r="AA382" s="3">
        <v>0</v>
      </c>
      <c r="AB382" s="3">
        <v>0</v>
      </c>
      <c r="AC382" s="3">
        <v>0</v>
      </c>
      <c r="AD382" s="3">
        <v>0</v>
      </c>
      <c r="AE382" s="3">
        <v>0</v>
      </c>
      <c r="AF382" s="3">
        <v>0</v>
      </c>
      <c r="AG382" s="3">
        <v>0</v>
      </c>
      <c r="AH382" s="3">
        <v>0</v>
      </c>
      <c r="AI382" s="3">
        <v>0</v>
      </c>
      <c r="AJ382" s="3">
        <v>0</v>
      </c>
      <c r="AK382" s="3">
        <v>0</v>
      </c>
      <c r="AL382" s="3" t="s">
        <v>31</v>
      </c>
      <c r="AM382" s="3" t="s">
        <v>123</v>
      </c>
      <c r="AN382" s="3" t="s">
        <v>2031</v>
      </c>
      <c r="AO382" s="3" t="s">
        <v>1853</v>
      </c>
      <c r="AP382" s="3">
        <v>30</v>
      </c>
      <c r="AQ382" s="3">
        <v>1.5</v>
      </c>
      <c r="AR382">
        <v>500</v>
      </c>
      <c r="AS382">
        <v>10</v>
      </c>
      <c r="AT382" s="6" t="s">
        <v>50</v>
      </c>
      <c r="AU382" s="6" t="s">
        <v>50</v>
      </c>
      <c r="AV382" s="6" t="s">
        <v>50</v>
      </c>
      <c r="AW382" s="6" t="s">
        <v>50</v>
      </c>
      <c r="AX382" s="6" t="s">
        <v>50</v>
      </c>
      <c r="AY382" s="6" t="s">
        <v>50</v>
      </c>
      <c r="AZ382" s="6" t="s">
        <v>50</v>
      </c>
      <c r="BA382" s="6" t="s">
        <v>50</v>
      </c>
      <c r="BB382" s="6" t="s">
        <v>50</v>
      </c>
      <c r="BC382" s="6" t="s">
        <v>50</v>
      </c>
      <c r="BD382" s="6" t="s">
        <v>123</v>
      </c>
      <c r="BE382" s="6" t="s">
        <v>50</v>
      </c>
      <c r="BF382" s="6" t="s">
        <v>50</v>
      </c>
      <c r="BG382" s="6" t="s">
        <v>50</v>
      </c>
      <c r="BH382" s="6" t="s">
        <v>50</v>
      </c>
      <c r="BI382">
        <v>1</v>
      </c>
      <c r="BJ382">
        <v>631</v>
      </c>
      <c r="BK382">
        <v>2</v>
      </c>
      <c r="BL382">
        <v>30</v>
      </c>
      <c r="BM382">
        <v>0</v>
      </c>
      <c r="BN382">
        <v>0</v>
      </c>
      <c r="BO382">
        <v>1</v>
      </c>
    </row>
    <row r="383" spans="1:67" ht="15.75" customHeight="1" x14ac:dyDescent="0.2">
      <c r="A383" s="3">
        <f t="shared" si="5"/>
        <v>2381</v>
      </c>
      <c r="B383" s="3" t="s">
        <v>1846</v>
      </c>
      <c r="C383" s="3" t="s">
        <v>1846</v>
      </c>
      <c r="D383" s="4" t="s">
        <v>1839</v>
      </c>
      <c r="E383" s="4" t="s">
        <v>1840</v>
      </c>
      <c r="F383" s="3">
        <v>0</v>
      </c>
      <c r="G383" s="3">
        <v>100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50</v>
      </c>
      <c r="Z383" s="3">
        <v>0</v>
      </c>
      <c r="AA383" s="3">
        <v>0</v>
      </c>
      <c r="AB383" s="3">
        <v>0</v>
      </c>
      <c r="AC383" s="3">
        <v>0</v>
      </c>
      <c r="AD383" s="3">
        <v>0</v>
      </c>
      <c r="AE383" s="3">
        <v>0</v>
      </c>
      <c r="AF383" s="3">
        <v>0</v>
      </c>
      <c r="AG383" s="3">
        <v>0</v>
      </c>
      <c r="AH383" s="3">
        <v>0</v>
      </c>
      <c r="AI383" s="3">
        <v>0</v>
      </c>
      <c r="AJ383" s="3">
        <v>0</v>
      </c>
      <c r="AK383" s="3">
        <v>0</v>
      </c>
      <c r="AL383" s="3" t="s">
        <v>31</v>
      </c>
      <c r="AM383" s="3" t="s">
        <v>123</v>
      </c>
      <c r="AN383" s="3" t="s">
        <v>2631</v>
      </c>
      <c r="AO383" s="3" t="s">
        <v>1853</v>
      </c>
      <c r="AP383" s="3">
        <v>30</v>
      </c>
      <c r="AQ383" s="3">
        <v>1.4</v>
      </c>
      <c r="AR383">
        <v>500</v>
      </c>
      <c r="AS383">
        <v>10</v>
      </c>
      <c r="AT383" s="6" t="s">
        <v>50</v>
      </c>
      <c r="AU383" s="6" t="s">
        <v>50</v>
      </c>
      <c r="AV383" s="6" t="s">
        <v>50</v>
      </c>
      <c r="AW383" s="6" t="s">
        <v>50</v>
      </c>
      <c r="AX383" s="6" t="s">
        <v>50</v>
      </c>
      <c r="AY383" s="6" t="s">
        <v>50</v>
      </c>
      <c r="AZ383" s="6" t="s">
        <v>50</v>
      </c>
      <c r="BA383" s="6" t="s">
        <v>50</v>
      </c>
      <c r="BB383" s="6" t="s">
        <v>50</v>
      </c>
      <c r="BC383" s="6" t="s">
        <v>50</v>
      </c>
      <c r="BD383" s="6" t="s">
        <v>123</v>
      </c>
      <c r="BE383" s="6" t="s">
        <v>1847</v>
      </c>
      <c r="BF383" s="6" t="s">
        <v>50</v>
      </c>
      <c r="BG383" s="6" t="s">
        <v>50</v>
      </c>
      <c r="BH383" s="6" t="s">
        <v>50</v>
      </c>
      <c r="BI383">
        <v>1</v>
      </c>
      <c r="BJ383">
        <v>632</v>
      </c>
      <c r="BK383">
        <v>3</v>
      </c>
      <c r="BL383">
        <v>10</v>
      </c>
      <c r="BM383">
        <v>0</v>
      </c>
      <c r="BN383">
        <v>0</v>
      </c>
      <c r="BO383">
        <v>0</v>
      </c>
    </row>
    <row r="384" spans="1:67" ht="15.75" customHeight="1" x14ac:dyDescent="0.2">
      <c r="A384" s="3">
        <f t="shared" si="5"/>
        <v>2382</v>
      </c>
      <c r="B384" s="3" t="s">
        <v>2987</v>
      </c>
      <c r="C384" s="3" t="s">
        <v>2987</v>
      </c>
      <c r="D384" s="4" t="s">
        <v>2988</v>
      </c>
      <c r="E384" s="4" t="s">
        <v>2989</v>
      </c>
      <c r="F384" s="3">
        <v>0</v>
      </c>
      <c r="G384" s="3">
        <v>100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50</v>
      </c>
      <c r="Z384" s="3">
        <v>0</v>
      </c>
      <c r="AA384" s="3">
        <v>0</v>
      </c>
      <c r="AB384" s="3">
        <v>0</v>
      </c>
      <c r="AC384" s="3">
        <v>0</v>
      </c>
      <c r="AD384" s="3">
        <v>0</v>
      </c>
      <c r="AE384" s="3">
        <v>0</v>
      </c>
      <c r="AF384" s="3">
        <v>0</v>
      </c>
      <c r="AG384" s="3">
        <v>0</v>
      </c>
      <c r="AH384" s="3">
        <v>0</v>
      </c>
      <c r="AI384" s="3">
        <v>0</v>
      </c>
      <c r="AJ384" s="3">
        <v>0</v>
      </c>
      <c r="AK384" s="3">
        <v>0</v>
      </c>
      <c r="AL384" s="3" t="s">
        <v>31</v>
      </c>
      <c r="AM384" s="3" t="s">
        <v>123</v>
      </c>
      <c r="AN384" s="3" t="s">
        <v>2631</v>
      </c>
      <c r="AO384" s="3" t="s">
        <v>50</v>
      </c>
      <c r="AP384" s="3">
        <v>30</v>
      </c>
      <c r="AQ384" s="3">
        <v>1.9</v>
      </c>
      <c r="AR384">
        <v>500</v>
      </c>
      <c r="AS384">
        <v>10</v>
      </c>
      <c r="AT384" s="6" t="s">
        <v>50</v>
      </c>
      <c r="AU384" s="6" t="s">
        <v>50</v>
      </c>
      <c r="AV384" s="6" t="s">
        <v>50</v>
      </c>
      <c r="AW384" s="6" t="s">
        <v>50</v>
      </c>
      <c r="AX384" s="6" t="s">
        <v>50</v>
      </c>
      <c r="AY384" s="6" t="s">
        <v>50</v>
      </c>
      <c r="AZ384" s="6" t="s">
        <v>50</v>
      </c>
      <c r="BA384" s="6" t="s">
        <v>50</v>
      </c>
      <c r="BB384" s="6" t="s">
        <v>50</v>
      </c>
      <c r="BC384" s="6" t="s">
        <v>50</v>
      </c>
      <c r="BD384" s="6" t="s">
        <v>123</v>
      </c>
      <c r="BE384" s="6" t="s">
        <v>1847</v>
      </c>
      <c r="BF384" s="6" t="s">
        <v>50</v>
      </c>
      <c r="BG384" s="6" t="s">
        <v>50</v>
      </c>
      <c r="BH384" s="6" t="s">
        <v>50</v>
      </c>
      <c r="BI384">
        <v>1</v>
      </c>
      <c r="BJ384">
        <v>633</v>
      </c>
      <c r="BK384">
        <v>3</v>
      </c>
      <c r="BL384">
        <v>10</v>
      </c>
      <c r="BM384">
        <v>0</v>
      </c>
      <c r="BN384">
        <v>0</v>
      </c>
      <c r="BO384">
        <v>0</v>
      </c>
    </row>
    <row r="385" spans="1:67" s="9" customFormat="1" ht="15.75" customHeight="1" x14ac:dyDescent="0.2">
      <c r="A385" s="3">
        <f t="shared" si="5"/>
        <v>2383</v>
      </c>
      <c r="B385" s="7" t="s">
        <v>87</v>
      </c>
      <c r="C385" s="7" t="s">
        <v>114</v>
      </c>
      <c r="D385" s="11" t="s">
        <v>102</v>
      </c>
      <c r="E385" s="11" t="s">
        <v>1006</v>
      </c>
      <c r="F385" s="7">
        <v>0</v>
      </c>
      <c r="G385" s="7">
        <v>300</v>
      </c>
      <c r="H385" s="7">
        <v>0</v>
      </c>
      <c r="I385" s="7">
        <v>20</v>
      </c>
      <c r="J385" s="7">
        <v>0</v>
      </c>
      <c r="K385" s="7">
        <v>1</v>
      </c>
      <c r="L385" s="7">
        <v>0</v>
      </c>
      <c r="M385" s="7">
        <v>0</v>
      </c>
      <c r="N385" s="7">
        <v>0</v>
      </c>
      <c r="O385" s="7">
        <v>0</v>
      </c>
      <c r="P385" s="7">
        <v>0</v>
      </c>
      <c r="Q385" s="7">
        <v>0</v>
      </c>
      <c r="R385" s="7">
        <v>0</v>
      </c>
      <c r="S385" s="7">
        <v>0</v>
      </c>
      <c r="T385" s="7">
        <v>0</v>
      </c>
      <c r="U385" s="7">
        <v>0</v>
      </c>
      <c r="V385" s="7">
        <v>0</v>
      </c>
      <c r="W385" s="7">
        <v>0</v>
      </c>
      <c r="X385" s="7">
        <v>0</v>
      </c>
      <c r="Y385" s="7">
        <v>80</v>
      </c>
      <c r="Z385" s="7">
        <v>0</v>
      </c>
      <c r="AA385" s="7">
        <v>0</v>
      </c>
      <c r="AB385" s="7">
        <v>0</v>
      </c>
      <c r="AC385" s="7">
        <v>0</v>
      </c>
      <c r="AD385" s="7">
        <v>0</v>
      </c>
      <c r="AE385" s="7">
        <v>0</v>
      </c>
      <c r="AF385" s="7">
        <v>0</v>
      </c>
      <c r="AG385" s="7">
        <v>0</v>
      </c>
      <c r="AH385" s="7">
        <v>0</v>
      </c>
      <c r="AI385" s="7">
        <v>0</v>
      </c>
      <c r="AJ385" s="7">
        <v>0</v>
      </c>
      <c r="AK385" s="7">
        <v>0</v>
      </c>
      <c r="AL385" s="7" t="s">
        <v>31</v>
      </c>
      <c r="AM385" s="7" t="s">
        <v>121</v>
      </c>
      <c r="AN385" s="7" t="s">
        <v>2032</v>
      </c>
      <c r="AO385" s="7" t="s">
        <v>1853</v>
      </c>
      <c r="AP385" s="7">
        <v>30</v>
      </c>
      <c r="AQ385" s="7">
        <v>1</v>
      </c>
      <c r="AR385" s="9">
        <v>9999</v>
      </c>
      <c r="AS385" s="7">
        <v>999</v>
      </c>
      <c r="AT385" s="10" t="s">
        <v>150</v>
      </c>
      <c r="AU385" s="10" t="s">
        <v>150</v>
      </c>
      <c r="AV385" s="10" t="s">
        <v>150</v>
      </c>
      <c r="AW385" s="10" t="s">
        <v>150</v>
      </c>
      <c r="AX385" s="10" t="s">
        <v>150</v>
      </c>
      <c r="AY385" s="10" t="s">
        <v>150</v>
      </c>
      <c r="AZ385" s="10" t="s">
        <v>150</v>
      </c>
      <c r="BA385" s="10" t="s">
        <v>150</v>
      </c>
      <c r="BB385" s="10" t="s">
        <v>150</v>
      </c>
      <c r="BC385" s="10" t="s">
        <v>150</v>
      </c>
      <c r="BD385" s="10" t="s">
        <v>50</v>
      </c>
      <c r="BE385" s="10" t="s">
        <v>50</v>
      </c>
      <c r="BF385" s="10" t="s">
        <v>50</v>
      </c>
      <c r="BG385" s="10" t="s">
        <v>50</v>
      </c>
      <c r="BH385" s="10" t="s">
        <v>50</v>
      </c>
      <c r="BI385" s="9">
        <v>0</v>
      </c>
      <c r="BJ385" s="9">
        <v>0</v>
      </c>
      <c r="BK385" s="9">
        <v>1</v>
      </c>
      <c r="BL385" s="9">
        <v>30</v>
      </c>
      <c r="BM385">
        <v>0</v>
      </c>
      <c r="BN385">
        <v>0</v>
      </c>
      <c r="BO385" s="9">
        <v>0</v>
      </c>
    </row>
    <row r="386" spans="1:67" s="9" customFormat="1" ht="15.75" customHeight="1" x14ac:dyDescent="0.2">
      <c r="A386" s="3">
        <f t="shared" si="5"/>
        <v>2384</v>
      </c>
      <c r="B386" s="7" t="s">
        <v>385</v>
      </c>
      <c r="C386" s="7" t="s">
        <v>115</v>
      </c>
      <c r="D386" s="11" t="s">
        <v>103</v>
      </c>
      <c r="E386" s="11" t="s">
        <v>109</v>
      </c>
      <c r="F386" s="7">
        <v>0</v>
      </c>
      <c r="G386" s="7">
        <v>100</v>
      </c>
      <c r="H386" s="7">
        <v>0</v>
      </c>
      <c r="I386" s="7">
        <v>20</v>
      </c>
      <c r="J386" s="7">
        <v>0</v>
      </c>
      <c r="K386" s="7">
        <v>1</v>
      </c>
      <c r="L386" s="7">
        <v>0</v>
      </c>
      <c r="M386" s="7">
        <v>0</v>
      </c>
      <c r="N386" s="7">
        <v>0</v>
      </c>
      <c r="O386" s="7">
        <v>0</v>
      </c>
      <c r="P386" s="7">
        <v>0</v>
      </c>
      <c r="Q386" s="7">
        <v>0</v>
      </c>
      <c r="R386" s="7">
        <v>0</v>
      </c>
      <c r="S386" s="7">
        <v>0</v>
      </c>
      <c r="T386" s="7">
        <v>0</v>
      </c>
      <c r="U386" s="7">
        <v>0</v>
      </c>
      <c r="V386" s="7">
        <v>0</v>
      </c>
      <c r="W386" s="7">
        <v>0</v>
      </c>
      <c r="X386" s="7">
        <v>0</v>
      </c>
      <c r="Y386" s="7">
        <v>0</v>
      </c>
      <c r="Z386" s="7">
        <v>0</v>
      </c>
      <c r="AA386" s="7">
        <v>0</v>
      </c>
      <c r="AB386" s="7">
        <v>0</v>
      </c>
      <c r="AC386" s="7">
        <v>0</v>
      </c>
      <c r="AD386" s="7">
        <v>0</v>
      </c>
      <c r="AE386" s="7">
        <v>0</v>
      </c>
      <c r="AF386" s="7">
        <v>0</v>
      </c>
      <c r="AG386" s="7">
        <v>0</v>
      </c>
      <c r="AH386" s="7">
        <v>0</v>
      </c>
      <c r="AI386" s="7">
        <v>0</v>
      </c>
      <c r="AJ386" s="7">
        <v>0</v>
      </c>
      <c r="AK386" s="7">
        <v>0</v>
      </c>
      <c r="AL386" s="7" t="s">
        <v>31</v>
      </c>
      <c r="AM386" s="7" t="s">
        <v>123</v>
      </c>
      <c r="AN386" s="7" t="s">
        <v>2031</v>
      </c>
      <c r="AO386" s="7" t="s">
        <v>1853</v>
      </c>
      <c r="AP386" s="7">
        <v>30</v>
      </c>
      <c r="AQ386" s="7">
        <v>1</v>
      </c>
      <c r="AR386" s="9">
        <v>150</v>
      </c>
      <c r="AS386" s="7">
        <v>500</v>
      </c>
      <c r="AT386" s="10" t="s">
        <v>150</v>
      </c>
      <c r="AU386" s="10" t="s">
        <v>150</v>
      </c>
      <c r="AV386" s="10" t="s">
        <v>150</v>
      </c>
      <c r="AW386" s="10" t="s">
        <v>150</v>
      </c>
      <c r="AX386" s="10" t="s">
        <v>150</v>
      </c>
      <c r="AY386" s="10" t="s">
        <v>150</v>
      </c>
      <c r="AZ386" s="10" t="s">
        <v>150</v>
      </c>
      <c r="BA386" s="10" t="s">
        <v>150</v>
      </c>
      <c r="BB386" s="10" t="s">
        <v>150</v>
      </c>
      <c r="BC386" s="10" t="s">
        <v>150</v>
      </c>
      <c r="BD386" s="10" t="s">
        <v>50</v>
      </c>
      <c r="BE386" s="10" t="s">
        <v>50</v>
      </c>
      <c r="BF386" s="10" t="s">
        <v>50</v>
      </c>
      <c r="BG386" s="10" t="s">
        <v>50</v>
      </c>
      <c r="BH386" s="10" t="s">
        <v>50</v>
      </c>
      <c r="BI386" s="9">
        <v>0</v>
      </c>
      <c r="BJ386" s="9">
        <v>0</v>
      </c>
      <c r="BK386" s="9">
        <v>1</v>
      </c>
      <c r="BL386" s="9">
        <v>30</v>
      </c>
      <c r="BM386">
        <v>0</v>
      </c>
      <c r="BN386">
        <v>0</v>
      </c>
      <c r="BO386" s="9">
        <v>0</v>
      </c>
    </row>
    <row r="387" spans="1:67" s="9" customFormat="1" ht="15.75" customHeight="1" x14ac:dyDescent="0.2">
      <c r="A387" s="3">
        <f t="shared" si="5"/>
        <v>2385</v>
      </c>
      <c r="B387" s="7" t="s">
        <v>385</v>
      </c>
      <c r="C387" s="7" t="s">
        <v>116</v>
      </c>
      <c r="D387" s="11" t="s">
        <v>104</v>
      </c>
      <c r="E387" s="11" t="s">
        <v>110</v>
      </c>
      <c r="F387" s="7">
        <v>0</v>
      </c>
      <c r="G387" s="7">
        <v>100</v>
      </c>
      <c r="H387" s="7">
        <v>0</v>
      </c>
      <c r="I387" s="7">
        <v>20</v>
      </c>
      <c r="J387" s="7">
        <v>0</v>
      </c>
      <c r="K387" s="7">
        <v>1</v>
      </c>
      <c r="L387" s="7">
        <v>0</v>
      </c>
      <c r="M387" s="7">
        <v>0</v>
      </c>
      <c r="N387" s="7">
        <v>0</v>
      </c>
      <c r="O387" s="7">
        <v>0</v>
      </c>
      <c r="P387" s="7">
        <v>0</v>
      </c>
      <c r="Q387" s="7">
        <v>0</v>
      </c>
      <c r="R387" s="7">
        <v>0</v>
      </c>
      <c r="S387" s="7">
        <v>0</v>
      </c>
      <c r="T387" s="7">
        <v>0</v>
      </c>
      <c r="U387" s="7">
        <v>0</v>
      </c>
      <c r="V387" s="7">
        <v>0</v>
      </c>
      <c r="W387" s="7">
        <v>0</v>
      </c>
      <c r="X387" s="7">
        <v>0</v>
      </c>
      <c r="Y387" s="7">
        <v>0</v>
      </c>
      <c r="Z387" s="7">
        <v>0</v>
      </c>
      <c r="AA387" s="7">
        <v>0</v>
      </c>
      <c r="AB387" s="7">
        <v>0</v>
      </c>
      <c r="AC387" s="7">
        <v>0</v>
      </c>
      <c r="AD387" s="7">
        <v>0</v>
      </c>
      <c r="AE387" s="7">
        <v>0</v>
      </c>
      <c r="AF387" s="7">
        <v>0</v>
      </c>
      <c r="AG387" s="7">
        <v>0</v>
      </c>
      <c r="AH387" s="7">
        <v>0</v>
      </c>
      <c r="AI387" s="7">
        <v>0</v>
      </c>
      <c r="AJ387" s="7">
        <v>0</v>
      </c>
      <c r="AK387" s="7">
        <v>0</v>
      </c>
      <c r="AL387" s="7" t="s">
        <v>31</v>
      </c>
      <c r="AM387" s="7" t="s">
        <v>123</v>
      </c>
      <c r="AN387" s="7" t="s">
        <v>2031</v>
      </c>
      <c r="AO387" s="7" t="s">
        <v>1853</v>
      </c>
      <c r="AP387" s="7">
        <v>30</v>
      </c>
      <c r="AQ387" s="7">
        <v>1</v>
      </c>
      <c r="AR387" s="9">
        <v>450</v>
      </c>
      <c r="AS387" s="7">
        <v>500</v>
      </c>
      <c r="AT387" s="10" t="s">
        <v>150</v>
      </c>
      <c r="AU387" s="10" t="s">
        <v>150</v>
      </c>
      <c r="AV387" s="10" t="s">
        <v>150</v>
      </c>
      <c r="AW387" s="10" t="s">
        <v>150</v>
      </c>
      <c r="AX387" s="10" t="s">
        <v>150</v>
      </c>
      <c r="AY387" s="10" t="s">
        <v>150</v>
      </c>
      <c r="AZ387" s="10" t="s">
        <v>150</v>
      </c>
      <c r="BA387" s="10" t="s">
        <v>150</v>
      </c>
      <c r="BB387" s="10" t="s">
        <v>150</v>
      </c>
      <c r="BC387" s="10" t="s">
        <v>150</v>
      </c>
      <c r="BD387" s="10" t="s">
        <v>50</v>
      </c>
      <c r="BE387" s="10" t="s">
        <v>50</v>
      </c>
      <c r="BF387" s="10" t="s">
        <v>50</v>
      </c>
      <c r="BG387" s="10" t="s">
        <v>50</v>
      </c>
      <c r="BH387" s="10" t="s">
        <v>50</v>
      </c>
      <c r="BI387" s="9">
        <v>0</v>
      </c>
      <c r="BJ387" s="9">
        <v>0</v>
      </c>
      <c r="BK387" s="9">
        <v>1</v>
      </c>
      <c r="BL387" s="9">
        <v>30</v>
      </c>
      <c r="BM387">
        <v>0</v>
      </c>
      <c r="BN387">
        <v>0</v>
      </c>
      <c r="BO387" s="9">
        <v>0</v>
      </c>
    </row>
    <row r="388" spans="1:67" s="9" customFormat="1" ht="15.75" customHeight="1" x14ac:dyDescent="0.2">
      <c r="A388" s="3">
        <f t="shared" si="5"/>
        <v>2386</v>
      </c>
      <c r="B388" s="7" t="s">
        <v>97</v>
      </c>
      <c r="C388" s="7" t="s">
        <v>117</v>
      </c>
      <c r="D388" s="11" t="s">
        <v>105</v>
      </c>
      <c r="E388" s="11" t="s">
        <v>111</v>
      </c>
      <c r="F388" s="7">
        <v>0</v>
      </c>
      <c r="G388" s="7">
        <v>100</v>
      </c>
      <c r="H388" s="7">
        <v>0</v>
      </c>
      <c r="I388" s="7">
        <v>20</v>
      </c>
      <c r="J388" s="7">
        <v>0</v>
      </c>
      <c r="K388" s="7">
        <v>1</v>
      </c>
      <c r="L388" s="7">
        <v>0</v>
      </c>
      <c r="M388" s="7">
        <v>0</v>
      </c>
      <c r="N388" s="7">
        <v>0</v>
      </c>
      <c r="O388" s="7">
        <v>0</v>
      </c>
      <c r="P388" s="7">
        <v>0</v>
      </c>
      <c r="Q388" s="7">
        <v>0</v>
      </c>
      <c r="R388" s="7">
        <v>0</v>
      </c>
      <c r="S388" s="7">
        <v>0</v>
      </c>
      <c r="T388" s="7">
        <v>0</v>
      </c>
      <c r="U388" s="7">
        <v>0</v>
      </c>
      <c r="V388" s="7">
        <v>0</v>
      </c>
      <c r="W388" s="7">
        <v>0</v>
      </c>
      <c r="X388" s="7">
        <v>0</v>
      </c>
      <c r="Y388" s="7">
        <v>0</v>
      </c>
      <c r="Z388" s="7">
        <v>0</v>
      </c>
      <c r="AA388" s="7">
        <v>0</v>
      </c>
      <c r="AB388" s="7">
        <v>0</v>
      </c>
      <c r="AC388" s="7">
        <v>0</v>
      </c>
      <c r="AD388" s="7">
        <v>0</v>
      </c>
      <c r="AE388" s="7">
        <v>0</v>
      </c>
      <c r="AF388" s="7">
        <v>0</v>
      </c>
      <c r="AG388" s="7">
        <v>0</v>
      </c>
      <c r="AH388" s="7">
        <v>0</v>
      </c>
      <c r="AI388" s="7">
        <v>0</v>
      </c>
      <c r="AJ388" s="7">
        <v>0</v>
      </c>
      <c r="AK388" s="7">
        <v>0</v>
      </c>
      <c r="AL388" s="7" t="s">
        <v>31</v>
      </c>
      <c r="AM388" s="7" t="s">
        <v>122</v>
      </c>
      <c r="AN388" s="7" t="s">
        <v>2029</v>
      </c>
      <c r="AO388" s="7" t="s">
        <v>1853</v>
      </c>
      <c r="AP388" s="7">
        <v>30</v>
      </c>
      <c r="AQ388" s="7">
        <v>1</v>
      </c>
      <c r="AR388" s="9">
        <v>350</v>
      </c>
      <c r="AS388" s="7">
        <v>550</v>
      </c>
      <c r="AT388" s="10" t="s">
        <v>150</v>
      </c>
      <c r="AU388" s="10" t="s">
        <v>150</v>
      </c>
      <c r="AV388" s="10" t="s">
        <v>150</v>
      </c>
      <c r="AW388" s="10" t="s">
        <v>150</v>
      </c>
      <c r="AX388" s="10" t="s">
        <v>150</v>
      </c>
      <c r="AY388" s="10" t="s">
        <v>150</v>
      </c>
      <c r="AZ388" s="10" t="s">
        <v>150</v>
      </c>
      <c r="BA388" s="10" t="s">
        <v>150</v>
      </c>
      <c r="BB388" s="10" t="s">
        <v>150</v>
      </c>
      <c r="BC388" s="10" t="s">
        <v>150</v>
      </c>
      <c r="BD388" s="10" t="s">
        <v>50</v>
      </c>
      <c r="BE388" s="10" t="s">
        <v>50</v>
      </c>
      <c r="BF388" s="10" t="s">
        <v>50</v>
      </c>
      <c r="BG388" s="10" t="s">
        <v>50</v>
      </c>
      <c r="BH388" s="10" t="s">
        <v>50</v>
      </c>
      <c r="BI388" s="9">
        <v>0</v>
      </c>
      <c r="BJ388" s="9">
        <v>0</v>
      </c>
      <c r="BK388" s="9">
        <v>1</v>
      </c>
      <c r="BL388" s="9">
        <v>30</v>
      </c>
      <c r="BM388">
        <v>0</v>
      </c>
      <c r="BN388">
        <v>0</v>
      </c>
      <c r="BO388" s="9">
        <v>0</v>
      </c>
    </row>
    <row r="389" spans="1:67" s="9" customFormat="1" ht="15.75" customHeight="1" x14ac:dyDescent="0.2">
      <c r="A389" s="3">
        <f t="shared" si="5"/>
        <v>2387</v>
      </c>
      <c r="B389" s="7" t="s">
        <v>87</v>
      </c>
      <c r="C389" s="7" t="s">
        <v>118</v>
      </c>
      <c r="D389" s="11" t="s">
        <v>106</v>
      </c>
      <c r="E389" s="11" t="s">
        <v>112</v>
      </c>
      <c r="F389" s="7">
        <v>0</v>
      </c>
      <c r="G389" s="7">
        <v>100</v>
      </c>
      <c r="H389" s="7">
        <v>0</v>
      </c>
      <c r="I389" s="7">
        <v>20</v>
      </c>
      <c r="J389" s="7">
        <v>0</v>
      </c>
      <c r="K389" s="7">
        <v>1</v>
      </c>
      <c r="L389" s="7">
        <v>0</v>
      </c>
      <c r="M389" s="7">
        <v>0</v>
      </c>
      <c r="N389" s="7">
        <v>0</v>
      </c>
      <c r="O389" s="7">
        <v>0</v>
      </c>
      <c r="P389" s="7">
        <v>0</v>
      </c>
      <c r="Q389" s="7">
        <v>0</v>
      </c>
      <c r="R389" s="7">
        <v>0</v>
      </c>
      <c r="S389" s="7">
        <v>0</v>
      </c>
      <c r="T389" s="7">
        <v>0</v>
      </c>
      <c r="U389" s="7">
        <v>0</v>
      </c>
      <c r="V389" s="7">
        <v>0</v>
      </c>
      <c r="W389" s="7">
        <v>0</v>
      </c>
      <c r="X389" s="7">
        <v>0</v>
      </c>
      <c r="Y389" s="7">
        <v>0</v>
      </c>
      <c r="Z389" s="7">
        <v>0</v>
      </c>
      <c r="AA389" s="7">
        <v>0</v>
      </c>
      <c r="AB389" s="7">
        <v>0</v>
      </c>
      <c r="AC389" s="7">
        <v>0</v>
      </c>
      <c r="AD389" s="7">
        <v>0</v>
      </c>
      <c r="AE389" s="7">
        <v>0</v>
      </c>
      <c r="AF389" s="7">
        <v>0</v>
      </c>
      <c r="AG389" s="7">
        <v>0</v>
      </c>
      <c r="AH389" s="7">
        <v>0</v>
      </c>
      <c r="AI389" s="7">
        <v>0</v>
      </c>
      <c r="AJ389" s="7">
        <v>0</v>
      </c>
      <c r="AK389" s="7">
        <v>0</v>
      </c>
      <c r="AL389" s="7" t="s">
        <v>31</v>
      </c>
      <c r="AM389" s="7" t="s">
        <v>91</v>
      </c>
      <c r="AN389" s="7" t="s">
        <v>2001</v>
      </c>
      <c r="AO389" s="7" t="s">
        <v>1853</v>
      </c>
      <c r="AP389" s="7">
        <v>30</v>
      </c>
      <c r="AQ389" s="7">
        <v>1</v>
      </c>
      <c r="AR389" s="9">
        <v>600</v>
      </c>
      <c r="AS389" s="7">
        <v>160</v>
      </c>
      <c r="AT389" s="10" t="s">
        <v>150</v>
      </c>
      <c r="AU389" s="10" t="s">
        <v>150</v>
      </c>
      <c r="AV389" s="10" t="s">
        <v>150</v>
      </c>
      <c r="AW389" s="10" t="s">
        <v>150</v>
      </c>
      <c r="AX389" s="10" t="s">
        <v>150</v>
      </c>
      <c r="AY389" s="10" t="s">
        <v>150</v>
      </c>
      <c r="AZ389" s="10" t="s">
        <v>150</v>
      </c>
      <c r="BA389" s="10" t="s">
        <v>150</v>
      </c>
      <c r="BB389" s="10" t="s">
        <v>150</v>
      </c>
      <c r="BC389" s="10" t="s">
        <v>150</v>
      </c>
      <c r="BD389" s="10" t="s">
        <v>50</v>
      </c>
      <c r="BE389" s="10" t="s">
        <v>50</v>
      </c>
      <c r="BF389" s="10" t="s">
        <v>50</v>
      </c>
      <c r="BG389" s="10" t="s">
        <v>50</v>
      </c>
      <c r="BH389" s="10" t="s">
        <v>50</v>
      </c>
      <c r="BI389" s="9">
        <v>0</v>
      </c>
      <c r="BJ389" s="9">
        <v>0</v>
      </c>
      <c r="BK389" s="9">
        <v>1</v>
      </c>
      <c r="BL389" s="9">
        <v>30</v>
      </c>
      <c r="BM389">
        <v>0</v>
      </c>
      <c r="BN389">
        <v>0</v>
      </c>
      <c r="BO389" s="9">
        <v>0</v>
      </c>
    </row>
    <row r="390" spans="1:67" s="9" customFormat="1" ht="15.75" customHeight="1" x14ac:dyDescent="0.2">
      <c r="A390" s="3">
        <f t="shared" si="5"/>
        <v>2388</v>
      </c>
      <c r="B390" s="7" t="s">
        <v>87</v>
      </c>
      <c r="C390" s="7" t="s">
        <v>119</v>
      </c>
      <c r="D390" s="11" t="s">
        <v>107</v>
      </c>
      <c r="E390" s="11" t="s">
        <v>113</v>
      </c>
      <c r="F390" s="7">
        <v>0</v>
      </c>
      <c r="G390" s="7">
        <v>100</v>
      </c>
      <c r="H390" s="7">
        <v>0</v>
      </c>
      <c r="I390" s="7">
        <v>20</v>
      </c>
      <c r="J390" s="7">
        <v>0</v>
      </c>
      <c r="K390" s="7">
        <v>1</v>
      </c>
      <c r="L390" s="7">
        <v>0</v>
      </c>
      <c r="M390" s="7">
        <v>0</v>
      </c>
      <c r="N390" s="7">
        <v>0</v>
      </c>
      <c r="O390" s="7">
        <v>0</v>
      </c>
      <c r="P390" s="7">
        <v>0</v>
      </c>
      <c r="Q390" s="7">
        <v>0</v>
      </c>
      <c r="R390" s="7">
        <v>0</v>
      </c>
      <c r="S390" s="7">
        <v>0</v>
      </c>
      <c r="T390" s="7">
        <v>0</v>
      </c>
      <c r="U390" s="7">
        <v>0</v>
      </c>
      <c r="V390" s="7">
        <v>0</v>
      </c>
      <c r="W390" s="7">
        <v>0</v>
      </c>
      <c r="X390" s="7">
        <v>0</v>
      </c>
      <c r="Y390" s="7">
        <v>0</v>
      </c>
      <c r="Z390" s="7">
        <v>0</v>
      </c>
      <c r="AA390" s="7">
        <v>0</v>
      </c>
      <c r="AB390" s="7">
        <v>0</v>
      </c>
      <c r="AC390" s="7">
        <v>0</v>
      </c>
      <c r="AD390" s="7">
        <v>0</v>
      </c>
      <c r="AE390" s="7">
        <v>0</v>
      </c>
      <c r="AF390" s="7">
        <v>0</v>
      </c>
      <c r="AG390" s="7">
        <v>0</v>
      </c>
      <c r="AH390" s="7">
        <v>0</v>
      </c>
      <c r="AI390" s="7">
        <v>0</v>
      </c>
      <c r="AJ390" s="7">
        <v>0</v>
      </c>
      <c r="AK390" s="7">
        <v>0</v>
      </c>
      <c r="AL390" s="7" t="s">
        <v>31</v>
      </c>
      <c r="AM390" s="7" t="s">
        <v>99</v>
      </c>
      <c r="AN390" s="7" t="s">
        <v>2010</v>
      </c>
      <c r="AO390" s="7" t="s">
        <v>1853</v>
      </c>
      <c r="AP390" s="7">
        <v>30</v>
      </c>
      <c r="AQ390" s="7">
        <v>1</v>
      </c>
      <c r="AR390" s="9">
        <v>500</v>
      </c>
      <c r="AS390" s="7">
        <v>300</v>
      </c>
      <c r="AT390" s="10" t="s">
        <v>150</v>
      </c>
      <c r="AU390" s="10" t="s">
        <v>150</v>
      </c>
      <c r="AV390" s="10" t="s">
        <v>150</v>
      </c>
      <c r="AW390" s="10" t="s">
        <v>150</v>
      </c>
      <c r="AX390" s="10" t="s">
        <v>150</v>
      </c>
      <c r="AY390" s="10" t="s">
        <v>150</v>
      </c>
      <c r="AZ390" s="10" t="s">
        <v>150</v>
      </c>
      <c r="BA390" s="10" t="s">
        <v>150</v>
      </c>
      <c r="BB390" s="10" t="s">
        <v>150</v>
      </c>
      <c r="BC390" s="10" t="s">
        <v>150</v>
      </c>
      <c r="BD390" s="10" t="s">
        <v>50</v>
      </c>
      <c r="BE390" s="10" t="s">
        <v>50</v>
      </c>
      <c r="BF390" s="10" t="s">
        <v>50</v>
      </c>
      <c r="BG390" s="10" t="s">
        <v>50</v>
      </c>
      <c r="BH390" s="10" t="s">
        <v>50</v>
      </c>
      <c r="BI390" s="9">
        <v>0</v>
      </c>
      <c r="BJ390" s="9">
        <v>0</v>
      </c>
      <c r="BK390" s="9">
        <v>1</v>
      </c>
      <c r="BL390" s="9">
        <v>30</v>
      </c>
      <c r="BM390">
        <v>0</v>
      </c>
      <c r="BN390">
        <v>0</v>
      </c>
      <c r="BO390"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O89"/>
  <sheetViews>
    <sheetView topLeftCell="S46" workbookViewId="0">
      <selection activeCell="AN55" sqref="AN55"/>
    </sheetView>
  </sheetViews>
  <sheetFormatPr defaultColWidth="14.42578125" defaultRowHeight="15.75" customHeight="1" x14ac:dyDescent="0.2"/>
  <cols>
    <col min="1" max="1" width="7.85546875" customWidth="1"/>
    <col min="2" max="2" width="14.5703125" customWidth="1"/>
    <col min="3" max="3" width="17.42578125" customWidth="1"/>
    <col min="4" max="4" width="19" style="25"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354</v>
      </c>
      <c r="L1" s="1" t="s">
        <v>232</v>
      </c>
      <c r="M1" s="1" t="s">
        <v>5</v>
      </c>
      <c r="N1" s="1" t="s">
        <v>6</v>
      </c>
      <c r="O1" s="1" t="s">
        <v>7</v>
      </c>
      <c r="P1" s="1" t="s">
        <v>8</v>
      </c>
      <c r="Q1" s="1" t="s">
        <v>9</v>
      </c>
      <c r="R1" s="2" t="s">
        <v>10</v>
      </c>
      <c r="S1" s="2" t="s">
        <v>161</v>
      </c>
      <c r="T1" s="2" t="s">
        <v>11</v>
      </c>
      <c r="U1" s="2" t="s">
        <v>12</v>
      </c>
      <c r="V1" s="2" t="s">
        <v>181</v>
      </c>
      <c r="W1" s="2" t="s">
        <v>182</v>
      </c>
      <c r="X1" s="2" t="s">
        <v>180</v>
      </c>
      <c r="Y1" s="2" t="s">
        <v>1147</v>
      </c>
      <c r="Z1" s="2" t="s">
        <v>2220</v>
      </c>
      <c r="AA1" s="2" t="s">
        <v>2179</v>
      </c>
      <c r="AB1" s="2" t="s">
        <v>2211</v>
      </c>
      <c r="AC1" s="2" t="s">
        <v>2212</v>
      </c>
      <c r="AD1" s="2" t="s">
        <v>2213</v>
      </c>
      <c r="AE1" s="2" t="s">
        <v>2214</v>
      </c>
      <c r="AF1" s="2" t="s">
        <v>2215</v>
      </c>
      <c r="AG1" s="2" t="s">
        <v>2216</v>
      </c>
      <c r="AH1" s="2" t="s">
        <v>2217</v>
      </c>
      <c r="AI1" s="2" t="s">
        <v>2218</v>
      </c>
      <c r="AJ1" s="2" t="s">
        <v>2219</v>
      </c>
      <c r="AK1" s="2" t="s">
        <v>2640</v>
      </c>
      <c r="AL1" s="1" t="s">
        <v>13</v>
      </c>
      <c r="AM1" s="1" t="s">
        <v>14</v>
      </c>
      <c r="AN1" s="1" t="s">
        <v>1935</v>
      </c>
      <c r="AO1" s="1" t="s">
        <v>1852</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1605</v>
      </c>
      <c r="BM1" s="1" t="s">
        <v>2504</v>
      </c>
      <c r="BN1" s="1" t="s">
        <v>2505</v>
      </c>
      <c r="BO1" s="1" t="s">
        <v>1617</v>
      </c>
    </row>
    <row r="2" spans="1:67" ht="15.75" customHeight="1" x14ac:dyDescent="0.2">
      <c r="A2" s="3">
        <f t="shared" ref="A2:A27" si="0">ROW()+6998</f>
        <v>7000</v>
      </c>
      <c r="B2" s="3" t="s">
        <v>560</v>
      </c>
      <c r="C2" s="3" t="s">
        <v>451</v>
      </c>
      <c r="D2" s="5" t="s">
        <v>1526</v>
      </c>
      <c r="E2" s="5" t="s">
        <v>475</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10</v>
      </c>
      <c r="Z2" s="3">
        <v>0</v>
      </c>
      <c r="AA2" s="3">
        <v>0</v>
      </c>
      <c r="AB2" s="3">
        <v>0</v>
      </c>
      <c r="AC2" s="3">
        <v>0</v>
      </c>
      <c r="AD2" s="3">
        <v>0</v>
      </c>
      <c r="AE2" s="3">
        <v>0</v>
      </c>
      <c r="AF2" s="3">
        <v>0</v>
      </c>
      <c r="AG2" s="3">
        <v>0</v>
      </c>
      <c r="AH2" s="3">
        <v>0</v>
      </c>
      <c r="AI2" s="3">
        <v>0</v>
      </c>
      <c r="AJ2" s="3">
        <v>0</v>
      </c>
      <c r="AK2" s="3">
        <v>0</v>
      </c>
      <c r="AL2" s="3" t="s">
        <v>42</v>
      </c>
      <c r="AM2" s="3" t="s">
        <v>982</v>
      </c>
      <c r="AN2" s="3" t="s">
        <v>2033</v>
      </c>
      <c r="AO2" s="3" t="s">
        <v>1853</v>
      </c>
      <c r="AP2" s="3">
        <v>0</v>
      </c>
      <c r="AQ2" s="3">
        <v>0</v>
      </c>
      <c r="AR2">
        <v>0</v>
      </c>
      <c r="AS2">
        <v>1</v>
      </c>
      <c r="AT2" s="6" t="s">
        <v>515</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row>
    <row r="3" spans="1:67"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982</v>
      </c>
      <c r="AN3" s="7" t="s">
        <v>2033</v>
      </c>
      <c r="AO3" s="7" t="s">
        <v>1853</v>
      </c>
      <c r="AP3" s="7">
        <v>0</v>
      </c>
      <c r="AQ3" s="7">
        <v>0</v>
      </c>
      <c r="AR3" s="9">
        <v>0</v>
      </c>
      <c r="AS3" s="9">
        <v>1</v>
      </c>
      <c r="AT3" s="10" t="s">
        <v>521</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row>
    <row r="4" spans="1:67" ht="15.75" customHeight="1" x14ac:dyDescent="0.2">
      <c r="A4" s="3">
        <f t="shared" si="0"/>
        <v>7002</v>
      </c>
      <c r="B4" s="3" t="s">
        <v>559</v>
      </c>
      <c r="C4" s="3" t="s">
        <v>453</v>
      </c>
      <c r="D4" s="5" t="s">
        <v>452</v>
      </c>
      <c r="E4" s="5" t="s">
        <v>454</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10</v>
      </c>
      <c r="Z4" s="3">
        <v>0</v>
      </c>
      <c r="AA4" s="3">
        <v>0</v>
      </c>
      <c r="AB4" s="3">
        <v>0</v>
      </c>
      <c r="AC4" s="3">
        <v>0</v>
      </c>
      <c r="AD4" s="3">
        <v>0</v>
      </c>
      <c r="AE4" s="3">
        <v>0</v>
      </c>
      <c r="AF4" s="3">
        <v>0</v>
      </c>
      <c r="AG4" s="3">
        <v>0</v>
      </c>
      <c r="AH4" s="3">
        <v>0</v>
      </c>
      <c r="AI4" s="3">
        <v>0</v>
      </c>
      <c r="AJ4" s="3">
        <v>0</v>
      </c>
      <c r="AK4" s="3">
        <v>0</v>
      </c>
      <c r="AL4" s="3" t="s">
        <v>42</v>
      </c>
      <c r="AM4" s="3" t="s">
        <v>982</v>
      </c>
      <c r="AN4" s="3" t="s">
        <v>2033</v>
      </c>
      <c r="AO4" s="3" t="s">
        <v>1853</v>
      </c>
      <c r="AP4" s="3">
        <v>0</v>
      </c>
      <c r="AQ4" s="3">
        <v>0</v>
      </c>
      <c r="AR4">
        <v>0</v>
      </c>
      <c r="AS4">
        <v>1</v>
      </c>
      <c r="AT4" s="6" t="s">
        <v>516</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row>
    <row r="5" spans="1:67" ht="15.75" customHeight="1" x14ac:dyDescent="0.2">
      <c r="A5" s="3">
        <f t="shared" si="0"/>
        <v>7003</v>
      </c>
      <c r="B5" s="3" t="s">
        <v>558</v>
      </c>
      <c r="C5" s="3" t="s">
        <v>518</v>
      </c>
      <c r="D5" s="5" t="s">
        <v>455</v>
      </c>
      <c r="E5" s="5" t="s">
        <v>456</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12</v>
      </c>
      <c r="Z5" s="3">
        <v>0</v>
      </c>
      <c r="AA5" s="3">
        <v>0</v>
      </c>
      <c r="AB5" s="3">
        <v>0</v>
      </c>
      <c r="AC5" s="3">
        <v>0</v>
      </c>
      <c r="AD5" s="3">
        <v>0</v>
      </c>
      <c r="AE5" s="3">
        <v>0</v>
      </c>
      <c r="AF5" s="3">
        <v>0</v>
      </c>
      <c r="AG5" s="3">
        <v>0</v>
      </c>
      <c r="AH5" s="3">
        <v>0</v>
      </c>
      <c r="AI5" s="3">
        <v>0</v>
      </c>
      <c r="AJ5" s="3">
        <v>0</v>
      </c>
      <c r="AK5" s="3">
        <v>0</v>
      </c>
      <c r="AL5" s="3" t="s">
        <v>42</v>
      </c>
      <c r="AM5" s="3" t="s">
        <v>982</v>
      </c>
      <c r="AN5" s="3" t="s">
        <v>2033</v>
      </c>
      <c r="AO5" s="3" t="s">
        <v>1853</v>
      </c>
      <c r="AP5" s="3">
        <v>0</v>
      </c>
      <c r="AQ5" s="3">
        <v>0</v>
      </c>
      <c r="AR5">
        <v>0</v>
      </c>
      <c r="AS5">
        <v>1</v>
      </c>
      <c r="AT5" s="6" t="s">
        <v>517</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row>
    <row r="6" spans="1:67" s="9" customFormat="1" ht="15.75" customHeight="1" x14ac:dyDescent="0.2">
      <c r="A6" s="3">
        <f t="shared" si="0"/>
        <v>7004</v>
      </c>
      <c r="B6" s="7" t="s">
        <v>30</v>
      </c>
      <c r="C6" s="7" t="s">
        <v>459</v>
      </c>
      <c r="D6" s="8" t="s">
        <v>457</v>
      </c>
      <c r="E6" s="8" t="s">
        <v>458</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982</v>
      </c>
      <c r="AN6" s="7" t="s">
        <v>2033</v>
      </c>
      <c r="AO6" s="7" t="s">
        <v>1853</v>
      </c>
      <c r="AP6" s="7">
        <v>0</v>
      </c>
      <c r="AQ6" s="7">
        <v>0</v>
      </c>
      <c r="AR6" s="9">
        <v>0</v>
      </c>
      <c r="AS6" s="9">
        <v>1</v>
      </c>
      <c r="AT6" s="10" t="s">
        <v>522</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row>
    <row r="7" spans="1:67" ht="15.75" customHeight="1" x14ac:dyDescent="0.2">
      <c r="A7" s="3">
        <f t="shared" si="0"/>
        <v>7005</v>
      </c>
      <c r="B7" s="3" t="s">
        <v>563</v>
      </c>
      <c r="C7" s="3" t="s">
        <v>563</v>
      </c>
      <c r="D7" s="5" t="s">
        <v>470</v>
      </c>
      <c r="E7" s="5" t="s">
        <v>471</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7</v>
      </c>
      <c r="Z7" s="3">
        <v>0</v>
      </c>
      <c r="AA7" s="3">
        <v>0</v>
      </c>
      <c r="AB7" s="3">
        <v>0</v>
      </c>
      <c r="AC7" s="3">
        <v>0</v>
      </c>
      <c r="AD7" s="3">
        <v>0</v>
      </c>
      <c r="AE7" s="3">
        <v>0</v>
      </c>
      <c r="AF7" s="3">
        <v>0</v>
      </c>
      <c r="AG7" s="3">
        <v>0</v>
      </c>
      <c r="AH7" s="3">
        <v>0</v>
      </c>
      <c r="AI7" s="3">
        <v>0</v>
      </c>
      <c r="AJ7" s="3">
        <v>0</v>
      </c>
      <c r="AK7" s="3">
        <v>0</v>
      </c>
      <c r="AL7" s="3" t="s">
        <v>42</v>
      </c>
      <c r="AM7" s="3" t="s">
        <v>982</v>
      </c>
      <c r="AN7" s="3" t="s">
        <v>2033</v>
      </c>
      <c r="AO7" s="3" t="s">
        <v>1853</v>
      </c>
      <c r="AP7" s="3">
        <v>0</v>
      </c>
      <c r="AQ7" s="3">
        <v>0</v>
      </c>
      <c r="AR7">
        <v>0</v>
      </c>
      <c r="AS7">
        <v>1</v>
      </c>
      <c r="AT7" s="6" t="s">
        <v>519</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row>
    <row r="8" spans="1:67" s="9" customFormat="1" ht="15.75" customHeight="1" x14ac:dyDescent="0.2">
      <c r="A8" s="3">
        <f t="shared" si="0"/>
        <v>7006</v>
      </c>
      <c r="B8" s="7" t="s">
        <v>30</v>
      </c>
      <c r="C8" s="7" t="s">
        <v>473</v>
      </c>
      <c r="D8" s="8" t="s">
        <v>472</v>
      </c>
      <c r="E8" s="8" t="s">
        <v>474</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42</v>
      </c>
      <c r="AM8" s="7" t="s">
        <v>982</v>
      </c>
      <c r="AN8" s="7" t="s">
        <v>2033</v>
      </c>
      <c r="AO8" s="7" t="s">
        <v>1853</v>
      </c>
      <c r="AP8" s="7">
        <v>0</v>
      </c>
      <c r="AQ8" s="7">
        <v>0</v>
      </c>
      <c r="AR8" s="9">
        <v>0</v>
      </c>
      <c r="AS8" s="9">
        <v>1</v>
      </c>
      <c r="AT8" s="10" t="s">
        <v>520</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row>
    <row r="9" spans="1:67" s="37" customFormat="1" ht="15.75" customHeight="1" x14ac:dyDescent="0.2">
      <c r="A9" s="34">
        <f t="shared" si="0"/>
        <v>7007</v>
      </c>
      <c r="B9" s="34" t="s">
        <v>2094</v>
      </c>
      <c r="C9" s="34" t="s">
        <v>3034</v>
      </c>
      <c r="D9" s="36" t="s">
        <v>3032</v>
      </c>
      <c r="E9" s="36" t="s">
        <v>3033</v>
      </c>
      <c r="F9" s="34">
        <v>0</v>
      </c>
      <c r="G9" s="34">
        <v>0</v>
      </c>
      <c r="H9" s="34">
        <v>0</v>
      </c>
      <c r="I9" s="34">
        <v>0</v>
      </c>
      <c r="J9" s="34">
        <v>50</v>
      </c>
      <c r="K9" s="34">
        <v>1</v>
      </c>
      <c r="L9" s="34">
        <v>0</v>
      </c>
      <c r="M9" s="34">
        <v>0</v>
      </c>
      <c r="N9" s="34">
        <v>0</v>
      </c>
      <c r="O9" s="34">
        <v>0</v>
      </c>
      <c r="P9" s="34">
        <v>0</v>
      </c>
      <c r="Q9" s="34">
        <v>0</v>
      </c>
      <c r="R9" s="34">
        <v>0</v>
      </c>
      <c r="S9" s="34">
        <v>0</v>
      </c>
      <c r="T9" s="34">
        <v>0</v>
      </c>
      <c r="U9" s="34">
        <v>0</v>
      </c>
      <c r="V9" s="34">
        <v>0</v>
      </c>
      <c r="W9" s="34">
        <v>0</v>
      </c>
      <c r="X9" s="34">
        <v>0</v>
      </c>
      <c r="Y9" s="34">
        <v>20</v>
      </c>
      <c r="Z9" s="34">
        <v>0</v>
      </c>
      <c r="AA9" s="34">
        <v>0</v>
      </c>
      <c r="AB9" s="34">
        <v>0</v>
      </c>
      <c r="AC9" s="34">
        <v>0</v>
      </c>
      <c r="AD9" s="34">
        <v>0</v>
      </c>
      <c r="AE9" s="34">
        <v>0</v>
      </c>
      <c r="AF9" s="34">
        <v>0</v>
      </c>
      <c r="AG9" s="34">
        <v>0</v>
      </c>
      <c r="AH9" s="34">
        <v>0</v>
      </c>
      <c r="AI9" s="34">
        <v>0</v>
      </c>
      <c r="AJ9" s="34">
        <v>0</v>
      </c>
      <c r="AK9" s="34">
        <v>0</v>
      </c>
      <c r="AL9" s="34" t="s">
        <v>31</v>
      </c>
      <c r="AM9" s="34" t="s">
        <v>982</v>
      </c>
      <c r="AN9" s="34" t="s">
        <v>3041</v>
      </c>
      <c r="AO9" s="34" t="s">
        <v>50</v>
      </c>
      <c r="AP9" s="34">
        <v>0</v>
      </c>
      <c r="AQ9" s="34">
        <v>0</v>
      </c>
      <c r="AR9" s="37">
        <v>0</v>
      </c>
      <c r="AS9" s="37">
        <v>1</v>
      </c>
      <c r="AT9" s="38" t="s">
        <v>48</v>
      </c>
      <c r="AU9" s="38" t="s">
        <v>50</v>
      </c>
      <c r="AV9" s="38" t="s">
        <v>50</v>
      </c>
      <c r="AW9" s="38" t="s">
        <v>50</v>
      </c>
      <c r="AX9" s="38" t="s">
        <v>50</v>
      </c>
      <c r="AY9" s="38" t="s">
        <v>50</v>
      </c>
      <c r="AZ9" s="38" t="s">
        <v>50</v>
      </c>
      <c r="BA9" s="38" t="s">
        <v>50</v>
      </c>
      <c r="BB9" s="38" t="s">
        <v>50</v>
      </c>
      <c r="BC9" s="38" t="s">
        <v>50</v>
      </c>
      <c r="BD9" s="38" t="s">
        <v>50</v>
      </c>
      <c r="BE9" s="38" t="s">
        <v>50</v>
      </c>
      <c r="BF9" s="38" t="s">
        <v>50</v>
      </c>
      <c r="BG9" s="38" t="s">
        <v>50</v>
      </c>
      <c r="BH9" s="38" t="s">
        <v>50</v>
      </c>
      <c r="BI9" s="37">
        <v>1</v>
      </c>
      <c r="BJ9" s="37">
        <v>0</v>
      </c>
      <c r="BK9" s="37">
        <v>1</v>
      </c>
      <c r="BL9" s="37">
        <v>0</v>
      </c>
      <c r="BM9" s="37">
        <v>1</v>
      </c>
      <c r="BN9" s="37">
        <v>0</v>
      </c>
      <c r="BO9" s="37">
        <v>0</v>
      </c>
    </row>
    <row r="10" spans="1:67" s="37" customFormat="1" ht="15.75" customHeight="1" x14ac:dyDescent="0.2">
      <c r="A10" s="34">
        <f t="shared" si="0"/>
        <v>7008</v>
      </c>
      <c r="B10" s="34" t="s">
        <v>2094</v>
      </c>
      <c r="C10" s="34" t="s">
        <v>3035</v>
      </c>
      <c r="D10" s="36" t="s">
        <v>3037</v>
      </c>
      <c r="E10" s="36" t="s">
        <v>3033</v>
      </c>
      <c r="F10" s="34">
        <v>0</v>
      </c>
      <c r="G10" s="34">
        <v>0</v>
      </c>
      <c r="H10" s="34">
        <v>0</v>
      </c>
      <c r="I10" s="34">
        <v>0</v>
      </c>
      <c r="J10" s="34">
        <v>50</v>
      </c>
      <c r="K10" s="34">
        <v>1</v>
      </c>
      <c r="L10" s="34">
        <v>0</v>
      </c>
      <c r="M10" s="34">
        <v>0</v>
      </c>
      <c r="N10" s="34">
        <v>0</v>
      </c>
      <c r="O10" s="34">
        <v>0</v>
      </c>
      <c r="P10" s="34">
        <v>0</v>
      </c>
      <c r="Q10" s="34">
        <v>0</v>
      </c>
      <c r="R10" s="34">
        <v>0</v>
      </c>
      <c r="S10" s="34">
        <v>0</v>
      </c>
      <c r="T10" s="34">
        <v>0</v>
      </c>
      <c r="U10" s="34">
        <v>0</v>
      </c>
      <c r="V10" s="34">
        <v>0</v>
      </c>
      <c r="W10" s="34">
        <v>0</v>
      </c>
      <c r="X10" s="34">
        <v>0</v>
      </c>
      <c r="Y10" s="34">
        <v>20</v>
      </c>
      <c r="Z10" s="34">
        <v>0</v>
      </c>
      <c r="AA10" s="34">
        <v>0</v>
      </c>
      <c r="AB10" s="34">
        <v>0</v>
      </c>
      <c r="AC10" s="34">
        <v>0</v>
      </c>
      <c r="AD10" s="34">
        <v>0</v>
      </c>
      <c r="AE10" s="34">
        <v>0</v>
      </c>
      <c r="AF10" s="34">
        <v>0</v>
      </c>
      <c r="AG10" s="34">
        <v>0</v>
      </c>
      <c r="AH10" s="34">
        <v>0</v>
      </c>
      <c r="AI10" s="34">
        <v>0</v>
      </c>
      <c r="AJ10" s="34">
        <v>0</v>
      </c>
      <c r="AK10" s="34">
        <v>0</v>
      </c>
      <c r="AL10" s="34" t="s">
        <v>31</v>
      </c>
      <c r="AM10" s="34" t="s">
        <v>982</v>
      </c>
      <c r="AN10" s="34" t="s">
        <v>3041</v>
      </c>
      <c r="AO10" s="34" t="s">
        <v>50</v>
      </c>
      <c r="AP10" s="34">
        <v>0</v>
      </c>
      <c r="AQ10" s="34">
        <v>0</v>
      </c>
      <c r="AR10" s="37">
        <v>0</v>
      </c>
      <c r="AS10" s="37">
        <v>1</v>
      </c>
      <c r="AT10" s="38" t="s">
        <v>48</v>
      </c>
      <c r="AU10" s="38" t="s">
        <v>50</v>
      </c>
      <c r="AV10" s="38" t="s">
        <v>50</v>
      </c>
      <c r="AW10" s="38" t="s">
        <v>50</v>
      </c>
      <c r="AX10" s="38" t="s">
        <v>50</v>
      </c>
      <c r="AY10" s="38" t="s">
        <v>50</v>
      </c>
      <c r="AZ10" s="38" t="s">
        <v>50</v>
      </c>
      <c r="BA10" s="38" t="s">
        <v>50</v>
      </c>
      <c r="BB10" s="38" t="s">
        <v>50</v>
      </c>
      <c r="BC10" s="38" t="s">
        <v>50</v>
      </c>
      <c r="BD10" s="38" t="s">
        <v>50</v>
      </c>
      <c r="BE10" s="38" t="s">
        <v>50</v>
      </c>
      <c r="BF10" s="38" t="s">
        <v>50</v>
      </c>
      <c r="BG10" s="38" t="s">
        <v>50</v>
      </c>
      <c r="BH10" s="38" t="s">
        <v>50</v>
      </c>
      <c r="BI10" s="37">
        <v>1</v>
      </c>
      <c r="BJ10" s="37">
        <v>0</v>
      </c>
      <c r="BK10" s="37">
        <v>1</v>
      </c>
      <c r="BL10" s="37">
        <v>0</v>
      </c>
      <c r="BM10" s="37">
        <v>1</v>
      </c>
      <c r="BN10" s="37">
        <v>0</v>
      </c>
      <c r="BO10" s="37">
        <v>0</v>
      </c>
    </row>
    <row r="11" spans="1:67" s="37" customFormat="1" ht="15.75" customHeight="1" x14ac:dyDescent="0.2">
      <c r="A11" s="34">
        <f t="shared" si="0"/>
        <v>7009</v>
      </c>
      <c r="B11" s="34" t="s">
        <v>2094</v>
      </c>
      <c r="C11" s="34" t="s">
        <v>3036</v>
      </c>
      <c r="D11" s="36" t="s">
        <v>3038</v>
      </c>
      <c r="E11" s="36" t="s">
        <v>3033</v>
      </c>
      <c r="F11" s="34">
        <v>0</v>
      </c>
      <c r="G11" s="34">
        <v>0</v>
      </c>
      <c r="H11" s="34">
        <v>0</v>
      </c>
      <c r="I11" s="34">
        <v>0</v>
      </c>
      <c r="J11" s="34">
        <v>50</v>
      </c>
      <c r="K11" s="34">
        <v>1</v>
      </c>
      <c r="L11" s="34">
        <v>0</v>
      </c>
      <c r="M11" s="34">
        <v>0</v>
      </c>
      <c r="N11" s="34">
        <v>0</v>
      </c>
      <c r="O11" s="34">
        <v>0</v>
      </c>
      <c r="P11" s="34">
        <v>0</v>
      </c>
      <c r="Q11" s="34">
        <v>0</v>
      </c>
      <c r="R11" s="34">
        <v>0</v>
      </c>
      <c r="S11" s="34">
        <v>0</v>
      </c>
      <c r="T11" s="34">
        <v>0</v>
      </c>
      <c r="U11" s="34">
        <v>0</v>
      </c>
      <c r="V11" s="34">
        <v>0</v>
      </c>
      <c r="W11" s="34">
        <v>0</v>
      </c>
      <c r="X11" s="34">
        <v>0</v>
      </c>
      <c r="Y11" s="34">
        <v>20</v>
      </c>
      <c r="Z11" s="34">
        <v>0</v>
      </c>
      <c r="AA11" s="34">
        <v>0</v>
      </c>
      <c r="AB11" s="34">
        <v>0</v>
      </c>
      <c r="AC11" s="34">
        <v>0</v>
      </c>
      <c r="AD11" s="34">
        <v>0</v>
      </c>
      <c r="AE11" s="34">
        <v>0</v>
      </c>
      <c r="AF11" s="34">
        <v>0</v>
      </c>
      <c r="AG11" s="34">
        <v>0</v>
      </c>
      <c r="AH11" s="34">
        <v>0</v>
      </c>
      <c r="AI11" s="34">
        <v>0</v>
      </c>
      <c r="AJ11" s="34">
        <v>0</v>
      </c>
      <c r="AK11" s="34">
        <v>0</v>
      </c>
      <c r="AL11" s="34" t="s">
        <v>31</v>
      </c>
      <c r="AM11" s="34" t="s">
        <v>982</v>
      </c>
      <c r="AN11" s="34" t="s">
        <v>3041</v>
      </c>
      <c r="AO11" s="34" t="s">
        <v>50</v>
      </c>
      <c r="AP11" s="34">
        <v>0</v>
      </c>
      <c r="AQ11" s="34">
        <v>0</v>
      </c>
      <c r="AR11" s="37">
        <v>0</v>
      </c>
      <c r="AS11" s="37">
        <v>1</v>
      </c>
      <c r="AT11" s="38" t="s">
        <v>48</v>
      </c>
      <c r="AU11" s="38" t="s">
        <v>50</v>
      </c>
      <c r="AV11" s="38" t="s">
        <v>50</v>
      </c>
      <c r="AW11" s="38" t="s">
        <v>50</v>
      </c>
      <c r="AX11" s="38" t="s">
        <v>50</v>
      </c>
      <c r="AY11" s="38" t="s">
        <v>50</v>
      </c>
      <c r="AZ11" s="38" t="s">
        <v>50</v>
      </c>
      <c r="BA11" s="38" t="s">
        <v>50</v>
      </c>
      <c r="BB11" s="38" t="s">
        <v>50</v>
      </c>
      <c r="BC11" s="38" t="s">
        <v>50</v>
      </c>
      <c r="BD11" s="38" t="s">
        <v>50</v>
      </c>
      <c r="BE11" s="38" t="s">
        <v>50</v>
      </c>
      <c r="BF11" s="38" t="s">
        <v>50</v>
      </c>
      <c r="BG11" s="38" t="s">
        <v>50</v>
      </c>
      <c r="BH11" s="38" t="s">
        <v>50</v>
      </c>
      <c r="BI11" s="37">
        <v>1</v>
      </c>
      <c r="BJ11" s="37">
        <v>0</v>
      </c>
      <c r="BK11" s="37">
        <v>1</v>
      </c>
      <c r="BL11" s="37">
        <v>0</v>
      </c>
      <c r="BM11" s="37">
        <v>1</v>
      </c>
      <c r="BN11" s="37">
        <v>0</v>
      </c>
      <c r="BO11" s="37">
        <v>0</v>
      </c>
    </row>
    <row r="12" spans="1:67" s="37" customFormat="1" ht="15.75" customHeight="1" x14ac:dyDescent="0.2">
      <c r="A12" s="34">
        <f t="shared" si="0"/>
        <v>7010</v>
      </c>
      <c r="B12" s="34" t="s">
        <v>2094</v>
      </c>
      <c r="C12" s="34" t="s">
        <v>3039</v>
      </c>
      <c r="D12" s="36" t="s">
        <v>3216</v>
      </c>
      <c r="E12" s="36" t="s">
        <v>3040</v>
      </c>
      <c r="F12" s="34">
        <v>0</v>
      </c>
      <c r="G12" s="34">
        <v>0</v>
      </c>
      <c r="H12" s="34">
        <v>0</v>
      </c>
      <c r="I12" s="34">
        <v>0</v>
      </c>
      <c r="J12" s="34">
        <v>50</v>
      </c>
      <c r="K12" s="34">
        <v>1</v>
      </c>
      <c r="L12" s="34">
        <v>0</v>
      </c>
      <c r="M12" s="34">
        <v>0</v>
      </c>
      <c r="N12" s="34">
        <v>0</v>
      </c>
      <c r="O12" s="34">
        <v>0</v>
      </c>
      <c r="P12" s="34">
        <v>0</v>
      </c>
      <c r="Q12" s="34">
        <v>0</v>
      </c>
      <c r="R12" s="34">
        <v>0</v>
      </c>
      <c r="S12" s="34">
        <v>0</v>
      </c>
      <c r="T12" s="34">
        <v>0</v>
      </c>
      <c r="U12" s="34">
        <v>0</v>
      </c>
      <c r="V12" s="34">
        <v>0</v>
      </c>
      <c r="W12" s="34">
        <v>0</v>
      </c>
      <c r="X12" s="34">
        <v>0</v>
      </c>
      <c r="Y12" s="34">
        <v>20</v>
      </c>
      <c r="Z12" s="34">
        <v>0</v>
      </c>
      <c r="AA12" s="34">
        <v>0</v>
      </c>
      <c r="AB12" s="34">
        <v>0</v>
      </c>
      <c r="AC12" s="34">
        <v>0</v>
      </c>
      <c r="AD12" s="34">
        <v>0</v>
      </c>
      <c r="AE12" s="34">
        <v>0</v>
      </c>
      <c r="AF12" s="34">
        <v>0</v>
      </c>
      <c r="AG12" s="34">
        <v>0</v>
      </c>
      <c r="AH12" s="34">
        <v>0</v>
      </c>
      <c r="AI12" s="34">
        <v>0</v>
      </c>
      <c r="AJ12" s="34">
        <v>0</v>
      </c>
      <c r="AK12" s="34">
        <v>0</v>
      </c>
      <c r="AL12" s="34" t="s">
        <v>31</v>
      </c>
      <c r="AM12" s="34" t="s">
        <v>982</v>
      </c>
      <c r="AN12" s="34" t="s">
        <v>3041</v>
      </c>
      <c r="AO12" s="34" t="s">
        <v>50</v>
      </c>
      <c r="AP12" s="34">
        <v>0</v>
      </c>
      <c r="AQ12" s="34">
        <v>0</v>
      </c>
      <c r="AR12" s="37">
        <v>0</v>
      </c>
      <c r="AS12" s="37">
        <v>1</v>
      </c>
      <c r="AT12" s="38" t="s">
        <v>1350</v>
      </c>
      <c r="AU12" s="38" t="s">
        <v>50</v>
      </c>
      <c r="AV12" s="38" t="s">
        <v>50</v>
      </c>
      <c r="AW12" s="38" t="s">
        <v>50</v>
      </c>
      <c r="AX12" s="38" t="s">
        <v>50</v>
      </c>
      <c r="AY12" s="38" t="s">
        <v>50</v>
      </c>
      <c r="AZ12" s="38" t="s">
        <v>50</v>
      </c>
      <c r="BA12" s="38" t="s">
        <v>50</v>
      </c>
      <c r="BB12" s="38" t="s">
        <v>50</v>
      </c>
      <c r="BC12" s="38" t="s">
        <v>50</v>
      </c>
      <c r="BD12" s="38" t="s">
        <v>50</v>
      </c>
      <c r="BE12" s="38" t="s">
        <v>50</v>
      </c>
      <c r="BF12" s="38" t="s">
        <v>50</v>
      </c>
      <c r="BG12" s="38" t="s">
        <v>50</v>
      </c>
      <c r="BH12" s="38" t="s">
        <v>50</v>
      </c>
      <c r="BI12" s="37">
        <v>1</v>
      </c>
      <c r="BJ12" s="37">
        <v>0</v>
      </c>
      <c r="BK12" s="37">
        <v>1</v>
      </c>
      <c r="BL12" s="37">
        <v>0</v>
      </c>
      <c r="BM12" s="37">
        <v>1</v>
      </c>
      <c r="BN12" s="37">
        <v>0</v>
      </c>
      <c r="BO12" s="37">
        <v>0</v>
      </c>
    </row>
    <row r="13" spans="1:67" s="37" customFormat="1" ht="15.75" customHeight="1" x14ac:dyDescent="0.2">
      <c r="A13" s="34">
        <f t="shared" si="0"/>
        <v>7011</v>
      </c>
      <c r="B13" s="34" t="s">
        <v>30</v>
      </c>
      <c r="C13" s="34" t="s">
        <v>461</v>
      </c>
      <c r="D13" s="39" t="s">
        <v>2936</v>
      </c>
      <c r="E13" s="39" t="s">
        <v>460</v>
      </c>
      <c r="F13" s="34">
        <v>0</v>
      </c>
      <c r="G13" s="34">
        <v>0</v>
      </c>
      <c r="H13" s="34">
        <v>0</v>
      </c>
      <c r="I13" s="34">
        <v>0</v>
      </c>
      <c r="J13" s="34">
        <v>50</v>
      </c>
      <c r="K13" s="34">
        <v>1</v>
      </c>
      <c r="L13" s="34">
        <v>0</v>
      </c>
      <c r="M13" s="34">
        <v>5</v>
      </c>
      <c r="N13" s="34">
        <v>0</v>
      </c>
      <c r="O13" s="34">
        <v>0</v>
      </c>
      <c r="P13" s="34">
        <v>0</v>
      </c>
      <c r="Q13" s="34">
        <v>0</v>
      </c>
      <c r="R13" s="34">
        <v>0</v>
      </c>
      <c r="S13" s="34">
        <v>0</v>
      </c>
      <c r="T13" s="34">
        <v>0</v>
      </c>
      <c r="U13" s="34">
        <v>0</v>
      </c>
      <c r="V13" s="34">
        <v>0</v>
      </c>
      <c r="W13" s="34">
        <v>0</v>
      </c>
      <c r="X13" s="34">
        <v>0</v>
      </c>
      <c r="Y13" s="34">
        <v>0</v>
      </c>
      <c r="Z13" s="34">
        <v>0</v>
      </c>
      <c r="AA13" s="34">
        <v>0</v>
      </c>
      <c r="AB13" s="34">
        <v>0</v>
      </c>
      <c r="AC13" s="34">
        <v>0</v>
      </c>
      <c r="AD13" s="34">
        <v>0</v>
      </c>
      <c r="AE13" s="34">
        <v>0</v>
      </c>
      <c r="AF13" s="34">
        <v>0</v>
      </c>
      <c r="AG13" s="34">
        <v>0</v>
      </c>
      <c r="AH13" s="34">
        <v>0</v>
      </c>
      <c r="AI13" s="34">
        <v>0</v>
      </c>
      <c r="AJ13" s="34">
        <v>0</v>
      </c>
      <c r="AK13" s="34">
        <v>0</v>
      </c>
      <c r="AL13" s="34" t="s">
        <v>42</v>
      </c>
      <c r="AM13" s="34" t="s">
        <v>982</v>
      </c>
      <c r="AN13" s="34" t="s">
        <v>3042</v>
      </c>
      <c r="AO13" s="34" t="s">
        <v>1853</v>
      </c>
      <c r="AP13" s="34">
        <v>0</v>
      </c>
      <c r="AQ13" s="34">
        <v>0</v>
      </c>
      <c r="AR13" s="37">
        <v>0</v>
      </c>
      <c r="AS13" s="37">
        <v>1</v>
      </c>
      <c r="AT13" s="38" t="s">
        <v>48</v>
      </c>
      <c r="AU13" s="38" t="s">
        <v>50</v>
      </c>
      <c r="AV13" s="38" t="s">
        <v>50</v>
      </c>
      <c r="AW13" s="38" t="s">
        <v>50</v>
      </c>
      <c r="AX13" s="38" t="s">
        <v>50</v>
      </c>
      <c r="AY13" s="38" t="s">
        <v>50</v>
      </c>
      <c r="AZ13" s="38" t="s">
        <v>50</v>
      </c>
      <c r="BA13" s="38" t="s">
        <v>50</v>
      </c>
      <c r="BB13" s="38" t="s">
        <v>50</v>
      </c>
      <c r="BC13" s="38" t="s">
        <v>50</v>
      </c>
      <c r="BD13" s="38" t="s">
        <v>50</v>
      </c>
      <c r="BE13" s="38" t="s">
        <v>50</v>
      </c>
      <c r="BF13" s="38" t="s">
        <v>50</v>
      </c>
      <c r="BG13" s="38" t="s">
        <v>50</v>
      </c>
      <c r="BH13" s="38" t="s">
        <v>50</v>
      </c>
      <c r="BI13" s="37">
        <v>1</v>
      </c>
      <c r="BJ13" s="37">
        <v>0</v>
      </c>
      <c r="BK13" s="37">
        <v>1</v>
      </c>
      <c r="BL13" s="37">
        <v>0</v>
      </c>
      <c r="BM13" s="37">
        <v>0</v>
      </c>
      <c r="BN13" s="37">
        <v>0</v>
      </c>
      <c r="BO13" s="37">
        <v>0</v>
      </c>
    </row>
    <row r="14" spans="1:67" s="9" customFormat="1" ht="15.75" customHeight="1" x14ac:dyDescent="0.2">
      <c r="A14" s="3">
        <f t="shared" si="0"/>
        <v>7012</v>
      </c>
      <c r="B14" s="7" t="s">
        <v>30</v>
      </c>
      <c r="C14" s="7" t="s">
        <v>463</v>
      </c>
      <c r="D14" s="8" t="s">
        <v>2937</v>
      </c>
      <c r="E14" s="8" t="s">
        <v>462</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982</v>
      </c>
      <c r="AN14" s="7" t="s">
        <v>2033</v>
      </c>
      <c r="AO14" s="7" t="s">
        <v>1853</v>
      </c>
      <c r="AP14" s="7">
        <v>0</v>
      </c>
      <c r="AQ14" s="7">
        <v>0</v>
      </c>
      <c r="AR14" s="9">
        <v>0</v>
      </c>
      <c r="AS14" s="9">
        <v>1</v>
      </c>
      <c r="AT14" s="10" t="s">
        <v>48</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row>
    <row r="15" spans="1:67" s="9" customFormat="1" ht="15.75" customHeight="1" x14ac:dyDescent="0.2">
      <c r="A15" s="3">
        <f t="shared" si="0"/>
        <v>7013</v>
      </c>
      <c r="B15" s="7" t="s">
        <v>30</v>
      </c>
      <c r="C15" s="7" t="s">
        <v>466</v>
      </c>
      <c r="D15" s="8" t="s">
        <v>464</v>
      </c>
      <c r="E15" s="8" t="s">
        <v>465</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982</v>
      </c>
      <c r="AN15" s="7" t="s">
        <v>2033</v>
      </c>
      <c r="AO15" s="7" t="s">
        <v>1853</v>
      </c>
      <c r="AP15" s="7">
        <v>0</v>
      </c>
      <c r="AQ15" s="7">
        <v>0</v>
      </c>
      <c r="AR15" s="9">
        <v>0</v>
      </c>
      <c r="AS15" s="9">
        <v>1</v>
      </c>
      <c r="AT15" s="10" t="s">
        <v>48</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row>
    <row r="16" spans="1:67" s="9" customFormat="1" ht="15.75" customHeight="1" x14ac:dyDescent="0.2">
      <c r="A16" s="3">
        <f t="shared" si="0"/>
        <v>7014</v>
      </c>
      <c r="B16" s="7" t="s">
        <v>30</v>
      </c>
      <c r="C16" s="7" t="s">
        <v>469</v>
      </c>
      <c r="D16" s="8" t="s">
        <v>467</v>
      </c>
      <c r="E16" s="8" t="s">
        <v>468</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982</v>
      </c>
      <c r="AN16" s="7" t="s">
        <v>2033</v>
      </c>
      <c r="AO16" s="7" t="s">
        <v>1853</v>
      </c>
      <c r="AP16" s="7">
        <v>0</v>
      </c>
      <c r="AQ16" s="7">
        <v>0</v>
      </c>
      <c r="AR16" s="9">
        <v>0</v>
      </c>
      <c r="AS16" s="9">
        <v>1</v>
      </c>
      <c r="AT16" s="10" t="s">
        <v>48</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row>
    <row r="17" spans="1:67" ht="15.75" customHeight="1" x14ac:dyDescent="0.2">
      <c r="A17" s="3">
        <f t="shared" si="0"/>
        <v>7015</v>
      </c>
      <c r="B17" s="3" t="s">
        <v>3317</v>
      </c>
      <c r="C17" s="3" t="s">
        <v>3317</v>
      </c>
      <c r="D17" s="5" t="s">
        <v>3315</v>
      </c>
      <c r="E17" s="5" t="s">
        <v>3316</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10</v>
      </c>
      <c r="Z17" s="3">
        <v>0</v>
      </c>
      <c r="AA17" s="3">
        <v>0</v>
      </c>
      <c r="AB17" s="3">
        <v>0</v>
      </c>
      <c r="AC17" s="3">
        <v>0</v>
      </c>
      <c r="AD17" s="3">
        <v>0</v>
      </c>
      <c r="AE17" s="3">
        <v>0</v>
      </c>
      <c r="AF17" s="3">
        <v>0</v>
      </c>
      <c r="AG17" s="3">
        <v>0</v>
      </c>
      <c r="AH17" s="3">
        <v>0</v>
      </c>
      <c r="AI17" s="3">
        <v>0</v>
      </c>
      <c r="AJ17" s="3">
        <v>0</v>
      </c>
      <c r="AK17" s="3">
        <v>0</v>
      </c>
      <c r="AL17" s="3" t="s">
        <v>42</v>
      </c>
      <c r="AM17" s="3" t="s">
        <v>23</v>
      </c>
      <c r="AN17" s="3" t="s">
        <v>2033</v>
      </c>
      <c r="AO17" s="3" t="s">
        <v>50</v>
      </c>
      <c r="AP17" s="3">
        <v>0</v>
      </c>
      <c r="AQ17" s="3">
        <v>0</v>
      </c>
      <c r="AR17">
        <v>0</v>
      </c>
      <c r="AS17">
        <v>1</v>
      </c>
      <c r="AT17" s="6" t="s">
        <v>296</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row>
    <row r="18" spans="1:67" ht="15.75" customHeight="1" x14ac:dyDescent="0.2">
      <c r="A18" s="3">
        <f t="shared" si="0"/>
        <v>7016</v>
      </c>
      <c r="B18" s="3" t="s">
        <v>398</v>
      </c>
      <c r="C18" s="3" t="s">
        <v>160</v>
      </c>
      <c r="D18" s="5" t="s">
        <v>45</v>
      </c>
      <c r="E18" s="5" t="s">
        <v>313</v>
      </c>
      <c r="F18" s="3">
        <v>0</v>
      </c>
      <c r="G18" s="3">
        <v>0</v>
      </c>
      <c r="H18" s="3">
        <v>0</v>
      </c>
      <c r="I18" s="3">
        <v>0</v>
      </c>
      <c r="J18" s="3">
        <v>10</v>
      </c>
      <c r="K18" s="3">
        <v>1</v>
      </c>
      <c r="L18" s="3">
        <v>0</v>
      </c>
      <c r="M18" s="3">
        <v>5</v>
      </c>
      <c r="N18" s="3">
        <v>0</v>
      </c>
      <c r="O18" s="3">
        <v>0</v>
      </c>
      <c r="P18" s="3">
        <v>0</v>
      </c>
      <c r="Q18" s="3">
        <v>0</v>
      </c>
      <c r="R18" s="3">
        <v>0</v>
      </c>
      <c r="S18" s="3">
        <v>0</v>
      </c>
      <c r="T18" s="3">
        <v>0</v>
      </c>
      <c r="U18" s="3">
        <v>0</v>
      </c>
      <c r="V18" s="3">
        <v>0</v>
      </c>
      <c r="W18" s="3">
        <v>0</v>
      </c>
      <c r="X18" s="3">
        <v>0</v>
      </c>
      <c r="Y18" s="3">
        <v>10</v>
      </c>
      <c r="Z18" s="3">
        <v>0</v>
      </c>
      <c r="AA18" s="3">
        <v>0</v>
      </c>
      <c r="AB18" s="3">
        <v>0</v>
      </c>
      <c r="AC18" s="3">
        <v>0</v>
      </c>
      <c r="AD18" s="3">
        <v>0</v>
      </c>
      <c r="AE18" s="3">
        <v>0</v>
      </c>
      <c r="AF18" s="3">
        <v>0</v>
      </c>
      <c r="AG18" s="3">
        <v>0</v>
      </c>
      <c r="AH18" s="3">
        <v>0</v>
      </c>
      <c r="AI18" s="3">
        <v>0</v>
      </c>
      <c r="AJ18" s="3">
        <v>0</v>
      </c>
      <c r="AK18" s="3">
        <v>0</v>
      </c>
      <c r="AL18" s="3" t="s">
        <v>42</v>
      </c>
      <c r="AM18" s="3" t="s">
        <v>23</v>
      </c>
      <c r="AN18" s="3" t="s">
        <v>2033</v>
      </c>
      <c r="AO18" s="3" t="s">
        <v>1853</v>
      </c>
      <c r="AP18" s="3">
        <v>0</v>
      </c>
      <c r="AQ18" s="3">
        <v>0</v>
      </c>
      <c r="AR18">
        <v>0</v>
      </c>
      <c r="AS18">
        <v>1</v>
      </c>
      <c r="AT18" s="6" t="s">
        <v>296</v>
      </c>
      <c r="AU18" s="6" t="s">
        <v>150</v>
      </c>
      <c r="AV18" s="6" t="s">
        <v>150</v>
      </c>
      <c r="AW18" s="6" t="s">
        <v>150</v>
      </c>
      <c r="AX18" s="6" t="s">
        <v>150</v>
      </c>
      <c r="AY18" s="6" t="s">
        <v>150</v>
      </c>
      <c r="AZ18" s="6" t="s">
        <v>150</v>
      </c>
      <c r="BA18" s="6" t="s">
        <v>150</v>
      </c>
      <c r="BB18" s="6" t="s">
        <v>150</v>
      </c>
      <c r="BC18" s="6" t="s">
        <v>150</v>
      </c>
      <c r="BD18" s="6" t="s">
        <v>50</v>
      </c>
      <c r="BE18" s="6" t="s">
        <v>50</v>
      </c>
      <c r="BF18" s="6" t="s">
        <v>50</v>
      </c>
      <c r="BG18" s="6" t="s">
        <v>50</v>
      </c>
      <c r="BH18" s="6" t="s">
        <v>50</v>
      </c>
      <c r="BI18">
        <v>1</v>
      </c>
      <c r="BJ18">
        <v>0</v>
      </c>
      <c r="BK18">
        <v>1</v>
      </c>
      <c r="BL18">
        <v>0</v>
      </c>
      <c r="BM18">
        <v>0</v>
      </c>
      <c r="BN18">
        <v>0</v>
      </c>
      <c r="BO18">
        <v>0</v>
      </c>
    </row>
    <row r="19" spans="1:67" ht="15.75" customHeight="1" x14ac:dyDescent="0.2">
      <c r="A19" s="3">
        <f t="shared" si="0"/>
        <v>7017</v>
      </c>
      <c r="B19" s="3" t="s">
        <v>399</v>
      </c>
      <c r="C19" s="3" t="s">
        <v>186</v>
      </c>
      <c r="D19" s="5" t="s">
        <v>46</v>
      </c>
      <c r="E19" s="5" t="s">
        <v>314</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5</v>
      </c>
      <c r="Z19" s="3">
        <v>0</v>
      </c>
      <c r="AA19" s="3">
        <v>0</v>
      </c>
      <c r="AB19" s="3">
        <v>0</v>
      </c>
      <c r="AC19" s="3">
        <v>0</v>
      </c>
      <c r="AD19" s="3">
        <v>0</v>
      </c>
      <c r="AE19" s="3">
        <v>0</v>
      </c>
      <c r="AF19" s="3">
        <v>0</v>
      </c>
      <c r="AG19" s="3">
        <v>0</v>
      </c>
      <c r="AH19" s="3">
        <v>0</v>
      </c>
      <c r="AI19" s="3">
        <v>0</v>
      </c>
      <c r="AJ19" s="3">
        <v>0</v>
      </c>
      <c r="AK19" s="3">
        <v>0</v>
      </c>
      <c r="AL19" s="3" t="s">
        <v>42</v>
      </c>
      <c r="AM19" s="3" t="s">
        <v>982</v>
      </c>
      <c r="AN19" s="3" t="s">
        <v>2033</v>
      </c>
      <c r="AO19" s="3" t="s">
        <v>1853</v>
      </c>
      <c r="AP19" s="3">
        <v>0</v>
      </c>
      <c r="AQ19" s="3">
        <v>0</v>
      </c>
      <c r="AR19">
        <v>0</v>
      </c>
      <c r="AS19">
        <v>1</v>
      </c>
      <c r="AT19" s="6" t="s">
        <v>297</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row>
    <row r="20" spans="1:67" ht="15.75" customHeight="1" x14ac:dyDescent="0.2">
      <c r="A20" s="3">
        <f t="shared" si="0"/>
        <v>7018</v>
      </c>
      <c r="B20" s="3" t="s">
        <v>185</v>
      </c>
      <c r="C20" s="3" t="s">
        <v>185</v>
      </c>
      <c r="D20" s="5" t="s">
        <v>47</v>
      </c>
      <c r="E20" s="5" t="s">
        <v>476</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15</v>
      </c>
      <c r="Z20" s="3">
        <v>0</v>
      </c>
      <c r="AA20" s="3">
        <v>0</v>
      </c>
      <c r="AB20" s="3">
        <v>0</v>
      </c>
      <c r="AC20" s="3">
        <v>0</v>
      </c>
      <c r="AD20" s="3">
        <v>0</v>
      </c>
      <c r="AE20" s="3">
        <v>0</v>
      </c>
      <c r="AF20" s="3">
        <v>0</v>
      </c>
      <c r="AG20" s="3">
        <v>0</v>
      </c>
      <c r="AH20" s="3">
        <v>0</v>
      </c>
      <c r="AI20" s="3">
        <v>0</v>
      </c>
      <c r="AJ20" s="3">
        <v>0</v>
      </c>
      <c r="AK20" s="3">
        <v>0</v>
      </c>
      <c r="AL20" s="3" t="s">
        <v>42</v>
      </c>
      <c r="AM20" s="3" t="s">
        <v>982</v>
      </c>
      <c r="AN20" s="3" t="s">
        <v>2033</v>
      </c>
      <c r="AO20" s="3" t="s">
        <v>1853</v>
      </c>
      <c r="AP20" s="3">
        <v>0</v>
      </c>
      <c r="AQ20" s="3">
        <v>0</v>
      </c>
      <c r="AR20">
        <v>0</v>
      </c>
      <c r="AS20">
        <v>1</v>
      </c>
      <c r="AT20" s="6" t="s">
        <v>294</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row>
    <row r="21" spans="1:67" ht="15.75" customHeight="1" x14ac:dyDescent="0.2">
      <c r="A21" s="3">
        <f t="shared" si="0"/>
        <v>7019</v>
      </c>
      <c r="B21" s="3" t="s">
        <v>1845</v>
      </c>
      <c r="C21" s="3" t="s">
        <v>1845</v>
      </c>
      <c r="D21" s="5" t="s">
        <v>1844</v>
      </c>
      <c r="E21" s="5" t="s">
        <v>1851</v>
      </c>
      <c r="F21" s="3">
        <v>0</v>
      </c>
      <c r="G21" s="3">
        <v>0</v>
      </c>
      <c r="H21" s="3">
        <v>0</v>
      </c>
      <c r="I21" s="3">
        <v>0</v>
      </c>
      <c r="J21" s="3">
        <v>10</v>
      </c>
      <c r="K21" s="3">
        <v>1</v>
      </c>
      <c r="L21" s="3">
        <v>0</v>
      </c>
      <c r="M21" s="3">
        <v>2</v>
      </c>
      <c r="N21" s="3">
        <v>0</v>
      </c>
      <c r="O21" s="3">
        <v>0</v>
      </c>
      <c r="P21" s="3">
        <v>0</v>
      </c>
      <c r="Q21" s="3">
        <v>0</v>
      </c>
      <c r="R21" s="3">
        <v>0</v>
      </c>
      <c r="S21" s="3">
        <v>0</v>
      </c>
      <c r="T21" s="3">
        <v>0</v>
      </c>
      <c r="U21" s="3">
        <v>0</v>
      </c>
      <c r="V21" s="3">
        <v>0</v>
      </c>
      <c r="W21" s="3">
        <v>0</v>
      </c>
      <c r="X21" s="3">
        <v>0</v>
      </c>
      <c r="Y21" s="3">
        <v>3</v>
      </c>
      <c r="Z21" s="3">
        <v>0</v>
      </c>
      <c r="AA21" s="3">
        <v>0</v>
      </c>
      <c r="AB21" s="3">
        <v>0</v>
      </c>
      <c r="AC21" s="3">
        <v>0</v>
      </c>
      <c r="AD21" s="3">
        <v>0</v>
      </c>
      <c r="AE21" s="3">
        <v>0</v>
      </c>
      <c r="AF21" s="3">
        <v>0</v>
      </c>
      <c r="AG21" s="3">
        <v>0</v>
      </c>
      <c r="AH21" s="3">
        <v>0</v>
      </c>
      <c r="AI21" s="3">
        <v>0</v>
      </c>
      <c r="AJ21" s="3">
        <v>0</v>
      </c>
      <c r="AK21" s="3">
        <v>0</v>
      </c>
      <c r="AL21" s="3" t="s">
        <v>42</v>
      </c>
      <c r="AM21" s="3" t="s">
        <v>982</v>
      </c>
      <c r="AN21" s="3" t="s">
        <v>2033</v>
      </c>
      <c r="AO21" s="3" t="s">
        <v>1853</v>
      </c>
      <c r="AP21" s="3">
        <v>0</v>
      </c>
      <c r="AQ21" s="3">
        <v>0</v>
      </c>
      <c r="AR21">
        <v>0</v>
      </c>
      <c r="AS21">
        <v>1</v>
      </c>
      <c r="AT21" s="6" t="s">
        <v>1848</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row>
    <row r="22" spans="1:67" ht="15.75" customHeight="1" x14ac:dyDescent="0.2">
      <c r="A22" s="3">
        <f t="shared" si="0"/>
        <v>7020</v>
      </c>
      <c r="B22" s="3" t="s">
        <v>184</v>
      </c>
      <c r="C22" s="3" t="s">
        <v>184</v>
      </c>
      <c r="D22" s="25" t="s">
        <v>68</v>
      </c>
      <c r="E22" s="4" t="s">
        <v>315</v>
      </c>
      <c r="F22" s="3">
        <v>0</v>
      </c>
      <c r="G22" s="3">
        <v>0</v>
      </c>
      <c r="H22" s="3">
        <v>0</v>
      </c>
      <c r="I22" s="3">
        <v>0</v>
      </c>
      <c r="J22" s="3">
        <v>50</v>
      </c>
      <c r="K22" s="3">
        <v>1</v>
      </c>
      <c r="L22" s="3">
        <v>0</v>
      </c>
      <c r="M22" s="3">
        <v>10</v>
      </c>
      <c r="N22" s="3">
        <v>20</v>
      </c>
      <c r="O22" s="3">
        <v>20</v>
      </c>
      <c r="P22" s="3">
        <v>0</v>
      </c>
      <c r="Q22" s="3">
        <v>0</v>
      </c>
      <c r="R22" s="3">
        <v>30</v>
      </c>
      <c r="S22" s="3">
        <v>0</v>
      </c>
      <c r="T22" s="3">
        <v>0</v>
      </c>
      <c r="U22" s="3">
        <v>0</v>
      </c>
      <c r="V22" s="3">
        <v>0</v>
      </c>
      <c r="W22" s="3">
        <v>0</v>
      </c>
      <c r="X22" s="3">
        <v>0</v>
      </c>
      <c r="Y22" s="3">
        <v>30</v>
      </c>
      <c r="Z22" s="3">
        <v>0</v>
      </c>
      <c r="AA22" s="3">
        <v>0</v>
      </c>
      <c r="AB22" s="3">
        <v>0</v>
      </c>
      <c r="AC22" s="3">
        <v>0</v>
      </c>
      <c r="AD22" s="3">
        <v>0</v>
      </c>
      <c r="AE22" s="3">
        <v>0</v>
      </c>
      <c r="AF22" s="3">
        <v>0</v>
      </c>
      <c r="AG22" s="3">
        <v>0</v>
      </c>
      <c r="AH22" s="3">
        <v>0</v>
      </c>
      <c r="AI22" s="3">
        <v>0</v>
      </c>
      <c r="AJ22" s="3">
        <v>0</v>
      </c>
      <c r="AK22" s="3">
        <v>0</v>
      </c>
      <c r="AL22" s="3" t="s">
        <v>42</v>
      </c>
      <c r="AM22" s="3" t="s">
        <v>982</v>
      </c>
      <c r="AN22" s="3" t="s">
        <v>2033</v>
      </c>
      <c r="AO22" s="3" t="s">
        <v>1853</v>
      </c>
      <c r="AP22" s="3">
        <v>0</v>
      </c>
      <c r="AQ22" s="3">
        <v>0</v>
      </c>
      <c r="AR22">
        <v>0</v>
      </c>
      <c r="AS22">
        <v>1</v>
      </c>
      <c r="AT22" s="6" t="s">
        <v>293</v>
      </c>
      <c r="AU22" s="6" t="s">
        <v>150</v>
      </c>
      <c r="AV22" s="6" t="s">
        <v>150</v>
      </c>
      <c r="AW22" s="6" t="s">
        <v>150</v>
      </c>
      <c r="AX22" s="6" t="s">
        <v>150</v>
      </c>
      <c r="AY22" s="6" t="s">
        <v>150</v>
      </c>
      <c r="AZ22" s="6" t="s">
        <v>150</v>
      </c>
      <c r="BA22" s="6" t="s">
        <v>150</v>
      </c>
      <c r="BB22" s="6" t="s">
        <v>150</v>
      </c>
      <c r="BC22" s="6" t="s">
        <v>150</v>
      </c>
      <c r="BD22" s="6" t="s">
        <v>50</v>
      </c>
      <c r="BE22" s="6" t="s">
        <v>50</v>
      </c>
      <c r="BF22" s="6" t="s">
        <v>50</v>
      </c>
      <c r="BG22" s="6" t="s">
        <v>50</v>
      </c>
      <c r="BH22" s="6" t="s">
        <v>50</v>
      </c>
      <c r="BI22">
        <v>1</v>
      </c>
      <c r="BJ22">
        <v>0</v>
      </c>
      <c r="BK22">
        <v>1</v>
      </c>
      <c r="BL22">
        <v>0</v>
      </c>
      <c r="BM22">
        <v>0</v>
      </c>
      <c r="BN22">
        <v>0</v>
      </c>
      <c r="BO22">
        <v>0</v>
      </c>
    </row>
    <row r="23" spans="1:67" ht="15.75" customHeight="1" x14ac:dyDescent="0.2">
      <c r="A23" s="3">
        <f t="shared" si="0"/>
        <v>7021</v>
      </c>
      <c r="B23" s="3" t="s">
        <v>92</v>
      </c>
      <c r="C23" s="3" t="s">
        <v>92</v>
      </c>
      <c r="D23" s="25" t="s">
        <v>93</v>
      </c>
      <c r="E23" s="4" t="s">
        <v>94</v>
      </c>
      <c r="F23" s="3">
        <v>0</v>
      </c>
      <c r="G23" s="3">
        <v>0</v>
      </c>
      <c r="H23" s="3">
        <v>0</v>
      </c>
      <c r="I23" s="3">
        <v>0</v>
      </c>
      <c r="J23" s="3">
        <v>20</v>
      </c>
      <c r="K23" s="3">
        <v>1</v>
      </c>
      <c r="L23" s="3">
        <v>0</v>
      </c>
      <c r="M23" s="3">
        <v>0</v>
      </c>
      <c r="N23" s="3">
        <v>50</v>
      </c>
      <c r="O23" s="3">
        <v>0</v>
      </c>
      <c r="P23" s="3">
        <v>0</v>
      </c>
      <c r="Q23" s="3">
        <v>2</v>
      </c>
      <c r="R23" s="3">
        <v>50</v>
      </c>
      <c r="S23" s="3">
        <v>0</v>
      </c>
      <c r="T23" s="3">
        <v>0</v>
      </c>
      <c r="U23" s="3">
        <v>0</v>
      </c>
      <c r="V23" s="3">
        <v>0</v>
      </c>
      <c r="W23" s="3">
        <v>0</v>
      </c>
      <c r="X23" s="3">
        <v>0</v>
      </c>
      <c r="Y23" s="3">
        <v>-30</v>
      </c>
      <c r="Z23" s="3">
        <v>0</v>
      </c>
      <c r="AA23" s="3">
        <v>0</v>
      </c>
      <c r="AB23" s="3">
        <v>0</v>
      </c>
      <c r="AC23" s="3">
        <v>0</v>
      </c>
      <c r="AD23" s="3">
        <v>0</v>
      </c>
      <c r="AE23" s="3">
        <v>0</v>
      </c>
      <c r="AF23" s="3">
        <v>0</v>
      </c>
      <c r="AG23" s="3">
        <v>0</v>
      </c>
      <c r="AH23" s="3">
        <v>0</v>
      </c>
      <c r="AI23" s="3">
        <v>0</v>
      </c>
      <c r="AJ23" s="3">
        <v>0</v>
      </c>
      <c r="AK23" s="3">
        <v>0</v>
      </c>
      <c r="AL23" s="3" t="s">
        <v>42</v>
      </c>
      <c r="AM23" s="3" t="s">
        <v>982</v>
      </c>
      <c r="AN23" s="3" t="s">
        <v>2033</v>
      </c>
      <c r="AO23" s="3" t="s">
        <v>1853</v>
      </c>
      <c r="AP23" s="3">
        <v>0</v>
      </c>
      <c r="AQ23" s="3">
        <v>0</v>
      </c>
      <c r="AR23">
        <v>0</v>
      </c>
      <c r="AS23">
        <v>1</v>
      </c>
      <c r="AT23" s="6" t="s">
        <v>158</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1</v>
      </c>
      <c r="BL23">
        <v>0</v>
      </c>
      <c r="BM23">
        <v>0</v>
      </c>
      <c r="BN23">
        <v>0</v>
      </c>
      <c r="BO23">
        <v>0</v>
      </c>
    </row>
    <row r="24" spans="1:67" ht="15.75" customHeight="1" x14ac:dyDescent="0.2">
      <c r="A24" s="3">
        <f t="shared" si="0"/>
        <v>7022</v>
      </c>
      <c r="B24" s="3" t="s">
        <v>26</v>
      </c>
      <c r="C24" s="3" t="s">
        <v>368</v>
      </c>
      <c r="D24" s="5" t="s">
        <v>27</v>
      </c>
      <c r="E24" s="5" t="s">
        <v>316</v>
      </c>
      <c r="F24" s="3">
        <v>0</v>
      </c>
      <c r="G24" s="3">
        <v>0</v>
      </c>
      <c r="H24" s="3">
        <v>0</v>
      </c>
      <c r="I24" s="3">
        <v>50</v>
      </c>
      <c r="J24" s="3">
        <v>10</v>
      </c>
      <c r="K24" s="3">
        <v>1</v>
      </c>
      <c r="L24" s="3">
        <v>0</v>
      </c>
      <c r="M24" s="3">
        <v>20</v>
      </c>
      <c r="N24" s="3">
        <v>2</v>
      </c>
      <c r="O24" s="3">
        <v>0</v>
      </c>
      <c r="P24" s="3">
        <v>0</v>
      </c>
      <c r="Q24" s="3">
        <v>0</v>
      </c>
      <c r="R24" s="3">
        <v>0</v>
      </c>
      <c r="S24" s="3">
        <v>0</v>
      </c>
      <c r="T24" s="3">
        <v>0</v>
      </c>
      <c r="U24" s="3">
        <v>0</v>
      </c>
      <c r="V24" s="3">
        <v>0</v>
      </c>
      <c r="W24" s="3">
        <v>0</v>
      </c>
      <c r="X24" s="3">
        <v>10</v>
      </c>
      <c r="Y24" s="3">
        <v>10</v>
      </c>
      <c r="Z24" s="3">
        <v>0</v>
      </c>
      <c r="AA24" s="3">
        <v>0</v>
      </c>
      <c r="AB24" s="3">
        <v>0</v>
      </c>
      <c r="AC24" s="3">
        <v>0</v>
      </c>
      <c r="AD24" s="3">
        <v>0</v>
      </c>
      <c r="AE24" s="3">
        <v>0</v>
      </c>
      <c r="AF24" s="3">
        <v>0</v>
      </c>
      <c r="AG24" s="3">
        <v>0</v>
      </c>
      <c r="AH24" s="3">
        <v>0</v>
      </c>
      <c r="AI24" s="3">
        <v>0</v>
      </c>
      <c r="AJ24" s="3">
        <v>0</v>
      </c>
      <c r="AK24" s="3">
        <v>0</v>
      </c>
      <c r="AL24" s="3" t="s">
        <v>42</v>
      </c>
      <c r="AM24" s="3" t="s">
        <v>974</v>
      </c>
      <c r="AN24" s="3" t="s">
        <v>2034</v>
      </c>
      <c r="AO24" s="3" t="s">
        <v>1853</v>
      </c>
      <c r="AP24" s="3">
        <v>0</v>
      </c>
      <c r="AQ24" s="3">
        <v>0</v>
      </c>
      <c r="AR24">
        <v>0</v>
      </c>
      <c r="AS24">
        <v>1</v>
      </c>
      <c r="AT24" s="6" t="s">
        <v>288</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row>
    <row r="25" spans="1:67" ht="15.75" customHeight="1" x14ac:dyDescent="0.2">
      <c r="A25" s="3">
        <f t="shared" si="0"/>
        <v>7023</v>
      </c>
      <c r="B25" s="3" t="s">
        <v>81</v>
      </c>
      <c r="C25" s="3" t="s">
        <v>81</v>
      </c>
      <c r="D25" s="25" t="s">
        <v>82</v>
      </c>
      <c r="E25" s="4" t="s">
        <v>317</v>
      </c>
      <c r="F25" s="3">
        <v>0</v>
      </c>
      <c r="G25" s="3">
        <v>0</v>
      </c>
      <c r="H25" s="3">
        <v>0</v>
      </c>
      <c r="I25" s="3">
        <v>50</v>
      </c>
      <c r="J25" s="3">
        <v>10</v>
      </c>
      <c r="K25" s="3">
        <v>1</v>
      </c>
      <c r="L25" s="3">
        <v>0</v>
      </c>
      <c r="M25" s="3">
        <v>25</v>
      </c>
      <c r="N25" s="3">
        <v>5</v>
      </c>
      <c r="O25" s="3">
        <v>0</v>
      </c>
      <c r="P25" s="3">
        <v>0</v>
      </c>
      <c r="Q25" s="3">
        <v>0</v>
      </c>
      <c r="R25" s="3">
        <v>0</v>
      </c>
      <c r="S25" s="3">
        <v>0</v>
      </c>
      <c r="T25" s="3">
        <v>0</v>
      </c>
      <c r="U25" s="3">
        <v>0</v>
      </c>
      <c r="V25" s="3">
        <v>0</v>
      </c>
      <c r="W25" s="3">
        <v>0</v>
      </c>
      <c r="X25" s="3">
        <v>10</v>
      </c>
      <c r="Y25" s="3">
        <v>10</v>
      </c>
      <c r="Z25" s="3">
        <v>0</v>
      </c>
      <c r="AA25" s="3">
        <v>0</v>
      </c>
      <c r="AB25" s="3">
        <v>0</v>
      </c>
      <c r="AC25" s="3">
        <v>0</v>
      </c>
      <c r="AD25" s="3">
        <v>0</v>
      </c>
      <c r="AE25" s="3">
        <v>0</v>
      </c>
      <c r="AF25" s="3">
        <v>0</v>
      </c>
      <c r="AG25" s="3">
        <v>0</v>
      </c>
      <c r="AH25" s="3">
        <v>0</v>
      </c>
      <c r="AI25" s="3">
        <v>0</v>
      </c>
      <c r="AJ25" s="3">
        <v>0</v>
      </c>
      <c r="AK25" s="3">
        <v>0</v>
      </c>
      <c r="AL25" s="3" t="s">
        <v>42</v>
      </c>
      <c r="AM25" s="3" t="s">
        <v>23</v>
      </c>
      <c r="AN25" s="3" t="s">
        <v>2384</v>
      </c>
      <c r="AO25" s="3" t="s">
        <v>1853</v>
      </c>
      <c r="AP25" s="3">
        <v>0</v>
      </c>
      <c r="AQ25" s="3">
        <v>0</v>
      </c>
      <c r="AR25">
        <v>0</v>
      </c>
      <c r="AS25">
        <v>1</v>
      </c>
      <c r="AT25" s="6" t="s">
        <v>289</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row>
    <row r="26" spans="1:67" ht="15.75" customHeight="1" x14ac:dyDescent="0.2">
      <c r="A26" s="3">
        <f t="shared" si="0"/>
        <v>7024</v>
      </c>
      <c r="B26" s="3" t="s">
        <v>2074</v>
      </c>
      <c r="C26" s="3" t="s">
        <v>2074</v>
      </c>
      <c r="D26" s="5" t="s">
        <v>2073</v>
      </c>
      <c r="E26" s="5" t="s">
        <v>2088</v>
      </c>
      <c r="F26" s="3">
        <v>0</v>
      </c>
      <c r="G26" s="3">
        <v>0</v>
      </c>
      <c r="H26" s="3">
        <v>0</v>
      </c>
      <c r="I26" s="3">
        <v>50</v>
      </c>
      <c r="J26" s="3">
        <v>30</v>
      </c>
      <c r="K26" s="3">
        <v>1</v>
      </c>
      <c r="L26" s="3">
        <v>0</v>
      </c>
      <c r="M26" s="3">
        <v>0</v>
      </c>
      <c r="N26" s="3">
        <v>0</v>
      </c>
      <c r="O26" s="3">
        <v>0</v>
      </c>
      <c r="P26" s="3">
        <v>0</v>
      </c>
      <c r="Q26" s="3">
        <v>0</v>
      </c>
      <c r="R26" s="3">
        <v>0</v>
      </c>
      <c r="S26" s="3">
        <v>0</v>
      </c>
      <c r="T26" s="3">
        <v>0</v>
      </c>
      <c r="U26" s="3">
        <v>0</v>
      </c>
      <c r="V26" s="3">
        <v>0</v>
      </c>
      <c r="W26" s="3">
        <v>0</v>
      </c>
      <c r="X26" s="3">
        <v>0</v>
      </c>
      <c r="Y26" s="3">
        <v>0</v>
      </c>
      <c r="Z26" s="3">
        <v>0</v>
      </c>
      <c r="AA26" s="3">
        <v>0</v>
      </c>
      <c r="AB26" s="3">
        <v>0</v>
      </c>
      <c r="AC26" s="3">
        <v>0</v>
      </c>
      <c r="AD26" s="3">
        <v>0</v>
      </c>
      <c r="AE26" s="3">
        <v>0</v>
      </c>
      <c r="AF26" s="3">
        <v>0</v>
      </c>
      <c r="AG26" s="3">
        <v>0</v>
      </c>
      <c r="AH26" s="3">
        <v>0</v>
      </c>
      <c r="AI26" s="3">
        <v>0</v>
      </c>
      <c r="AJ26" s="3">
        <v>0</v>
      </c>
      <c r="AK26" s="3">
        <v>0</v>
      </c>
      <c r="AL26" s="3" t="s">
        <v>42</v>
      </c>
      <c r="AM26" s="3" t="s">
        <v>982</v>
      </c>
      <c r="AN26" s="3" t="s">
        <v>1995</v>
      </c>
      <c r="AO26" s="3" t="s">
        <v>50</v>
      </c>
      <c r="AP26" s="3">
        <v>0</v>
      </c>
      <c r="AQ26" s="3">
        <v>0</v>
      </c>
      <c r="AR26">
        <v>0</v>
      </c>
      <c r="AS26">
        <v>5</v>
      </c>
      <c r="AT26" s="6" t="s">
        <v>2534</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1</v>
      </c>
      <c r="BL26">
        <v>0</v>
      </c>
      <c r="BM26">
        <v>0</v>
      </c>
      <c r="BN26">
        <v>0</v>
      </c>
      <c r="BO26">
        <v>0</v>
      </c>
    </row>
    <row r="27" spans="1:67" ht="15.75" customHeight="1" x14ac:dyDescent="0.2">
      <c r="A27" s="3">
        <f t="shared" si="0"/>
        <v>7025</v>
      </c>
      <c r="B27" s="3" t="s">
        <v>403</v>
      </c>
      <c r="C27" s="3" t="s">
        <v>403</v>
      </c>
      <c r="D27" s="25" t="s">
        <v>404</v>
      </c>
      <c r="E27" s="4" t="s">
        <v>405</v>
      </c>
      <c r="F27" s="3">
        <v>0</v>
      </c>
      <c r="G27" s="3">
        <v>0</v>
      </c>
      <c r="H27" s="3">
        <v>0</v>
      </c>
      <c r="I27" s="3">
        <v>50</v>
      </c>
      <c r="J27" s="3">
        <v>5</v>
      </c>
      <c r="K27" s="3">
        <v>1</v>
      </c>
      <c r="L27" s="3">
        <v>0</v>
      </c>
      <c r="M27" s="3">
        <v>5</v>
      </c>
      <c r="N27" s="3">
        <v>2</v>
      </c>
      <c r="O27" s="3">
        <v>0</v>
      </c>
      <c r="P27" s="3">
        <v>0</v>
      </c>
      <c r="Q27" s="3">
        <v>0</v>
      </c>
      <c r="R27" s="3">
        <v>0</v>
      </c>
      <c r="S27" s="3">
        <v>0</v>
      </c>
      <c r="T27" s="3">
        <v>0</v>
      </c>
      <c r="U27" s="3">
        <v>0</v>
      </c>
      <c r="V27" s="3">
        <v>0</v>
      </c>
      <c r="W27" s="3">
        <v>0</v>
      </c>
      <c r="X27" s="3">
        <v>0</v>
      </c>
      <c r="Y27" s="3">
        <v>10</v>
      </c>
      <c r="Z27" s="3">
        <v>0</v>
      </c>
      <c r="AA27" s="3">
        <v>0</v>
      </c>
      <c r="AB27" s="3">
        <v>0</v>
      </c>
      <c r="AC27" s="3">
        <v>5</v>
      </c>
      <c r="AD27" s="3">
        <v>0</v>
      </c>
      <c r="AE27" s="3">
        <v>0</v>
      </c>
      <c r="AF27" s="3">
        <v>0</v>
      </c>
      <c r="AG27" s="3">
        <v>3</v>
      </c>
      <c r="AH27" s="3">
        <v>0</v>
      </c>
      <c r="AI27" s="3">
        <v>0</v>
      </c>
      <c r="AJ27" s="3">
        <v>0</v>
      </c>
      <c r="AK27" s="3">
        <v>0</v>
      </c>
      <c r="AL27" s="3" t="s">
        <v>42</v>
      </c>
      <c r="AM27" s="3" t="s">
        <v>982</v>
      </c>
      <c r="AN27" s="3" t="s">
        <v>2456</v>
      </c>
      <c r="AO27" s="3" t="s">
        <v>1853</v>
      </c>
      <c r="AP27" s="3">
        <v>0</v>
      </c>
      <c r="AQ27" s="3">
        <v>0</v>
      </c>
      <c r="AR27">
        <v>0</v>
      </c>
      <c r="AS27">
        <v>1</v>
      </c>
      <c r="AT27" s="6" t="s">
        <v>496</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row>
    <row r="28" spans="1:67" s="37" customFormat="1" ht="15.75" customHeight="1" x14ac:dyDescent="0.2">
      <c r="A28" s="34">
        <f t="shared" ref="A28:A43" si="1">ROW()+6998</f>
        <v>7026</v>
      </c>
      <c r="B28" s="34" t="s">
        <v>403</v>
      </c>
      <c r="C28" s="34" t="s">
        <v>2756</v>
      </c>
      <c r="D28" s="35" t="s">
        <v>2754</v>
      </c>
      <c r="E28" s="36" t="s">
        <v>2755</v>
      </c>
      <c r="F28" s="34">
        <v>0</v>
      </c>
      <c r="G28" s="34">
        <v>0</v>
      </c>
      <c r="H28" s="34">
        <v>0</v>
      </c>
      <c r="I28" s="34">
        <v>50</v>
      </c>
      <c r="J28" s="34">
        <v>5</v>
      </c>
      <c r="K28" s="34">
        <v>1</v>
      </c>
      <c r="L28" s="34">
        <v>0</v>
      </c>
      <c r="M28" s="34">
        <v>5</v>
      </c>
      <c r="N28" s="34">
        <v>2</v>
      </c>
      <c r="O28" s="34">
        <v>0</v>
      </c>
      <c r="P28" s="34">
        <v>0</v>
      </c>
      <c r="Q28" s="34">
        <v>0</v>
      </c>
      <c r="R28" s="34">
        <v>0</v>
      </c>
      <c r="S28" s="34">
        <v>0</v>
      </c>
      <c r="T28" s="34">
        <v>0</v>
      </c>
      <c r="U28" s="34">
        <v>0</v>
      </c>
      <c r="V28" s="34">
        <v>0</v>
      </c>
      <c r="W28" s="34">
        <v>0</v>
      </c>
      <c r="X28" s="34">
        <v>0</v>
      </c>
      <c r="Y28" s="34">
        <v>10</v>
      </c>
      <c r="Z28" s="34">
        <v>0</v>
      </c>
      <c r="AA28" s="34">
        <v>0</v>
      </c>
      <c r="AB28" s="34">
        <v>0</v>
      </c>
      <c r="AC28" s="34">
        <v>0</v>
      </c>
      <c r="AD28" s="34">
        <v>0</v>
      </c>
      <c r="AE28" s="34">
        <v>0</v>
      </c>
      <c r="AF28" s="34">
        <v>0</v>
      </c>
      <c r="AG28" s="34">
        <v>0</v>
      </c>
      <c r="AH28" s="34">
        <v>0</v>
      </c>
      <c r="AI28" s="34">
        <v>0</v>
      </c>
      <c r="AJ28" s="34">
        <v>0</v>
      </c>
      <c r="AK28" s="34">
        <v>0</v>
      </c>
      <c r="AL28" s="34" t="s">
        <v>42</v>
      </c>
      <c r="AM28" s="34" t="s">
        <v>982</v>
      </c>
      <c r="AN28" s="34" t="s">
        <v>3224</v>
      </c>
      <c r="AO28" s="34" t="s">
        <v>50</v>
      </c>
      <c r="AP28" s="34">
        <v>0</v>
      </c>
      <c r="AQ28" s="34">
        <v>0</v>
      </c>
      <c r="AR28" s="37">
        <v>0</v>
      </c>
      <c r="AS28" s="37">
        <v>1</v>
      </c>
      <c r="AT28" s="38" t="s">
        <v>496</v>
      </c>
      <c r="AU28" s="38" t="s">
        <v>50</v>
      </c>
      <c r="AV28" s="38" t="s">
        <v>50</v>
      </c>
      <c r="AW28" s="38" t="s">
        <v>50</v>
      </c>
      <c r="AX28" s="38" t="s">
        <v>50</v>
      </c>
      <c r="AY28" s="38" t="s">
        <v>50</v>
      </c>
      <c r="AZ28" s="38" t="s">
        <v>50</v>
      </c>
      <c r="BA28" s="38" t="s">
        <v>50</v>
      </c>
      <c r="BB28" s="38" t="s">
        <v>50</v>
      </c>
      <c r="BC28" s="38" t="s">
        <v>50</v>
      </c>
      <c r="BD28" s="38" t="s">
        <v>50</v>
      </c>
      <c r="BE28" s="38" t="s">
        <v>50</v>
      </c>
      <c r="BF28" s="38" t="s">
        <v>50</v>
      </c>
      <c r="BG28" s="38" t="s">
        <v>50</v>
      </c>
      <c r="BH28" s="38" t="s">
        <v>50</v>
      </c>
      <c r="BI28" s="37">
        <v>1</v>
      </c>
      <c r="BJ28" s="37">
        <v>0</v>
      </c>
      <c r="BK28" s="37">
        <v>1</v>
      </c>
      <c r="BL28" s="37">
        <v>0</v>
      </c>
      <c r="BM28" s="37">
        <v>0</v>
      </c>
      <c r="BN28" s="37">
        <v>0</v>
      </c>
      <c r="BO28" s="37">
        <v>0</v>
      </c>
    </row>
    <row r="29" spans="1:67" ht="15.75" customHeight="1" x14ac:dyDescent="0.2">
      <c r="A29" s="3">
        <f t="shared" si="1"/>
        <v>7027</v>
      </c>
      <c r="B29" s="3" t="s">
        <v>3220</v>
      </c>
      <c r="C29" s="3" t="s">
        <v>3220</v>
      </c>
      <c r="D29" s="25" t="s">
        <v>3472</v>
      </c>
      <c r="E29" s="4" t="s">
        <v>3217</v>
      </c>
      <c r="F29" s="3">
        <v>0</v>
      </c>
      <c r="G29" s="3">
        <v>0</v>
      </c>
      <c r="H29" s="3">
        <v>0</v>
      </c>
      <c r="I29" s="3">
        <v>50</v>
      </c>
      <c r="J29" s="3">
        <v>5</v>
      </c>
      <c r="K29" s="3">
        <v>1</v>
      </c>
      <c r="L29" s="3">
        <v>0</v>
      </c>
      <c r="M29" s="3">
        <v>5</v>
      </c>
      <c r="N29" s="3">
        <v>2</v>
      </c>
      <c r="O29" s="3">
        <v>0</v>
      </c>
      <c r="P29" s="3">
        <v>0</v>
      </c>
      <c r="Q29" s="3">
        <v>0</v>
      </c>
      <c r="R29" s="3">
        <v>0</v>
      </c>
      <c r="S29" s="3">
        <v>0</v>
      </c>
      <c r="T29" s="3">
        <v>0</v>
      </c>
      <c r="U29" s="3">
        <v>0</v>
      </c>
      <c r="V29" s="3">
        <v>0</v>
      </c>
      <c r="W29" s="3">
        <v>0</v>
      </c>
      <c r="X29" s="3">
        <v>0</v>
      </c>
      <c r="Y29" s="3">
        <v>10</v>
      </c>
      <c r="Z29" s="3">
        <v>0</v>
      </c>
      <c r="AA29" s="3">
        <v>0</v>
      </c>
      <c r="AB29" s="3">
        <v>0</v>
      </c>
      <c r="AC29" s="3">
        <v>0</v>
      </c>
      <c r="AD29" s="3">
        <v>0</v>
      </c>
      <c r="AE29" s="3">
        <v>0</v>
      </c>
      <c r="AF29" s="3">
        <v>0</v>
      </c>
      <c r="AG29" s="3">
        <v>0</v>
      </c>
      <c r="AH29" s="3">
        <v>0</v>
      </c>
      <c r="AI29" s="3">
        <v>0</v>
      </c>
      <c r="AJ29" s="3">
        <v>0</v>
      </c>
      <c r="AK29" s="3">
        <v>0</v>
      </c>
      <c r="AL29" s="3" t="s">
        <v>42</v>
      </c>
      <c r="AM29" s="3" t="s">
        <v>982</v>
      </c>
      <c r="AN29" s="3" t="s">
        <v>3225</v>
      </c>
      <c r="AO29" s="3" t="s">
        <v>50</v>
      </c>
      <c r="AP29" s="3">
        <v>0</v>
      </c>
      <c r="AQ29" s="3">
        <v>0</v>
      </c>
      <c r="AR29">
        <v>0</v>
      </c>
      <c r="AS29">
        <v>1</v>
      </c>
      <c r="AT29" s="6" t="s">
        <v>496</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row>
    <row r="30" spans="1:67" s="37" customFormat="1" ht="15.75" customHeight="1" x14ac:dyDescent="0.2">
      <c r="A30" s="34">
        <f t="shared" si="1"/>
        <v>7028</v>
      </c>
      <c r="B30" s="34" t="s">
        <v>403</v>
      </c>
      <c r="C30" s="34" t="s">
        <v>3219</v>
      </c>
      <c r="D30" s="35" t="s">
        <v>3532</v>
      </c>
      <c r="E30" s="36" t="s">
        <v>3529</v>
      </c>
      <c r="F30" s="34">
        <v>0</v>
      </c>
      <c r="G30" s="34">
        <v>0</v>
      </c>
      <c r="H30" s="34">
        <v>0</v>
      </c>
      <c r="I30" s="34">
        <v>50</v>
      </c>
      <c r="J30" s="34">
        <v>5</v>
      </c>
      <c r="K30" s="34">
        <v>1</v>
      </c>
      <c r="L30" s="34">
        <v>0</v>
      </c>
      <c r="M30" s="34">
        <v>5</v>
      </c>
      <c r="N30" s="34">
        <v>2</v>
      </c>
      <c r="O30" s="34">
        <v>0</v>
      </c>
      <c r="P30" s="34">
        <v>0</v>
      </c>
      <c r="Q30" s="34">
        <v>0</v>
      </c>
      <c r="R30" s="34">
        <v>0</v>
      </c>
      <c r="S30" s="34">
        <v>0</v>
      </c>
      <c r="T30" s="34">
        <v>0</v>
      </c>
      <c r="U30" s="34">
        <v>0</v>
      </c>
      <c r="V30" s="34">
        <v>0</v>
      </c>
      <c r="W30" s="34">
        <v>0</v>
      </c>
      <c r="X30" s="34">
        <v>0</v>
      </c>
      <c r="Y30" s="34">
        <v>10</v>
      </c>
      <c r="Z30" s="34">
        <v>0</v>
      </c>
      <c r="AA30" s="34">
        <v>0</v>
      </c>
      <c r="AB30" s="34">
        <v>0</v>
      </c>
      <c r="AC30" s="34">
        <v>0</v>
      </c>
      <c r="AD30" s="34">
        <v>0</v>
      </c>
      <c r="AE30" s="34">
        <v>0</v>
      </c>
      <c r="AF30" s="34">
        <v>0</v>
      </c>
      <c r="AG30" s="34">
        <v>0</v>
      </c>
      <c r="AH30" s="34">
        <v>0</v>
      </c>
      <c r="AI30" s="34">
        <v>0</v>
      </c>
      <c r="AJ30" s="34">
        <v>0</v>
      </c>
      <c r="AK30" s="34">
        <v>0</v>
      </c>
      <c r="AL30" s="34" t="s">
        <v>42</v>
      </c>
      <c r="AM30" s="34" t="s">
        <v>982</v>
      </c>
      <c r="AN30" s="34" t="s">
        <v>3225</v>
      </c>
      <c r="AO30" s="34" t="s">
        <v>50</v>
      </c>
      <c r="AP30" s="34">
        <v>0</v>
      </c>
      <c r="AQ30" s="34">
        <v>0</v>
      </c>
      <c r="AR30" s="37">
        <v>0</v>
      </c>
      <c r="AS30" s="37">
        <v>1</v>
      </c>
      <c r="AT30" s="38" t="s">
        <v>496</v>
      </c>
      <c r="AU30" s="38" t="s">
        <v>50</v>
      </c>
      <c r="AV30" s="38" t="s">
        <v>50</v>
      </c>
      <c r="AW30" s="38" t="s">
        <v>50</v>
      </c>
      <c r="AX30" s="38" t="s">
        <v>50</v>
      </c>
      <c r="AY30" s="38" t="s">
        <v>50</v>
      </c>
      <c r="AZ30" s="38" t="s">
        <v>50</v>
      </c>
      <c r="BA30" s="38" t="s">
        <v>50</v>
      </c>
      <c r="BB30" s="38" t="s">
        <v>50</v>
      </c>
      <c r="BC30" s="38" t="s">
        <v>50</v>
      </c>
      <c r="BD30" s="38" t="s">
        <v>50</v>
      </c>
      <c r="BE30" s="38" t="s">
        <v>50</v>
      </c>
      <c r="BF30" s="38" t="s">
        <v>50</v>
      </c>
      <c r="BG30" s="38" t="s">
        <v>50</v>
      </c>
      <c r="BH30" s="38" t="s">
        <v>50</v>
      </c>
      <c r="BI30" s="37">
        <v>1</v>
      </c>
      <c r="BJ30" s="37">
        <v>0</v>
      </c>
      <c r="BK30" s="37">
        <v>1</v>
      </c>
      <c r="BL30" s="37">
        <v>0</v>
      </c>
      <c r="BM30" s="37">
        <v>0</v>
      </c>
      <c r="BN30" s="37">
        <v>0</v>
      </c>
      <c r="BO30" s="37">
        <v>0</v>
      </c>
    </row>
    <row r="31" spans="1:67" s="37" customFormat="1" ht="15.75" customHeight="1" x14ac:dyDescent="0.2">
      <c r="A31" s="34">
        <f t="shared" si="1"/>
        <v>7029</v>
      </c>
      <c r="B31" s="34" t="s">
        <v>403</v>
      </c>
      <c r="C31" s="34" t="s">
        <v>3222</v>
      </c>
      <c r="D31" s="35" t="s">
        <v>3531</v>
      </c>
      <c r="E31" s="36" t="s">
        <v>3530</v>
      </c>
      <c r="F31" s="34">
        <v>0</v>
      </c>
      <c r="G31" s="34">
        <v>0</v>
      </c>
      <c r="H31" s="34">
        <v>0</v>
      </c>
      <c r="I31" s="34">
        <v>50</v>
      </c>
      <c r="J31" s="34">
        <v>5</v>
      </c>
      <c r="K31" s="34">
        <v>1</v>
      </c>
      <c r="L31" s="34">
        <v>0</v>
      </c>
      <c r="M31" s="34">
        <v>5</v>
      </c>
      <c r="N31" s="34">
        <v>2</v>
      </c>
      <c r="O31" s="34">
        <v>0</v>
      </c>
      <c r="P31" s="34">
        <v>0</v>
      </c>
      <c r="Q31" s="34">
        <v>0</v>
      </c>
      <c r="R31" s="34">
        <v>0</v>
      </c>
      <c r="S31" s="34">
        <v>0</v>
      </c>
      <c r="T31" s="34">
        <v>0</v>
      </c>
      <c r="U31" s="34">
        <v>0</v>
      </c>
      <c r="V31" s="34">
        <v>0</v>
      </c>
      <c r="W31" s="34">
        <v>0</v>
      </c>
      <c r="X31" s="34">
        <v>0</v>
      </c>
      <c r="Y31" s="34">
        <v>10</v>
      </c>
      <c r="Z31" s="34">
        <v>0</v>
      </c>
      <c r="AA31" s="34">
        <v>0</v>
      </c>
      <c r="AB31" s="34">
        <v>0</v>
      </c>
      <c r="AC31" s="34">
        <v>0</v>
      </c>
      <c r="AD31" s="34">
        <v>0</v>
      </c>
      <c r="AE31" s="34">
        <v>0</v>
      </c>
      <c r="AF31" s="34">
        <v>0</v>
      </c>
      <c r="AG31" s="34">
        <v>0</v>
      </c>
      <c r="AH31" s="34">
        <v>0</v>
      </c>
      <c r="AI31" s="34">
        <v>0</v>
      </c>
      <c r="AJ31" s="34">
        <v>0</v>
      </c>
      <c r="AK31" s="34">
        <v>0</v>
      </c>
      <c r="AL31" s="34" t="s">
        <v>42</v>
      </c>
      <c r="AM31" s="34" t="s">
        <v>982</v>
      </c>
      <c r="AN31" s="34" t="s">
        <v>3225</v>
      </c>
      <c r="AO31" s="34" t="s">
        <v>50</v>
      </c>
      <c r="AP31" s="34">
        <v>0</v>
      </c>
      <c r="AQ31" s="34">
        <v>0</v>
      </c>
      <c r="AR31" s="37">
        <v>0</v>
      </c>
      <c r="AS31" s="37">
        <v>1</v>
      </c>
      <c r="AT31" s="38" t="s">
        <v>496</v>
      </c>
      <c r="AU31" s="38" t="s">
        <v>50</v>
      </c>
      <c r="AV31" s="38" t="s">
        <v>50</v>
      </c>
      <c r="AW31" s="38" t="s">
        <v>50</v>
      </c>
      <c r="AX31" s="38" t="s">
        <v>50</v>
      </c>
      <c r="AY31" s="38" t="s">
        <v>50</v>
      </c>
      <c r="AZ31" s="38" t="s">
        <v>50</v>
      </c>
      <c r="BA31" s="38" t="s">
        <v>50</v>
      </c>
      <c r="BB31" s="38" t="s">
        <v>50</v>
      </c>
      <c r="BC31" s="38" t="s">
        <v>50</v>
      </c>
      <c r="BD31" s="38" t="s">
        <v>50</v>
      </c>
      <c r="BE31" s="38" t="s">
        <v>50</v>
      </c>
      <c r="BF31" s="38" t="s">
        <v>50</v>
      </c>
      <c r="BG31" s="38" t="s">
        <v>50</v>
      </c>
      <c r="BH31" s="38" t="s">
        <v>50</v>
      </c>
      <c r="BI31" s="37">
        <v>1</v>
      </c>
      <c r="BJ31" s="37">
        <v>0</v>
      </c>
      <c r="BK31" s="37">
        <v>1</v>
      </c>
      <c r="BL31" s="37">
        <v>0</v>
      </c>
      <c r="BM31" s="37">
        <v>0</v>
      </c>
      <c r="BN31" s="37">
        <v>0</v>
      </c>
      <c r="BO31" s="37">
        <v>0</v>
      </c>
    </row>
    <row r="32" spans="1:67" s="37" customFormat="1" ht="15.75" customHeight="1" x14ac:dyDescent="0.2">
      <c r="A32" s="34">
        <f t="shared" si="1"/>
        <v>7030</v>
      </c>
      <c r="B32" s="34" t="s">
        <v>403</v>
      </c>
      <c r="C32" s="34" t="s">
        <v>3533</v>
      </c>
      <c r="D32" s="35" t="s">
        <v>3534</v>
      </c>
      <c r="E32" s="36" t="s">
        <v>3535</v>
      </c>
      <c r="F32" s="34">
        <v>0</v>
      </c>
      <c r="G32" s="34">
        <v>0</v>
      </c>
      <c r="H32" s="34">
        <v>0</v>
      </c>
      <c r="I32" s="34">
        <v>50</v>
      </c>
      <c r="J32" s="34">
        <v>5</v>
      </c>
      <c r="K32" s="34">
        <v>1</v>
      </c>
      <c r="L32" s="34">
        <v>0</v>
      </c>
      <c r="M32" s="34">
        <v>5</v>
      </c>
      <c r="N32" s="34">
        <v>2</v>
      </c>
      <c r="O32" s="34">
        <v>0</v>
      </c>
      <c r="P32" s="34">
        <v>0</v>
      </c>
      <c r="Q32" s="34">
        <v>0</v>
      </c>
      <c r="R32" s="34">
        <v>0</v>
      </c>
      <c r="S32" s="34">
        <v>0</v>
      </c>
      <c r="T32" s="34">
        <v>0</v>
      </c>
      <c r="U32" s="34">
        <v>0</v>
      </c>
      <c r="V32" s="34">
        <v>0</v>
      </c>
      <c r="W32" s="34">
        <v>0</v>
      </c>
      <c r="X32" s="34">
        <v>0</v>
      </c>
      <c r="Y32" s="34">
        <v>10</v>
      </c>
      <c r="Z32" s="34">
        <v>0</v>
      </c>
      <c r="AA32" s="34">
        <v>0</v>
      </c>
      <c r="AB32" s="34">
        <v>0</v>
      </c>
      <c r="AC32" s="34">
        <v>0</v>
      </c>
      <c r="AD32" s="34">
        <v>0</v>
      </c>
      <c r="AE32" s="34">
        <v>0</v>
      </c>
      <c r="AF32" s="34">
        <v>0</v>
      </c>
      <c r="AG32" s="34">
        <v>0</v>
      </c>
      <c r="AH32" s="34">
        <v>0</v>
      </c>
      <c r="AI32" s="34">
        <v>0</v>
      </c>
      <c r="AJ32" s="34">
        <v>0</v>
      </c>
      <c r="AK32" s="34">
        <v>0</v>
      </c>
      <c r="AL32" s="34" t="s">
        <v>42</v>
      </c>
      <c r="AM32" s="34" t="s">
        <v>982</v>
      </c>
      <c r="AN32" s="34" t="s">
        <v>3225</v>
      </c>
      <c r="AO32" s="34" t="s">
        <v>50</v>
      </c>
      <c r="AP32" s="34">
        <v>0</v>
      </c>
      <c r="AQ32" s="34">
        <v>0</v>
      </c>
      <c r="AR32" s="37">
        <v>0</v>
      </c>
      <c r="AS32" s="37">
        <v>1</v>
      </c>
      <c r="AT32" s="38" t="s">
        <v>496</v>
      </c>
      <c r="AU32" s="38" t="s">
        <v>50</v>
      </c>
      <c r="AV32" s="38" t="s">
        <v>50</v>
      </c>
      <c r="AW32" s="38" t="s">
        <v>50</v>
      </c>
      <c r="AX32" s="38" t="s">
        <v>50</v>
      </c>
      <c r="AY32" s="38" t="s">
        <v>50</v>
      </c>
      <c r="AZ32" s="38" t="s">
        <v>50</v>
      </c>
      <c r="BA32" s="38" t="s">
        <v>50</v>
      </c>
      <c r="BB32" s="38" t="s">
        <v>50</v>
      </c>
      <c r="BC32" s="38" t="s">
        <v>50</v>
      </c>
      <c r="BD32" s="38" t="s">
        <v>50</v>
      </c>
      <c r="BE32" s="38" t="s">
        <v>50</v>
      </c>
      <c r="BF32" s="38" t="s">
        <v>50</v>
      </c>
      <c r="BG32" s="38" t="s">
        <v>50</v>
      </c>
      <c r="BH32" s="38" t="s">
        <v>50</v>
      </c>
      <c r="BI32" s="37">
        <v>1</v>
      </c>
      <c r="BJ32" s="37">
        <v>0</v>
      </c>
      <c r="BK32" s="37">
        <v>1</v>
      </c>
      <c r="BL32" s="37">
        <v>0</v>
      </c>
      <c r="BM32" s="37">
        <v>0</v>
      </c>
      <c r="BN32" s="37">
        <v>0</v>
      </c>
      <c r="BO32" s="37">
        <v>0</v>
      </c>
    </row>
    <row r="33" spans="1:67" ht="15.75" customHeight="1" x14ac:dyDescent="0.2">
      <c r="A33" s="3">
        <f t="shared" si="1"/>
        <v>7031</v>
      </c>
      <c r="B33" s="3" t="s">
        <v>1030</v>
      </c>
      <c r="C33" s="3" t="s">
        <v>1030</v>
      </c>
      <c r="D33" s="25" t="s">
        <v>1031</v>
      </c>
      <c r="E33" s="4" t="s">
        <v>1032</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-50</v>
      </c>
      <c r="Z33" s="3">
        <v>0</v>
      </c>
      <c r="AA33" s="3">
        <v>0</v>
      </c>
      <c r="AB33" s="3">
        <v>0</v>
      </c>
      <c r="AC33" s="3">
        <v>0</v>
      </c>
      <c r="AD33" s="3">
        <v>0</v>
      </c>
      <c r="AE33" s="3">
        <v>0</v>
      </c>
      <c r="AF33" s="3">
        <v>0</v>
      </c>
      <c r="AG33" s="3">
        <v>0</v>
      </c>
      <c r="AH33" s="3">
        <v>0</v>
      </c>
      <c r="AI33" s="3">
        <v>0</v>
      </c>
      <c r="AJ33" s="3">
        <v>0</v>
      </c>
      <c r="AK33" s="3">
        <v>0</v>
      </c>
      <c r="AL33" s="3" t="s">
        <v>42</v>
      </c>
      <c r="AM33" s="3" t="s">
        <v>982</v>
      </c>
      <c r="AN33" s="3" t="s">
        <v>2035</v>
      </c>
      <c r="AO33" s="3" t="s">
        <v>1853</v>
      </c>
      <c r="AP33" s="3">
        <v>0</v>
      </c>
      <c r="AQ33" s="3">
        <v>0</v>
      </c>
      <c r="AR33">
        <v>0</v>
      </c>
      <c r="AS33">
        <v>1</v>
      </c>
      <c r="AT33" s="6" t="s">
        <v>1043</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row>
    <row r="34" spans="1:67" ht="15.75" customHeight="1" x14ac:dyDescent="0.2">
      <c r="A34" s="3">
        <f t="shared" si="1"/>
        <v>7032</v>
      </c>
      <c r="B34" s="3" t="s">
        <v>1435</v>
      </c>
      <c r="C34" s="3" t="s">
        <v>1435</v>
      </c>
      <c r="D34" s="25" t="s">
        <v>1434</v>
      </c>
      <c r="E34" s="4" t="s">
        <v>1548</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-50</v>
      </c>
      <c r="Z34" s="3">
        <v>0</v>
      </c>
      <c r="AA34" s="3">
        <v>0</v>
      </c>
      <c r="AB34" s="3">
        <v>0</v>
      </c>
      <c r="AC34" s="3">
        <v>0</v>
      </c>
      <c r="AD34" s="3">
        <v>0</v>
      </c>
      <c r="AE34" s="3">
        <v>0</v>
      </c>
      <c r="AF34" s="3">
        <v>0</v>
      </c>
      <c r="AG34" s="3">
        <v>0</v>
      </c>
      <c r="AH34" s="3">
        <v>0</v>
      </c>
      <c r="AI34" s="3">
        <v>0</v>
      </c>
      <c r="AJ34" s="3">
        <v>0</v>
      </c>
      <c r="AK34" s="3">
        <v>0</v>
      </c>
      <c r="AL34" s="3" t="s">
        <v>42</v>
      </c>
      <c r="AM34" s="3" t="s">
        <v>982</v>
      </c>
      <c r="AN34" s="3" t="s">
        <v>2035</v>
      </c>
      <c r="AO34" s="3" t="s">
        <v>1853</v>
      </c>
      <c r="AP34" s="3">
        <v>0</v>
      </c>
      <c r="AQ34" s="3">
        <v>0</v>
      </c>
      <c r="AR34">
        <v>0</v>
      </c>
      <c r="AS34">
        <v>1</v>
      </c>
      <c r="AT34" s="6" t="s">
        <v>1043</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row>
    <row r="35" spans="1:67" ht="15.75" customHeight="1" x14ac:dyDescent="0.2">
      <c r="A35" s="3">
        <f t="shared" si="1"/>
        <v>7033</v>
      </c>
      <c r="B35" s="3" t="s">
        <v>495</v>
      </c>
      <c r="C35" s="3" t="s">
        <v>325</v>
      </c>
      <c r="D35" s="25" t="s">
        <v>309</v>
      </c>
      <c r="E35" s="4" t="s">
        <v>601</v>
      </c>
      <c r="F35" s="3">
        <v>0</v>
      </c>
      <c r="G35" s="3">
        <v>0</v>
      </c>
      <c r="H35" s="3">
        <v>0</v>
      </c>
      <c r="I35" s="3">
        <v>50</v>
      </c>
      <c r="J35" s="3">
        <v>10</v>
      </c>
      <c r="K35" s="3">
        <v>1</v>
      </c>
      <c r="L35" s="3">
        <v>0</v>
      </c>
      <c r="M35" s="3">
        <v>20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42</v>
      </c>
      <c r="AM35" s="3" t="s">
        <v>329</v>
      </c>
      <c r="AN35" s="3" t="s">
        <v>2036</v>
      </c>
      <c r="AO35" s="3" t="s">
        <v>1853</v>
      </c>
      <c r="AP35" s="3">
        <v>0</v>
      </c>
      <c r="AQ35" s="3">
        <v>0</v>
      </c>
      <c r="AR35">
        <v>0</v>
      </c>
      <c r="AS35">
        <v>1</v>
      </c>
      <c r="AT35" s="6" t="s">
        <v>50</v>
      </c>
      <c r="AU35" s="6" t="s">
        <v>50</v>
      </c>
      <c r="AV35" s="6" t="s">
        <v>50</v>
      </c>
      <c r="AW35" s="6" t="s">
        <v>50</v>
      </c>
      <c r="AX35" s="6" t="s">
        <v>50</v>
      </c>
      <c r="AY35" s="6" t="s">
        <v>50</v>
      </c>
      <c r="AZ35" s="6" t="s">
        <v>50</v>
      </c>
      <c r="BA35" s="6" t="s">
        <v>50</v>
      </c>
      <c r="BB35" s="6" t="s">
        <v>50</v>
      </c>
      <c r="BC35" s="6" t="s">
        <v>50</v>
      </c>
      <c r="BD35" s="6" t="s">
        <v>329</v>
      </c>
      <c r="BE35" s="6" t="s">
        <v>50</v>
      </c>
      <c r="BF35" s="6" t="s">
        <v>50</v>
      </c>
      <c r="BG35" s="6" t="s">
        <v>50</v>
      </c>
      <c r="BH35" s="6" t="s">
        <v>50</v>
      </c>
      <c r="BI35">
        <v>1</v>
      </c>
      <c r="BJ35">
        <v>0</v>
      </c>
      <c r="BK35">
        <v>1</v>
      </c>
      <c r="BL35">
        <v>0</v>
      </c>
      <c r="BM35">
        <v>0</v>
      </c>
      <c r="BN35">
        <v>0</v>
      </c>
      <c r="BO35">
        <v>0</v>
      </c>
    </row>
    <row r="36" spans="1:67" ht="15.75" customHeight="1" x14ac:dyDescent="0.2">
      <c r="A36" s="3">
        <f t="shared" si="1"/>
        <v>7034</v>
      </c>
      <c r="B36" s="3" t="s">
        <v>495</v>
      </c>
      <c r="C36" s="3" t="s">
        <v>1219</v>
      </c>
      <c r="D36" s="25" t="s">
        <v>1218</v>
      </c>
      <c r="E36" s="4" t="s">
        <v>1220</v>
      </c>
      <c r="F36" s="3">
        <v>0</v>
      </c>
      <c r="G36" s="3">
        <v>0</v>
      </c>
      <c r="H36" s="3">
        <v>0</v>
      </c>
      <c r="I36" s="3">
        <v>50</v>
      </c>
      <c r="J36" s="3">
        <v>10</v>
      </c>
      <c r="K36" s="3">
        <v>1</v>
      </c>
      <c r="L36" s="3">
        <v>0</v>
      </c>
      <c r="M36" s="3">
        <v>20</v>
      </c>
      <c r="N36" s="3">
        <v>0</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0</v>
      </c>
      <c r="AI36" s="3">
        <v>0</v>
      </c>
      <c r="AJ36" s="3">
        <v>0</v>
      </c>
      <c r="AK36" s="3">
        <v>0</v>
      </c>
      <c r="AL36" s="3" t="s">
        <v>42</v>
      </c>
      <c r="AM36" s="3" t="s">
        <v>329</v>
      </c>
      <c r="AN36" s="3" t="s">
        <v>2036</v>
      </c>
      <c r="AO36" s="3" t="s">
        <v>1853</v>
      </c>
      <c r="AP36" s="3">
        <v>0</v>
      </c>
      <c r="AQ36" s="3">
        <v>0</v>
      </c>
      <c r="AR36">
        <v>0</v>
      </c>
      <c r="AS36">
        <v>1</v>
      </c>
      <c r="AT36" s="6" t="s">
        <v>50</v>
      </c>
      <c r="AU36" s="6" t="s">
        <v>50</v>
      </c>
      <c r="AV36" s="6" t="s">
        <v>50</v>
      </c>
      <c r="AW36" s="6" t="s">
        <v>50</v>
      </c>
      <c r="AX36" s="6" t="s">
        <v>50</v>
      </c>
      <c r="AY36" s="6" t="s">
        <v>50</v>
      </c>
      <c r="AZ36" s="6" t="s">
        <v>50</v>
      </c>
      <c r="BA36" s="6" t="s">
        <v>50</v>
      </c>
      <c r="BB36" s="6" t="s">
        <v>50</v>
      </c>
      <c r="BC36" s="6" t="s">
        <v>50</v>
      </c>
      <c r="BD36" s="6" t="s">
        <v>1221</v>
      </c>
      <c r="BE36" s="6" t="s">
        <v>50</v>
      </c>
      <c r="BF36" s="6" t="s">
        <v>50</v>
      </c>
      <c r="BG36" s="6" t="s">
        <v>50</v>
      </c>
      <c r="BH36" s="6" t="s">
        <v>50</v>
      </c>
      <c r="BI36">
        <v>1</v>
      </c>
      <c r="BJ36">
        <v>0</v>
      </c>
      <c r="BK36">
        <v>1</v>
      </c>
      <c r="BL36">
        <v>0</v>
      </c>
      <c r="BM36">
        <v>0</v>
      </c>
      <c r="BN36">
        <v>0</v>
      </c>
      <c r="BO36">
        <v>0</v>
      </c>
    </row>
    <row r="37" spans="1:67" s="9" customFormat="1" ht="15.75" customHeight="1" x14ac:dyDescent="0.2">
      <c r="A37" s="3">
        <f t="shared" si="1"/>
        <v>7035</v>
      </c>
      <c r="B37" s="7" t="s">
        <v>495</v>
      </c>
      <c r="C37" s="7" t="s">
        <v>672</v>
      </c>
      <c r="D37" s="26" t="s">
        <v>671</v>
      </c>
      <c r="E37" s="11" t="s">
        <v>673</v>
      </c>
      <c r="F37" s="7">
        <v>0</v>
      </c>
      <c r="G37" s="7">
        <v>0</v>
      </c>
      <c r="H37" s="7">
        <v>0</v>
      </c>
      <c r="I37" s="7">
        <v>50</v>
      </c>
      <c r="J37" s="7">
        <v>10</v>
      </c>
      <c r="K37" s="7">
        <v>1</v>
      </c>
      <c r="L37" s="7">
        <v>0</v>
      </c>
      <c r="M37" s="7">
        <v>20</v>
      </c>
      <c r="N37" s="7">
        <v>0</v>
      </c>
      <c r="O37" s="7">
        <v>0</v>
      </c>
      <c r="P37" s="7">
        <v>0</v>
      </c>
      <c r="Q37" s="7">
        <v>0</v>
      </c>
      <c r="R37" s="7">
        <v>0</v>
      </c>
      <c r="S37" s="7">
        <v>0</v>
      </c>
      <c r="T37" s="7">
        <v>0</v>
      </c>
      <c r="U37" s="7">
        <v>0</v>
      </c>
      <c r="V37" s="7">
        <v>0</v>
      </c>
      <c r="W37" s="7">
        <v>0</v>
      </c>
      <c r="X37" s="7">
        <v>0</v>
      </c>
      <c r="Y37" s="7">
        <v>0</v>
      </c>
      <c r="Z37" s="7">
        <v>0</v>
      </c>
      <c r="AA37" s="7">
        <v>0</v>
      </c>
      <c r="AB37" s="7">
        <v>0</v>
      </c>
      <c r="AC37" s="7">
        <v>0</v>
      </c>
      <c r="AD37" s="7">
        <v>0</v>
      </c>
      <c r="AE37" s="7">
        <v>0</v>
      </c>
      <c r="AF37" s="7">
        <v>0</v>
      </c>
      <c r="AG37" s="7">
        <v>0</v>
      </c>
      <c r="AH37" s="7">
        <v>0</v>
      </c>
      <c r="AI37" s="7">
        <v>0</v>
      </c>
      <c r="AJ37" s="7">
        <v>0</v>
      </c>
      <c r="AK37" s="7">
        <v>0</v>
      </c>
      <c r="AL37" s="7" t="s">
        <v>42</v>
      </c>
      <c r="AM37" s="7" t="s">
        <v>329</v>
      </c>
      <c r="AN37" s="7" t="s">
        <v>2036</v>
      </c>
      <c r="AO37" s="7" t="s">
        <v>1853</v>
      </c>
      <c r="AP37" s="7">
        <v>0</v>
      </c>
      <c r="AQ37" s="7">
        <v>0</v>
      </c>
      <c r="AR37" s="9">
        <v>0</v>
      </c>
      <c r="AS37" s="9">
        <v>1</v>
      </c>
      <c r="AT37" s="10" t="s">
        <v>50</v>
      </c>
      <c r="AU37" s="10" t="s">
        <v>50</v>
      </c>
      <c r="AV37" s="10" t="s">
        <v>50</v>
      </c>
      <c r="AW37" s="10" t="s">
        <v>50</v>
      </c>
      <c r="AX37" s="10" t="s">
        <v>50</v>
      </c>
      <c r="AY37" s="10" t="s">
        <v>50</v>
      </c>
      <c r="AZ37" s="10" t="s">
        <v>50</v>
      </c>
      <c r="BA37" s="10" t="s">
        <v>50</v>
      </c>
      <c r="BB37" s="10" t="s">
        <v>50</v>
      </c>
      <c r="BC37" s="10" t="s">
        <v>50</v>
      </c>
      <c r="BD37" s="10" t="s">
        <v>1207</v>
      </c>
      <c r="BE37" s="10" t="s">
        <v>50</v>
      </c>
      <c r="BF37" s="10" t="s">
        <v>50</v>
      </c>
      <c r="BG37" s="10" t="s">
        <v>50</v>
      </c>
      <c r="BH37" s="10" t="s">
        <v>50</v>
      </c>
      <c r="BI37" s="9">
        <v>0</v>
      </c>
      <c r="BJ37" s="9">
        <v>0</v>
      </c>
      <c r="BK37" s="9">
        <v>1</v>
      </c>
      <c r="BL37" s="9">
        <v>0</v>
      </c>
      <c r="BM37">
        <v>0</v>
      </c>
      <c r="BN37">
        <v>0</v>
      </c>
      <c r="BO37" s="9">
        <v>0</v>
      </c>
    </row>
    <row r="38" spans="1:67" s="9" customFormat="1" ht="15.75" customHeight="1" x14ac:dyDescent="0.2">
      <c r="A38" s="3">
        <f t="shared" si="1"/>
        <v>7036</v>
      </c>
      <c r="B38" s="7" t="s">
        <v>495</v>
      </c>
      <c r="C38" s="7" t="s">
        <v>674</v>
      </c>
      <c r="D38" s="26" t="s">
        <v>675</v>
      </c>
      <c r="E38" s="11" t="s">
        <v>676</v>
      </c>
      <c r="F38" s="7">
        <v>0</v>
      </c>
      <c r="G38" s="7">
        <v>0</v>
      </c>
      <c r="H38" s="7">
        <v>0</v>
      </c>
      <c r="I38" s="7">
        <v>50</v>
      </c>
      <c r="J38" s="7">
        <v>10</v>
      </c>
      <c r="K38" s="7">
        <v>1</v>
      </c>
      <c r="L38" s="7">
        <v>0</v>
      </c>
      <c r="M38" s="7">
        <v>20</v>
      </c>
      <c r="N38" s="7">
        <v>0</v>
      </c>
      <c r="O38" s="7">
        <v>0</v>
      </c>
      <c r="P38" s="7">
        <v>0</v>
      </c>
      <c r="Q38" s="7">
        <v>0</v>
      </c>
      <c r="R38" s="7">
        <v>0</v>
      </c>
      <c r="S38" s="7">
        <v>0</v>
      </c>
      <c r="T38" s="7">
        <v>0</v>
      </c>
      <c r="U38" s="7">
        <v>0</v>
      </c>
      <c r="V38" s="7">
        <v>0</v>
      </c>
      <c r="W38" s="7">
        <v>0</v>
      </c>
      <c r="X38" s="7">
        <v>0</v>
      </c>
      <c r="Y38" s="7">
        <v>0</v>
      </c>
      <c r="Z38" s="7">
        <v>0</v>
      </c>
      <c r="AA38" s="7">
        <v>0</v>
      </c>
      <c r="AB38" s="7">
        <v>0</v>
      </c>
      <c r="AC38" s="7">
        <v>0</v>
      </c>
      <c r="AD38" s="7">
        <v>0</v>
      </c>
      <c r="AE38" s="7">
        <v>0</v>
      </c>
      <c r="AF38" s="7">
        <v>0</v>
      </c>
      <c r="AG38" s="7">
        <v>0</v>
      </c>
      <c r="AH38" s="7">
        <v>0</v>
      </c>
      <c r="AI38" s="7">
        <v>0</v>
      </c>
      <c r="AJ38" s="7">
        <v>0</v>
      </c>
      <c r="AK38" s="7">
        <v>0</v>
      </c>
      <c r="AL38" s="7" t="s">
        <v>42</v>
      </c>
      <c r="AM38" s="7" t="s">
        <v>329</v>
      </c>
      <c r="AN38" s="7" t="s">
        <v>2036</v>
      </c>
      <c r="AO38" s="7" t="s">
        <v>1853</v>
      </c>
      <c r="AP38" s="7">
        <v>0</v>
      </c>
      <c r="AQ38" s="7">
        <v>0</v>
      </c>
      <c r="AR38" s="9">
        <v>0</v>
      </c>
      <c r="AS38" s="9">
        <v>1</v>
      </c>
      <c r="AT38" s="10" t="s">
        <v>50</v>
      </c>
      <c r="AU38" s="10" t="s">
        <v>50</v>
      </c>
      <c r="AV38" s="10" t="s">
        <v>50</v>
      </c>
      <c r="AW38" s="10" t="s">
        <v>50</v>
      </c>
      <c r="AX38" s="10" t="s">
        <v>50</v>
      </c>
      <c r="AY38" s="10" t="s">
        <v>50</v>
      </c>
      <c r="AZ38" s="10" t="s">
        <v>50</v>
      </c>
      <c r="BA38" s="10" t="s">
        <v>50</v>
      </c>
      <c r="BB38" s="10" t="s">
        <v>50</v>
      </c>
      <c r="BC38" s="10" t="s">
        <v>50</v>
      </c>
      <c r="BD38" s="10" t="s">
        <v>1208</v>
      </c>
      <c r="BE38" s="10" t="s">
        <v>50</v>
      </c>
      <c r="BF38" s="10" t="s">
        <v>50</v>
      </c>
      <c r="BG38" s="10" t="s">
        <v>50</v>
      </c>
      <c r="BH38" s="10" t="s">
        <v>50</v>
      </c>
      <c r="BI38" s="9">
        <v>0</v>
      </c>
      <c r="BJ38" s="9">
        <v>0</v>
      </c>
      <c r="BK38" s="9">
        <v>1</v>
      </c>
      <c r="BL38" s="9">
        <v>0</v>
      </c>
      <c r="BM38">
        <v>0</v>
      </c>
      <c r="BN38">
        <v>0</v>
      </c>
      <c r="BO38" s="9">
        <v>0</v>
      </c>
    </row>
    <row r="39" spans="1:67" ht="15.75" customHeight="1" x14ac:dyDescent="0.2">
      <c r="A39" s="3">
        <f t="shared" si="1"/>
        <v>7037</v>
      </c>
      <c r="B39" s="3" t="s">
        <v>1295</v>
      </c>
      <c r="C39" s="3" t="s">
        <v>678</v>
      </c>
      <c r="D39" s="25" t="s">
        <v>680</v>
      </c>
      <c r="E39" s="4" t="s">
        <v>681</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2036</v>
      </c>
      <c r="AO39" s="3" t="s">
        <v>1853</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1209</v>
      </c>
      <c r="BE39" s="6" t="s">
        <v>50</v>
      </c>
      <c r="BF39" s="6" t="s">
        <v>50</v>
      </c>
      <c r="BG39" s="6" t="s">
        <v>50</v>
      </c>
      <c r="BH39" s="6" t="s">
        <v>50</v>
      </c>
      <c r="BI39">
        <v>1</v>
      </c>
      <c r="BJ39">
        <v>0</v>
      </c>
      <c r="BK39">
        <v>1</v>
      </c>
      <c r="BL39">
        <v>0</v>
      </c>
      <c r="BM39">
        <v>0</v>
      </c>
      <c r="BN39">
        <v>0</v>
      </c>
      <c r="BO39">
        <v>0</v>
      </c>
    </row>
    <row r="40" spans="1:67" ht="15.75" customHeight="1" x14ac:dyDescent="0.2">
      <c r="A40" s="3">
        <f t="shared" si="1"/>
        <v>7038</v>
      </c>
      <c r="B40" s="3" t="s">
        <v>679</v>
      </c>
      <c r="C40" s="3" t="s">
        <v>679</v>
      </c>
      <c r="D40" s="25" t="s">
        <v>677</v>
      </c>
      <c r="E40" s="4" t="s">
        <v>682</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1033</v>
      </c>
      <c r="AM40" s="3" t="s">
        <v>329</v>
      </c>
      <c r="AN40" s="3" t="s">
        <v>2036</v>
      </c>
      <c r="AO40" s="3" t="s">
        <v>1853</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683</v>
      </c>
      <c r="BE40" s="6" t="s">
        <v>50</v>
      </c>
      <c r="BF40" s="6" t="s">
        <v>50</v>
      </c>
      <c r="BG40" s="6" t="s">
        <v>50</v>
      </c>
      <c r="BH40" s="6" t="s">
        <v>50</v>
      </c>
      <c r="BI40">
        <v>1</v>
      </c>
      <c r="BJ40">
        <v>0</v>
      </c>
      <c r="BK40">
        <v>1</v>
      </c>
      <c r="BL40">
        <v>0</v>
      </c>
      <c r="BM40">
        <v>0</v>
      </c>
      <c r="BN40">
        <v>0</v>
      </c>
      <c r="BO40">
        <v>0</v>
      </c>
    </row>
    <row r="41" spans="1:67" ht="15.75" customHeight="1" x14ac:dyDescent="0.2">
      <c r="A41" s="3">
        <f t="shared" si="1"/>
        <v>7039</v>
      </c>
      <c r="B41" s="3" t="s">
        <v>820</v>
      </c>
      <c r="C41" s="3" t="s">
        <v>820</v>
      </c>
      <c r="D41" s="25" t="s">
        <v>821</v>
      </c>
      <c r="E41" s="4" t="s">
        <v>822</v>
      </c>
      <c r="F41" s="3">
        <v>0</v>
      </c>
      <c r="G41" s="3">
        <v>0</v>
      </c>
      <c r="H41" s="3">
        <v>0</v>
      </c>
      <c r="I41" s="3">
        <v>50</v>
      </c>
      <c r="J41" s="3">
        <v>10</v>
      </c>
      <c r="K41" s="3">
        <v>1</v>
      </c>
      <c r="L41" s="3">
        <v>0</v>
      </c>
      <c r="M41" s="3">
        <v>20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42</v>
      </c>
      <c r="AM41" s="3" t="s">
        <v>329</v>
      </c>
      <c r="AN41" s="3" t="s">
        <v>2036</v>
      </c>
      <c r="AO41" s="3" t="s">
        <v>1853</v>
      </c>
      <c r="AP41" s="3">
        <v>0</v>
      </c>
      <c r="AQ41" s="3">
        <v>0</v>
      </c>
      <c r="AR41">
        <v>0</v>
      </c>
      <c r="AS41">
        <v>1</v>
      </c>
      <c r="AT41" s="6" t="s">
        <v>50</v>
      </c>
      <c r="AU41" s="6" t="s">
        <v>50</v>
      </c>
      <c r="AV41" s="6" t="s">
        <v>50</v>
      </c>
      <c r="AW41" s="6" t="s">
        <v>50</v>
      </c>
      <c r="AX41" s="6" t="s">
        <v>50</v>
      </c>
      <c r="AY41" s="6" t="s">
        <v>50</v>
      </c>
      <c r="AZ41" s="6" t="s">
        <v>50</v>
      </c>
      <c r="BA41" s="6" t="s">
        <v>50</v>
      </c>
      <c r="BB41" s="6" t="s">
        <v>50</v>
      </c>
      <c r="BC41" s="6" t="s">
        <v>50</v>
      </c>
      <c r="BD41" s="6" t="s">
        <v>1214</v>
      </c>
      <c r="BE41" s="6" t="s">
        <v>50</v>
      </c>
      <c r="BF41" s="6" t="s">
        <v>50</v>
      </c>
      <c r="BG41" s="6" t="s">
        <v>50</v>
      </c>
      <c r="BH41" s="6" t="s">
        <v>50</v>
      </c>
      <c r="BI41">
        <v>1</v>
      </c>
      <c r="BJ41">
        <v>0</v>
      </c>
      <c r="BK41">
        <v>1</v>
      </c>
      <c r="BL41">
        <v>0</v>
      </c>
      <c r="BM41">
        <v>0</v>
      </c>
      <c r="BN41">
        <v>0</v>
      </c>
      <c r="BO41">
        <v>0</v>
      </c>
    </row>
    <row r="42" spans="1:67" ht="15.75" customHeight="1" x14ac:dyDescent="0.2">
      <c r="A42" s="3">
        <f t="shared" si="1"/>
        <v>7040</v>
      </c>
      <c r="B42" s="3" t="s">
        <v>1189</v>
      </c>
      <c r="C42" s="3" t="s">
        <v>1189</v>
      </c>
      <c r="D42" s="25" t="s">
        <v>1187</v>
      </c>
      <c r="E42" s="4" t="s">
        <v>1188</v>
      </c>
      <c r="F42" s="3">
        <v>0</v>
      </c>
      <c r="G42" s="3">
        <v>0</v>
      </c>
      <c r="H42" s="3">
        <v>0</v>
      </c>
      <c r="I42" s="3">
        <v>50</v>
      </c>
      <c r="J42" s="3">
        <v>10</v>
      </c>
      <c r="K42" s="3">
        <v>1</v>
      </c>
      <c r="L42" s="3">
        <v>0</v>
      </c>
      <c r="M42" s="3">
        <v>20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1033</v>
      </c>
      <c r="AM42" s="3" t="s">
        <v>329</v>
      </c>
      <c r="AN42" s="3" t="s">
        <v>2036</v>
      </c>
      <c r="AO42" s="3" t="s">
        <v>1853</v>
      </c>
      <c r="AP42" s="3">
        <v>0</v>
      </c>
      <c r="AQ42" s="3">
        <v>0</v>
      </c>
      <c r="AR42">
        <v>0</v>
      </c>
      <c r="AS42">
        <v>1</v>
      </c>
      <c r="AT42" s="6" t="s">
        <v>50</v>
      </c>
      <c r="AU42" s="6" t="s">
        <v>50</v>
      </c>
      <c r="AV42" s="6" t="s">
        <v>50</v>
      </c>
      <c r="AW42" s="6" t="s">
        <v>50</v>
      </c>
      <c r="AX42" s="6" t="s">
        <v>50</v>
      </c>
      <c r="AY42" s="6" t="s">
        <v>50</v>
      </c>
      <c r="AZ42" s="6" t="s">
        <v>50</v>
      </c>
      <c r="BA42" s="6" t="s">
        <v>50</v>
      </c>
      <c r="BB42" s="6" t="s">
        <v>50</v>
      </c>
      <c r="BC42" s="6" t="s">
        <v>50</v>
      </c>
      <c r="BD42" s="6" t="s">
        <v>1210</v>
      </c>
      <c r="BE42" s="6" t="s">
        <v>50</v>
      </c>
      <c r="BF42" s="6" t="s">
        <v>50</v>
      </c>
      <c r="BG42" s="6" t="s">
        <v>50</v>
      </c>
      <c r="BH42" s="6" t="s">
        <v>50</v>
      </c>
      <c r="BI42">
        <v>1</v>
      </c>
      <c r="BJ42">
        <v>0</v>
      </c>
      <c r="BK42">
        <v>1</v>
      </c>
      <c r="BL42">
        <v>0</v>
      </c>
      <c r="BM42">
        <v>0</v>
      </c>
      <c r="BN42">
        <v>0</v>
      </c>
      <c r="BO42">
        <v>0</v>
      </c>
    </row>
    <row r="43" spans="1:67" ht="15.75" customHeight="1" x14ac:dyDescent="0.2">
      <c r="A43" s="3">
        <f t="shared" si="1"/>
        <v>7041</v>
      </c>
      <c r="B43" s="3" t="s">
        <v>1189</v>
      </c>
      <c r="C43" s="3" t="s">
        <v>1198</v>
      </c>
      <c r="D43" s="25" t="s">
        <v>1196</v>
      </c>
      <c r="E43" s="4" t="s">
        <v>1197</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1033</v>
      </c>
      <c r="AM43" s="3" t="s">
        <v>329</v>
      </c>
      <c r="AN43" s="3" t="s">
        <v>2036</v>
      </c>
      <c r="AO43" s="3" t="s">
        <v>1853</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1211</v>
      </c>
      <c r="BE43" s="6" t="s">
        <v>50</v>
      </c>
      <c r="BF43" s="6" t="s">
        <v>50</v>
      </c>
      <c r="BG43" s="6" t="s">
        <v>50</v>
      </c>
      <c r="BH43" s="6" t="s">
        <v>50</v>
      </c>
      <c r="BI43">
        <v>1</v>
      </c>
      <c r="BJ43">
        <v>0</v>
      </c>
      <c r="BK43">
        <v>1</v>
      </c>
      <c r="BL43">
        <v>0</v>
      </c>
      <c r="BM43">
        <v>0</v>
      </c>
      <c r="BN43">
        <v>0</v>
      </c>
      <c r="BO43">
        <v>0</v>
      </c>
    </row>
    <row r="44" spans="1:67" ht="15.75" customHeight="1" x14ac:dyDescent="0.2">
      <c r="A44" s="3">
        <f t="shared" ref="A44:A89" si="2">ROW()+6998</f>
        <v>7042</v>
      </c>
      <c r="B44" s="3" t="s">
        <v>1202</v>
      </c>
      <c r="C44" s="3" t="s">
        <v>1202</v>
      </c>
      <c r="D44" s="25" t="s">
        <v>1203</v>
      </c>
      <c r="E44" s="4" t="s">
        <v>1204</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1033</v>
      </c>
      <c r="AM44" s="3" t="s">
        <v>329</v>
      </c>
      <c r="AN44" s="3" t="s">
        <v>2036</v>
      </c>
      <c r="AO44" s="3" t="s">
        <v>1853</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1212</v>
      </c>
      <c r="BE44" s="6" t="s">
        <v>50</v>
      </c>
      <c r="BF44" s="6" t="s">
        <v>50</v>
      </c>
      <c r="BG44" s="6" t="s">
        <v>50</v>
      </c>
      <c r="BH44" s="6" t="s">
        <v>50</v>
      </c>
      <c r="BI44">
        <v>1</v>
      </c>
      <c r="BJ44">
        <v>0</v>
      </c>
      <c r="BK44">
        <v>3</v>
      </c>
      <c r="BL44">
        <v>0</v>
      </c>
      <c r="BM44">
        <v>0</v>
      </c>
      <c r="BN44">
        <v>0</v>
      </c>
      <c r="BO44">
        <v>0</v>
      </c>
    </row>
    <row r="45" spans="1:67" ht="15.75" customHeight="1" x14ac:dyDescent="0.2">
      <c r="A45" s="3">
        <f t="shared" si="2"/>
        <v>7043</v>
      </c>
      <c r="B45" s="3" t="s">
        <v>685</v>
      </c>
      <c r="C45" s="3" t="s">
        <v>685</v>
      </c>
      <c r="D45" s="25" t="s">
        <v>684</v>
      </c>
      <c r="E45" s="4" t="s">
        <v>686</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2036</v>
      </c>
      <c r="AO45" s="3" t="s">
        <v>1853</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1213</v>
      </c>
      <c r="BE45" s="6" t="s">
        <v>50</v>
      </c>
      <c r="BF45" s="6" t="s">
        <v>50</v>
      </c>
      <c r="BG45" s="6" t="s">
        <v>50</v>
      </c>
      <c r="BH45" s="6" t="s">
        <v>50</v>
      </c>
      <c r="BI45">
        <v>1</v>
      </c>
      <c r="BJ45">
        <v>0</v>
      </c>
      <c r="BK45">
        <v>1</v>
      </c>
      <c r="BL45">
        <v>0</v>
      </c>
      <c r="BM45">
        <v>0</v>
      </c>
      <c r="BN45">
        <v>0</v>
      </c>
      <c r="BO45">
        <v>0</v>
      </c>
    </row>
    <row r="46" spans="1:67" ht="15.75" customHeight="1" x14ac:dyDescent="0.2">
      <c r="A46" s="3">
        <f t="shared" si="2"/>
        <v>7044</v>
      </c>
      <c r="B46" s="3" t="s">
        <v>1239</v>
      </c>
      <c r="C46" s="3" t="s">
        <v>1239</v>
      </c>
      <c r="D46" s="25" t="s">
        <v>1240</v>
      </c>
      <c r="E46" s="4" t="s">
        <v>1241</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42</v>
      </c>
      <c r="AM46" s="3" t="s">
        <v>329</v>
      </c>
      <c r="AN46" s="3" t="s">
        <v>2036</v>
      </c>
      <c r="AO46" s="3" t="s">
        <v>1853</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1242</v>
      </c>
      <c r="BE46" s="6" t="s">
        <v>50</v>
      </c>
      <c r="BF46" s="6" t="s">
        <v>50</v>
      </c>
      <c r="BG46" s="6" t="s">
        <v>50</v>
      </c>
      <c r="BH46" s="6" t="s">
        <v>50</v>
      </c>
      <c r="BI46">
        <v>1</v>
      </c>
      <c r="BJ46">
        <v>0</v>
      </c>
      <c r="BK46">
        <v>1</v>
      </c>
      <c r="BL46">
        <v>0</v>
      </c>
      <c r="BM46">
        <v>0</v>
      </c>
      <c r="BN46">
        <v>0</v>
      </c>
      <c r="BO46">
        <v>0</v>
      </c>
    </row>
    <row r="47" spans="1:67" ht="15.75" customHeight="1" x14ac:dyDescent="0.2">
      <c r="A47" s="3">
        <f t="shared" si="2"/>
        <v>7045</v>
      </c>
      <c r="B47" s="3" t="s">
        <v>1399</v>
      </c>
      <c r="C47" s="3" t="s">
        <v>1399</v>
      </c>
      <c r="D47" s="25" t="s">
        <v>1398</v>
      </c>
      <c r="E47" s="4" t="s">
        <v>1400</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42</v>
      </c>
      <c r="AM47" s="3" t="s">
        <v>329</v>
      </c>
      <c r="AN47" s="3" t="s">
        <v>2036</v>
      </c>
      <c r="AO47" s="3" t="s">
        <v>1853</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1401</v>
      </c>
      <c r="BE47" s="6" t="s">
        <v>50</v>
      </c>
      <c r="BF47" s="6" t="s">
        <v>50</v>
      </c>
      <c r="BG47" s="6" t="s">
        <v>50</v>
      </c>
      <c r="BH47" s="6" t="s">
        <v>50</v>
      </c>
      <c r="BI47">
        <v>1</v>
      </c>
      <c r="BJ47">
        <v>0</v>
      </c>
      <c r="BK47">
        <v>1</v>
      </c>
      <c r="BL47">
        <v>0</v>
      </c>
      <c r="BM47">
        <v>0</v>
      </c>
      <c r="BN47">
        <v>0</v>
      </c>
      <c r="BO47">
        <v>0</v>
      </c>
    </row>
    <row r="48" spans="1:67" ht="15.75" customHeight="1" x14ac:dyDescent="0.2">
      <c r="A48" s="3">
        <f t="shared" si="2"/>
        <v>7046</v>
      </c>
      <c r="B48" s="3" t="s">
        <v>2583</v>
      </c>
      <c r="C48" s="3" t="s">
        <v>1875</v>
      </c>
      <c r="D48" s="25" t="s">
        <v>1874</v>
      </c>
      <c r="E48" s="4" t="s">
        <v>1911</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42</v>
      </c>
      <c r="AM48" s="3" t="s">
        <v>329</v>
      </c>
      <c r="AN48" s="3" t="s">
        <v>2036</v>
      </c>
      <c r="AO48" s="3" t="s">
        <v>50</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1876</v>
      </c>
      <c r="BE48" s="6" t="s">
        <v>50</v>
      </c>
      <c r="BF48" s="6" t="s">
        <v>50</v>
      </c>
      <c r="BG48" s="6" t="s">
        <v>50</v>
      </c>
      <c r="BH48" s="6" t="s">
        <v>50</v>
      </c>
      <c r="BI48">
        <v>1</v>
      </c>
      <c r="BJ48">
        <v>0</v>
      </c>
      <c r="BK48">
        <v>2</v>
      </c>
      <c r="BL48">
        <v>0</v>
      </c>
      <c r="BM48">
        <v>0</v>
      </c>
      <c r="BN48">
        <v>0</v>
      </c>
      <c r="BO48">
        <v>0</v>
      </c>
    </row>
    <row r="49" spans="1:67" ht="15.75" customHeight="1" x14ac:dyDescent="0.2">
      <c r="A49" s="3">
        <f t="shared" si="2"/>
        <v>7047</v>
      </c>
      <c r="B49" s="3" t="s">
        <v>685</v>
      </c>
      <c r="C49" s="3" t="s">
        <v>1636</v>
      </c>
      <c r="D49" s="25" t="s">
        <v>1637</v>
      </c>
      <c r="E49" s="4" t="s">
        <v>1638</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2036</v>
      </c>
      <c r="AO49" s="3" t="s">
        <v>1853</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1639</v>
      </c>
      <c r="BE49" s="6" t="s">
        <v>50</v>
      </c>
      <c r="BF49" s="6" t="s">
        <v>50</v>
      </c>
      <c r="BG49" s="6" t="s">
        <v>50</v>
      </c>
      <c r="BH49" s="6" t="s">
        <v>50</v>
      </c>
      <c r="BI49">
        <v>1</v>
      </c>
      <c r="BJ49">
        <v>0</v>
      </c>
      <c r="BK49">
        <v>1</v>
      </c>
      <c r="BL49">
        <v>0</v>
      </c>
      <c r="BM49">
        <v>0</v>
      </c>
      <c r="BN49">
        <v>0</v>
      </c>
      <c r="BO49">
        <v>1</v>
      </c>
    </row>
    <row r="50" spans="1:67" ht="15.75" customHeight="1" x14ac:dyDescent="0.2">
      <c r="A50" s="3">
        <f t="shared" si="2"/>
        <v>7048</v>
      </c>
      <c r="B50" s="3" t="s">
        <v>3257</v>
      </c>
      <c r="C50" s="3" t="s">
        <v>3257</v>
      </c>
      <c r="D50" s="25" t="s">
        <v>3256</v>
      </c>
      <c r="E50" s="4" t="s">
        <v>3258</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2036</v>
      </c>
      <c r="AO50" s="3" t="s">
        <v>50</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1639</v>
      </c>
      <c r="BE50" s="6" t="s">
        <v>50</v>
      </c>
      <c r="BF50" s="6" t="s">
        <v>50</v>
      </c>
      <c r="BG50" s="6" t="s">
        <v>50</v>
      </c>
      <c r="BH50" s="6" t="s">
        <v>50</v>
      </c>
      <c r="BI50">
        <v>1</v>
      </c>
      <c r="BJ50">
        <v>0</v>
      </c>
      <c r="BK50">
        <v>1</v>
      </c>
      <c r="BL50">
        <v>0</v>
      </c>
      <c r="BM50">
        <v>0</v>
      </c>
      <c r="BN50">
        <v>0</v>
      </c>
      <c r="BO50">
        <v>1</v>
      </c>
    </row>
    <row r="51" spans="1:67" ht="15.75" customHeight="1" x14ac:dyDescent="0.2">
      <c r="A51" s="3">
        <f t="shared" si="2"/>
        <v>7049</v>
      </c>
      <c r="B51" s="3" t="s">
        <v>1183</v>
      </c>
      <c r="C51" s="3" t="s">
        <v>1183</v>
      </c>
      <c r="D51" s="25" t="s">
        <v>1181</v>
      </c>
      <c r="E51" s="4" t="s">
        <v>1182</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10</v>
      </c>
      <c r="Z51" s="3">
        <v>0</v>
      </c>
      <c r="AA51" s="3">
        <v>0</v>
      </c>
      <c r="AB51" s="3">
        <v>0</v>
      </c>
      <c r="AC51" s="3">
        <v>0</v>
      </c>
      <c r="AD51" s="3">
        <v>0</v>
      </c>
      <c r="AE51" s="3">
        <v>0</v>
      </c>
      <c r="AF51" s="3">
        <v>0</v>
      </c>
      <c r="AG51" s="3">
        <v>10</v>
      </c>
      <c r="AH51" s="3">
        <v>0</v>
      </c>
      <c r="AI51" s="3">
        <v>0</v>
      </c>
      <c r="AJ51" s="3">
        <v>0</v>
      </c>
      <c r="AK51" s="3">
        <v>0</v>
      </c>
      <c r="AL51" s="3" t="s">
        <v>42</v>
      </c>
      <c r="AM51" s="3" t="s">
        <v>1230</v>
      </c>
      <c r="AN51" s="3" t="s">
        <v>2037</v>
      </c>
      <c r="AO51" s="3" t="s">
        <v>51</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1230</v>
      </c>
      <c r="BE51" s="6" t="s">
        <v>50</v>
      </c>
      <c r="BF51" s="6" t="s">
        <v>50</v>
      </c>
      <c r="BG51" s="6" t="s">
        <v>50</v>
      </c>
      <c r="BH51" s="6" t="s">
        <v>50</v>
      </c>
      <c r="BI51">
        <v>1</v>
      </c>
      <c r="BJ51">
        <v>0</v>
      </c>
      <c r="BK51">
        <v>1</v>
      </c>
      <c r="BL51">
        <v>0</v>
      </c>
      <c r="BM51">
        <v>0</v>
      </c>
      <c r="BN51">
        <v>0</v>
      </c>
      <c r="BO51">
        <v>0</v>
      </c>
    </row>
    <row r="52" spans="1:67" ht="15.75" customHeight="1" x14ac:dyDescent="0.2">
      <c r="A52" s="3">
        <f t="shared" si="2"/>
        <v>7050</v>
      </c>
      <c r="B52" s="3" t="s">
        <v>1186</v>
      </c>
      <c r="C52" s="3" t="s">
        <v>1186</v>
      </c>
      <c r="D52" s="25" t="s">
        <v>1184</v>
      </c>
      <c r="E52" s="4" t="s">
        <v>1185</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10</v>
      </c>
      <c r="Z52" s="3">
        <v>0</v>
      </c>
      <c r="AA52" s="3">
        <v>0</v>
      </c>
      <c r="AB52" s="3">
        <v>0</v>
      </c>
      <c r="AC52" s="3">
        <v>0</v>
      </c>
      <c r="AD52" s="3">
        <v>0</v>
      </c>
      <c r="AE52" s="3">
        <v>0</v>
      </c>
      <c r="AF52" s="3">
        <v>0</v>
      </c>
      <c r="AG52" s="3">
        <v>15</v>
      </c>
      <c r="AH52" s="3">
        <v>0</v>
      </c>
      <c r="AI52" s="3">
        <v>0</v>
      </c>
      <c r="AJ52" s="3">
        <v>0</v>
      </c>
      <c r="AK52" s="3">
        <v>0</v>
      </c>
      <c r="AL52" s="3" t="s">
        <v>42</v>
      </c>
      <c r="AM52" s="3" t="s">
        <v>1230</v>
      </c>
      <c r="AN52" s="3" t="s">
        <v>2037</v>
      </c>
      <c r="AO52" s="3" t="s">
        <v>51</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1231</v>
      </c>
      <c r="BE52" s="6" t="s">
        <v>50</v>
      </c>
      <c r="BF52" s="6" t="s">
        <v>50</v>
      </c>
      <c r="BG52" s="6" t="s">
        <v>50</v>
      </c>
      <c r="BH52" s="6" t="s">
        <v>50</v>
      </c>
      <c r="BI52">
        <v>1</v>
      </c>
      <c r="BJ52">
        <v>0</v>
      </c>
      <c r="BK52">
        <v>2</v>
      </c>
      <c r="BL52">
        <v>0</v>
      </c>
      <c r="BM52">
        <v>0</v>
      </c>
      <c r="BN52">
        <v>0</v>
      </c>
      <c r="BO52">
        <v>0</v>
      </c>
    </row>
    <row r="53" spans="1:67" s="9" customFormat="1" ht="15.75" customHeight="1" x14ac:dyDescent="0.2">
      <c r="A53" s="3">
        <f t="shared" si="2"/>
        <v>7051</v>
      </c>
      <c r="B53" s="7" t="s">
        <v>934</v>
      </c>
      <c r="C53" s="7" t="s">
        <v>746</v>
      </c>
      <c r="D53" s="8" t="s">
        <v>747</v>
      </c>
      <c r="E53" s="8" t="s">
        <v>748</v>
      </c>
      <c r="F53" s="7">
        <v>0</v>
      </c>
      <c r="G53" s="7">
        <v>0</v>
      </c>
      <c r="H53" s="7">
        <v>0</v>
      </c>
      <c r="I53" s="7">
        <v>50</v>
      </c>
      <c r="J53" s="7">
        <v>50</v>
      </c>
      <c r="K53" s="7">
        <v>1</v>
      </c>
      <c r="L53" s="7">
        <v>0</v>
      </c>
      <c r="M53" s="7">
        <v>3</v>
      </c>
      <c r="N53" s="7">
        <v>0</v>
      </c>
      <c r="O53" s="7">
        <v>0</v>
      </c>
      <c r="P53" s="7">
        <v>0</v>
      </c>
      <c r="Q53" s="7">
        <v>0</v>
      </c>
      <c r="R53" s="7">
        <v>0</v>
      </c>
      <c r="S53" s="7">
        <v>0</v>
      </c>
      <c r="T53" s="7">
        <v>0</v>
      </c>
      <c r="U53" s="7">
        <v>0</v>
      </c>
      <c r="V53" s="7">
        <v>0</v>
      </c>
      <c r="W53" s="7">
        <v>0</v>
      </c>
      <c r="X53" s="7">
        <v>0</v>
      </c>
      <c r="Y53" s="7">
        <v>10</v>
      </c>
      <c r="Z53" s="7">
        <v>0</v>
      </c>
      <c r="AA53" s="7">
        <v>0</v>
      </c>
      <c r="AB53" s="7">
        <v>0</v>
      </c>
      <c r="AC53" s="7">
        <v>0</v>
      </c>
      <c r="AD53" s="7">
        <v>0</v>
      </c>
      <c r="AE53" s="7">
        <v>0</v>
      </c>
      <c r="AF53" s="7">
        <v>0</v>
      </c>
      <c r="AG53" s="7">
        <v>0</v>
      </c>
      <c r="AH53" s="7">
        <v>0</v>
      </c>
      <c r="AI53" s="7">
        <v>0</v>
      </c>
      <c r="AJ53" s="7">
        <v>0</v>
      </c>
      <c r="AK53" s="7">
        <v>0</v>
      </c>
      <c r="AL53" s="7" t="s">
        <v>42</v>
      </c>
      <c r="AM53" s="7" t="s">
        <v>23</v>
      </c>
      <c r="AN53" s="7" t="s">
        <v>2038</v>
      </c>
      <c r="AO53" s="7" t="s">
        <v>1853</v>
      </c>
      <c r="AP53" s="7">
        <v>0</v>
      </c>
      <c r="AQ53" s="7">
        <v>0</v>
      </c>
      <c r="AR53" s="9">
        <v>0</v>
      </c>
      <c r="AS53" s="9">
        <v>1</v>
      </c>
      <c r="AT53" s="10" t="s">
        <v>937</v>
      </c>
      <c r="AU53" s="10" t="s">
        <v>50</v>
      </c>
      <c r="AV53" s="10" t="s">
        <v>50</v>
      </c>
      <c r="AW53" s="10" t="s">
        <v>50</v>
      </c>
      <c r="AX53" s="10" t="s">
        <v>50</v>
      </c>
      <c r="AY53" s="10" t="s">
        <v>50</v>
      </c>
      <c r="AZ53" s="10" t="s">
        <v>50</v>
      </c>
      <c r="BA53" s="10" t="s">
        <v>50</v>
      </c>
      <c r="BB53" s="10" t="s">
        <v>50</v>
      </c>
      <c r="BC53" s="10" t="s">
        <v>50</v>
      </c>
      <c r="BD53" s="10" t="s">
        <v>50</v>
      </c>
      <c r="BE53" s="10" t="s">
        <v>50</v>
      </c>
      <c r="BF53" s="10" t="s">
        <v>50</v>
      </c>
      <c r="BG53" s="10" t="s">
        <v>50</v>
      </c>
      <c r="BH53" s="10" t="s">
        <v>50</v>
      </c>
      <c r="BI53" s="9">
        <v>0</v>
      </c>
      <c r="BJ53" s="9">
        <v>0</v>
      </c>
      <c r="BK53" s="9">
        <v>1</v>
      </c>
      <c r="BL53" s="9">
        <v>0</v>
      </c>
      <c r="BM53">
        <v>0</v>
      </c>
      <c r="BN53">
        <v>0</v>
      </c>
      <c r="BO53" s="9">
        <v>0</v>
      </c>
    </row>
    <row r="54" spans="1:67" ht="15.75" customHeight="1" x14ac:dyDescent="0.2">
      <c r="A54" s="3">
        <f t="shared" si="2"/>
        <v>7052</v>
      </c>
      <c r="B54" s="3" t="s">
        <v>324</v>
      </c>
      <c r="C54" s="3" t="s">
        <v>324</v>
      </c>
      <c r="D54" s="25" t="s">
        <v>915</v>
      </c>
      <c r="E54" s="4" t="s">
        <v>936</v>
      </c>
      <c r="F54" s="3">
        <v>0</v>
      </c>
      <c r="G54" s="3">
        <v>0</v>
      </c>
      <c r="H54" s="3">
        <v>0</v>
      </c>
      <c r="I54" s="3">
        <v>50</v>
      </c>
      <c r="J54" s="3">
        <v>300</v>
      </c>
      <c r="K54" s="3">
        <v>1</v>
      </c>
      <c r="L54" s="3">
        <v>0</v>
      </c>
      <c r="M54" s="3">
        <v>10</v>
      </c>
      <c r="N54" s="3">
        <v>10</v>
      </c>
      <c r="O54" s="3">
        <v>0</v>
      </c>
      <c r="P54" s="3">
        <v>10</v>
      </c>
      <c r="Q54" s="3">
        <v>10</v>
      </c>
      <c r="R54" s="3">
        <v>10</v>
      </c>
      <c r="S54" s="3">
        <v>0</v>
      </c>
      <c r="T54" s="3">
        <v>0</v>
      </c>
      <c r="U54" s="3">
        <v>0</v>
      </c>
      <c r="V54" s="3">
        <v>0</v>
      </c>
      <c r="W54" s="3">
        <v>0</v>
      </c>
      <c r="X54" s="3">
        <v>0</v>
      </c>
      <c r="Y54" s="3">
        <v>10</v>
      </c>
      <c r="Z54" s="3">
        <v>0</v>
      </c>
      <c r="AA54" s="3">
        <v>0</v>
      </c>
      <c r="AB54" s="3">
        <v>0</v>
      </c>
      <c r="AC54" s="3">
        <v>0</v>
      </c>
      <c r="AD54" s="3">
        <v>0</v>
      </c>
      <c r="AE54" s="3">
        <v>0</v>
      </c>
      <c r="AF54" s="3">
        <v>0</v>
      </c>
      <c r="AG54" s="3">
        <v>5</v>
      </c>
      <c r="AH54" s="3">
        <v>0</v>
      </c>
      <c r="AI54" s="3">
        <v>0</v>
      </c>
      <c r="AJ54" s="3">
        <v>0</v>
      </c>
      <c r="AK54" s="3">
        <v>0</v>
      </c>
      <c r="AL54" s="3" t="s">
        <v>42</v>
      </c>
      <c r="AM54" s="3" t="s">
        <v>982</v>
      </c>
      <c r="AN54" s="3" t="s">
        <v>1950</v>
      </c>
      <c r="AO54" s="3" t="s">
        <v>1853</v>
      </c>
      <c r="AP54" s="3">
        <v>0</v>
      </c>
      <c r="AQ54" s="3">
        <v>0</v>
      </c>
      <c r="AR54">
        <v>0</v>
      </c>
      <c r="AS54">
        <v>50</v>
      </c>
      <c r="AT54" s="6" t="s">
        <v>330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2</v>
      </c>
      <c r="BL54">
        <v>0</v>
      </c>
      <c r="BM54">
        <v>0</v>
      </c>
      <c r="BN54">
        <v>0</v>
      </c>
      <c r="BO54">
        <v>0</v>
      </c>
    </row>
    <row r="55" spans="1:67" ht="15.75" customHeight="1" x14ac:dyDescent="0.2">
      <c r="A55" s="3">
        <f t="shared" si="2"/>
        <v>7053</v>
      </c>
      <c r="B55" s="3" t="s">
        <v>2588</v>
      </c>
      <c r="C55" s="3" t="s">
        <v>2588</v>
      </c>
      <c r="D55" s="5" t="s">
        <v>2757</v>
      </c>
      <c r="E55" s="5" t="s">
        <v>2589</v>
      </c>
      <c r="F55" s="3">
        <v>0</v>
      </c>
      <c r="G55" s="3">
        <v>0</v>
      </c>
      <c r="H55" s="3">
        <v>0</v>
      </c>
      <c r="I55" s="3">
        <v>50</v>
      </c>
      <c r="J55" s="3">
        <v>15</v>
      </c>
      <c r="K55" s="3">
        <v>1</v>
      </c>
      <c r="L55" s="3">
        <v>0</v>
      </c>
      <c r="M55" s="3">
        <v>7</v>
      </c>
      <c r="N55" s="3">
        <v>0</v>
      </c>
      <c r="O55" s="3">
        <v>5</v>
      </c>
      <c r="P55" s="3">
        <v>0</v>
      </c>
      <c r="Q55" s="3">
        <v>0</v>
      </c>
      <c r="R55" s="3">
        <v>0</v>
      </c>
      <c r="S55" s="3">
        <v>0</v>
      </c>
      <c r="T55" s="3">
        <v>0</v>
      </c>
      <c r="U55" s="3">
        <v>0</v>
      </c>
      <c r="V55" s="3">
        <v>0</v>
      </c>
      <c r="W55" s="3">
        <v>0</v>
      </c>
      <c r="X55" s="3">
        <v>3</v>
      </c>
      <c r="Y55" s="3">
        <v>5</v>
      </c>
      <c r="Z55" s="3">
        <v>5</v>
      </c>
      <c r="AA55" s="3">
        <v>0</v>
      </c>
      <c r="AB55" s="3">
        <v>0</v>
      </c>
      <c r="AC55" s="3">
        <v>0</v>
      </c>
      <c r="AD55" s="3">
        <v>0</v>
      </c>
      <c r="AE55" s="3">
        <v>0</v>
      </c>
      <c r="AF55" s="3">
        <v>0</v>
      </c>
      <c r="AG55" s="3">
        <v>5</v>
      </c>
      <c r="AH55" s="3">
        <v>0</v>
      </c>
      <c r="AI55" s="3">
        <v>0</v>
      </c>
      <c r="AJ55" s="3">
        <v>0</v>
      </c>
      <c r="AK55" s="3">
        <v>0</v>
      </c>
      <c r="AL55" s="3" t="s">
        <v>42</v>
      </c>
      <c r="AM55" s="3" t="s">
        <v>3103</v>
      </c>
      <c r="AN55" s="6" t="s">
        <v>1980</v>
      </c>
      <c r="AO55" s="3" t="s">
        <v>2160</v>
      </c>
      <c r="AP55" s="3">
        <v>0</v>
      </c>
      <c r="AQ55" s="3">
        <v>0</v>
      </c>
      <c r="AR55">
        <v>0</v>
      </c>
      <c r="AS55">
        <v>5</v>
      </c>
      <c r="AT55" s="6" t="s">
        <v>2893</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row>
    <row r="56" spans="1:67" ht="15.75" customHeight="1" x14ac:dyDescent="0.2">
      <c r="A56" s="3">
        <f t="shared" si="2"/>
        <v>7054</v>
      </c>
      <c r="B56" s="3" t="s">
        <v>2594</v>
      </c>
      <c r="C56" s="3" t="s">
        <v>2594</v>
      </c>
      <c r="D56" s="5" t="s">
        <v>2593</v>
      </c>
      <c r="E56" s="5" t="s">
        <v>2990</v>
      </c>
      <c r="F56" s="3">
        <v>0</v>
      </c>
      <c r="G56" s="3">
        <v>0</v>
      </c>
      <c r="H56" s="3">
        <v>0</v>
      </c>
      <c r="I56" s="3">
        <v>50</v>
      </c>
      <c r="J56" s="3">
        <v>15</v>
      </c>
      <c r="K56" s="3">
        <v>1</v>
      </c>
      <c r="L56" s="3">
        <v>0</v>
      </c>
      <c r="M56" s="3">
        <v>7</v>
      </c>
      <c r="N56" s="3">
        <v>0</v>
      </c>
      <c r="O56" s="3">
        <v>5</v>
      </c>
      <c r="P56" s="3">
        <v>0</v>
      </c>
      <c r="Q56" s="3">
        <v>0</v>
      </c>
      <c r="R56" s="3">
        <v>0</v>
      </c>
      <c r="S56" s="3">
        <v>0</v>
      </c>
      <c r="T56" s="3">
        <v>0</v>
      </c>
      <c r="U56" s="3">
        <v>0</v>
      </c>
      <c r="V56" s="3">
        <v>0</v>
      </c>
      <c r="W56" s="3">
        <v>0</v>
      </c>
      <c r="X56" s="3">
        <v>3</v>
      </c>
      <c r="Y56" s="3">
        <v>5</v>
      </c>
      <c r="Z56" s="3">
        <v>5</v>
      </c>
      <c r="AA56" s="3">
        <v>0</v>
      </c>
      <c r="AB56" s="3">
        <v>0</v>
      </c>
      <c r="AC56" s="3">
        <v>0</v>
      </c>
      <c r="AD56" s="3">
        <v>0</v>
      </c>
      <c r="AE56" s="3">
        <v>0</v>
      </c>
      <c r="AF56" s="3">
        <v>0</v>
      </c>
      <c r="AG56" s="3">
        <v>20</v>
      </c>
      <c r="AH56" s="3">
        <v>0</v>
      </c>
      <c r="AI56" s="3">
        <v>0</v>
      </c>
      <c r="AJ56" s="3">
        <v>0</v>
      </c>
      <c r="AK56" s="3">
        <v>0</v>
      </c>
      <c r="AL56" s="3" t="s">
        <v>42</v>
      </c>
      <c r="AM56" s="3" t="s">
        <v>3103</v>
      </c>
      <c r="AN56" s="6" t="s">
        <v>1976</v>
      </c>
      <c r="AO56" s="3" t="s">
        <v>2160</v>
      </c>
      <c r="AP56" s="3">
        <v>0</v>
      </c>
      <c r="AQ56" s="3">
        <v>0</v>
      </c>
      <c r="AR56">
        <v>0</v>
      </c>
      <c r="AS56">
        <v>5</v>
      </c>
      <c r="AT56" s="6" t="s">
        <v>2991</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row>
    <row r="57" spans="1:67" ht="15.75" customHeight="1" x14ac:dyDescent="0.2">
      <c r="A57" s="3">
        <f t="shared" si="2"/>
        <v>7055</v>
      </c>
      <c r="B57" s="3" t="s">
        <v>1920</v>
      </c>
      <c r="C57" s="3" t="s">
        <v>1920</v>
      </c>
      <c r="D57" s="5" t="s">
        <v>2161</v>
      </c>
      <c r="E57" s="5" t="s">
        <v>2587</v>
      </c>
      <c r="F57" s="3">
        <v>0</v>
      </c>
      <c r="G57" s="3">
        <v>0</v>
      </c>
      <c r="H57" s="3">
        <v>0</v>
      </c>
      <c r="I57" s="3">
        <v>50</v>
      </c>
      <c r="J57" s="3">
        <v>15</v>
      </c>
      <c r="K57" s="3">
        <v>1</v>
      </c>
      <c r="L57" s="3">
        <v>0</v>
      </c>
      <c r="M57" s="3">
        <v>7</v>
      </c>
      <c r="N57" s="3">
        <v>0</v>
      </c>
      <c r="O57" s="3">
        <v>5</v>
      </c>
      <c r="P57" s="3">
        <v>0</v>
      </c>
      <c r="Q57" s="3">
        <v>0</v>
      </c>
      <c r="R57" s="3">
        <v>0</v>
      </c>
      <c r="S57" s="3">
        <v>0</v>
      </c>
      <c r="T57" s="3">
        <v>0</v>
      </c>
      <c r="U57" s="3">
        <v>0</v>
      </c>
      <c r="V57" s="3">
        <v>0</v>
      </c>
      <c r="W57" s="3">
        <v>0</v>
      </c>
      <c r="X57" s="3">
        <v>3</v>
      </c>
      <c r="Y57" s="3">
        <v>5</v>
      </c>
      <c r="Z57" s="3">
        <v>5</v>
      </c>
      <c r="AA57" s="3">
        <v>0</v>
      </c>
      <c r="AB57" s="3">
        <v>0</v>
      </c>
      <c r="AC57" s="3">
        <v>0</v>
      </c>
      <c r="AD57" s="3">
        <v>0</v>
      </c>
      <c r="AE57" s="3">
        <v>0</v>
      </c>
      <c r="AF57" s="3">
        <v>0</v>
      </c>
      <c r="AG57" s="3">
        <v>5</v>
      </c>
      <c r="AH57" s="3">
        <v>0</v>
      </c>
      <c r="AI57" s="3">
        <v>0</v>
      </c>
      <c r="AJ57" s="3">
        <v>0</v>
      </c>
      <c r="AK57" s="3">
        <v>0</v>
      </c>
      <c r="AL57" s="3" t="s">
        <v>42</v>
      </c>
      <c r="AM57" s="3" t="s">
        <v>3103</v>
      </c>
      <c r="AN57" s="6" t="s">
        <v>1974</v>
      </c>
      <c r="AO57" s="3" t="s">
        <v>2160</v>
      </c>
      <c r="AP57" s="3">
        <v>0</v>
      </c>
      <c r="AQ57" s="3">
        <v>0</v>
      </c>
      <c r="AR57">
        <v>0</v>
      </c>
      <c r="AS57">
        <v>5</v>
      </c>
      <c r="AT57" s="6" t="s">
        <v>2539</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2"/>
        <v>7056</v>
      </c>
      <c r="B58" s="3" t="s">
        <v>1921</v>
      </c>
      <c r="C58" s="3" t="s">
        <v>1921</v>
      </c>
      <c r="D58" s="5" t="s">
        <v>2162</v>
      </c>
      <c r="E58" s="5" t="s">
        <v>1922</v>
      </c>
      <c r="F58" s="3">
        <v>0</v>
      </c>
      <c r="G58" s="3">
        <v>0</v>
      </c>
      <c r="H58" s="3">
        <v>0</v>
      </c>
      <c r="I58" s="3">
        <v>50</v>
      </c>
      <c r="J58" s="3">
        <v>15</v>
      </c>
      <c r="K58" s="3">
        <v>1</v>
      </c>
      <c r="L58" s="3">
        <v>0</v>
      </c>
      <c r="M58" s="3">
        <v>7</v>
      </c>
      <c r="N58" s="3">
        <v>0</v>
      </c>
      <c r="O58" s="3">
        <v>5</v>
      </c>
      <c r="P58" s="3">
        <v>0</v>
      </c>
      <c r="Q58" s="3">
        <v>0</v>
      </c>
      <c r="R58" s="3">
        <v>0</v>
      </c>
      <c r="S58" s="3">
        <v>0</v>
      </c>
      <c r="T58" s="3">
        <v>0</v>
      </c>
      <c r="U58" s="3">
        <v>0</v>
      </c>
      <c r="V58" s="3">
        <v>0</v>
      </c>
      <c r="W58" s="3">
        <v>0</v>
      </c>
      <c r="X58" s="3">
        <v>3</v>
      </c>
      <c r="Y58" s="3">
        <v>5</v>
      </c>
      <c r="Z58" s="3">
        <v>5</v>
      </c>
      <c r="AA58" s="3">
        <v>0</v>
      </c>
      <c r="AB58" s="3">
        <v>0</v>
      </c>
      <c r="AC58" s="3">
        <v>0</v>
      </c>
      <c r="AD58" s="3">
        <v>0</v>
      </c>
      <c r="AE58" s="3">
        <v>0</v>
      </c>
      <c r="AF58" s="3">
        <v>0</v>
      </c>
      <c r="AG58" s="3">
        <v>5</v>
      </c>
      <c r="AH58" s="3">
        <v>0</v>
      </c>
      <c r="AI58" s="3">
        <v>0</v>
      </c>
      <c r="AJ58" s="3">
        <v>0</v>
      </c>
      <c r="AK58" s="3">
        <v>0</v>
      </c>
      <c r="AL58" s="3" t="s">
        <v>42</v>
      </c>
      <c r="AM58" s="3" t="s">
        <v>3103</v>
      </c>
      <c r="AN58" s="3" t="s">
        <v>1965</v>
      </c>
      <c r="AO58" s="3" t="s">
        <v>2160</v>
      </c>
      <c r="AP58" s="3">
        <v>0</v>
      </c>
      <c r="AQ58" s="3">
        <v>0</v>
      </c>
      <c r="AR58">
        <v>0</v>
      </c>
      <c r="AS58">
        <v>5</v>
      </c>
      <c r="AT58" s="6" t="s">
        <v>2540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2"/>
        <v>7057</v>
      </c>
      <c r="B59" s="3" t="s">
        <v>2165</v>
      </c>
      <c r="C59" s="3" t="s">
        <v>2165</v>
      </c>
      <c r="D59" s="5" t="s">
        <v>2164</v>
      </c>
      <c r="E59" s="5" t="s">
        <v>2585</v>
      </c>
      <c r="F59" s="3">
        <v>0</v>
      </c>
      <c r="G59" s="3">
        <v>0</v>
      </c>
      <c r="H59" s="3">
        <v>0</v>
      </c>
      <c r="I59" s="3">
        <v>50</v>
      </c>
      <c r="J59" s="3">
        <v>8</v>
      </c>
      <c r="K59" s="3">
        <v>1</v>
      </c>
      <c r="L59" s="3">
        <v>0</v>
      </c>
      <c r="M59" s="3">
        <v>3</v>
      </c>
      <c r="N59" s="3">
        <v>0</v>
      </c>
      <c r="O59" s="3">
        <v>7</v>
      </c>
      <c r="P59" s="3">
        <v>0</v>
      </c>
      <c r="Q59" s="3">
        <v>0</v>
      </c>
      <c r="R59" s="3">
        <v>0</v>
      </c>
      <c r="S59" s="3">
        <v>0</v>
      </c>
      <c r="T59" s="3">
        <v>0</v>
      </c>
      <c r="U59" s="3">
        <v>0</v>
      </c>
      <c r="V59" s="3">
        <v>0</v>
      </c>
      <c r="W59" s="3">
        <v>0</v>
      </c>
      <c r="X59" s="3">
        <v>3</v>
      </c>
      <c r="Y59" s="3">
        <v>5</v>
      </c>
      <c r="Z59" s="3">
        <v>5</v>
      </c>
      <c r="AA59" s="3">
        <v>0</v>
      </c>
      <c r="AB59" s="3">
        <v>0</v>
      </c>
      <c r="AC59" s="3">
        <v>0</v>
      </c>
      <c r="AD59" s="3">
        <v>0</v>
      </c>
      <c r="AE59" s="3">
        <v>0</v>
      </c>
      <c r="AF59" s="3">
        <v>0</v>
      </c>
      <c r="AG59" s="3">
        <v>5</v>
      </c>
      <c r="AH59" s="3">
        <v>0</v>
      </c>
      <c r="AI59" s="3">
        <v>0</v>
      </c>
      <c r="AJ59" s="3">
        <v>0</v>
      </c>
      <c r="AK59" s="3">
        <v>0</v>
      </c>
      <c r="AL59" s="3" t="s">
        <v>42</v>
      </c>
      <c r="AM59" s="3" t="s">
        <v>3103</v>
      </c>
      <c r="AN59" s="3" t="s">
        <v>1967</v>
      </c>
      <c r="AO59" s="3" t="s">
        <v>2160</v>
      </c>
      <c r="AP59" s="3">
        <v>0</v>
      </c>
      <c r="AQ59" s="3">
        <v>0</v>
      </c>
      <c r="AR59">
        <v>0</v>
      </c>
      <c r="AS59">
        <v>4</v>
      </c>
      <c r="AT59" s="6" t="s">
        <v>2541</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2"/>
        <v>7058</v>
      </c>
      <c r="B60" s="3" t="s">
        <v>2492</v>
      </c>
      <c r="C60" s="3" t="s">
        <v>2492</v>
      </c>
      <c r="D60" s="5" t="s">
        <v>2493</v>
      </c>
      <c r="E60" s="5" t="s">
        <v>2494</v>
      </c>
      <c r="F60" s="3">
        <v>0</v>
      </c>
      <c r="G60" s="3">
        <v>0</v>
      </c>
      <c r="H60" s="3">
        <v>0</v>
      </c>
      <c r="I60" s="3">
        <v>50</v>
      </c>
      <c r="J60" s="3">
        <v>8</v>
      </c>
      <c r="K60" s="3">
        <v>1</v>
      </c>
      <c r="L60" s="3">
        <v>0</v>
      </c>
      <c r="M60" s="3">
        <v>3</v>
      </c>
      <c r="N60" s="3">
        <v>0</v>
      </c>
      <c r="O60" s="3">
        <v>7</v>
      </c>
      <c r="P60" s="3">
        <v>0</v>
      </c>
      <c r="Q60" s="3">
        <v>0</v>
      </c>
      <c r="R60" s="3">
        <v>0</v>
      </c>
      <c r="S60" s="3">
        <v>0</v>
      </c>
      <c r="T60" s="3">
        <v>0</v>
      </c>
      <c r="U60" s="3">
        <v>0</v>
      </c>
      <c r="V60" s="3">
        <v>0</v>
      </c>
      <c r="W60" s="3">
        <v>0</v>
      </c>
      <c r="X60" s="3">
        <v>3</v>
      </c>
      <c r="Y60" s="3">
        <v>5</v>
      </c>
      <c r="Z60" s="3">
        <v>5</v>
      </c>
      <c r="AA60" s="3">
        <v>0</v>
      </c>
      <c r="AB60" s="3">
        <v>0</v>
      </c>
      <c r="AC60" s="3">
        <v>0</v>
      </c>
      <c r="AD60" s="3">
        <v>0</v>
      </c>
      <c r="AE60" s="3">
        <v>0</v>
      </c>
      <c r="AF60" s="3">
        <v>0</v>
      </c>
      <c r="AG60" s="3">
        <v>5</v>
      </c>
      <c r="AH60" s="3">
        <v>0</v>
      </c>
      <c r="AI60" s="3">
        <v>0</v>
      </c>
      <c r="AJ60" s="3">
        <v>0</v>
      </c>
      <c r="AK60" s="3">
        <v>0</v>
      </c>
      <c r="AL60" s="3" t="s">
        <v>42</v>
      </c>
      <c r="AM60" s="3" t="s">
        <v>3103</v>
      </c>
      <c r="AN60" s="3" t="s">
        <v>1967</v>
      </c>
      <c r="AO60" s="3" t="s">
        <v>2160</v>
      </c>
      <c r="AP60" s="3">
        <v>0</v>
      </c>
      <c r="AQ60" s="3">
        <v>0</v>
      </c>
      <c r="AR60">
        <v>0</v>
      </c>
      <c r="AS60">
        <v>4</v>
      </c>
      <c r="AT60" s="6" t="s">
        <v>2542</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2"/>
        <v>7059</v>
      </c>
      <c r="B61" s="3" t="s">
        <v>2170</v>
      </c>
      <c r="C61" s="3" t="s">
        <v>2170</v>
      </c>
      <c r="D61" s="5" t="s">
        <v>2169</v>
      </c>
      <c r="E61" s="5" t="s">
        <v>2245</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5</v>
      </c>
      <c r="Z61" s="3">
        <v>5</v>
      </c>
      <c r="AA61" s="3">
        <v>0</v>
      </c>
      <c r="AB61" s="3">
        <v>0</v>
      </c>
      <c r="AC61" s="3">
        <v>0</v>
      </c>
      <c r="AD61" s="3">
        <v>0</v>
      </c>
      <c r="AE61" s="3">
        <v>0</v>
      </c>
      <c r="AF61" s="3">
        <v>0</v>
      </c>
      <c r="AG61" s="3">
        <v>5</v>
      </c>
      <c r="AH61" s="3">
        <v>0</v>
      </c>
      <c r="AI61" s="3">
        <v>0</v>
      </c>
      <c r="AJ61" s="3">
        <v>0</v>
      </c>
      <c r="AK61" s="3">
        <v>0</v>
      </c>
      <c r="AL61" s="3" t="s">
        <v>42</v>
      </c>
      <c r="AM61" s="3" t="s">
        <v>3103</v>
      </c>
      <c r="AN61" s="6" t="s">
        <v>1975</v>
      </c>
      <c r="AO61" s="3" t="s">
        <v>2160</v>
      </c>
      <c r="AP61" s="3">
        <v>0</v>
      </c>
      <c r="AQ61" s="3">
        <v>0</v>
      </c>
      <c r="AR61">
        <v>0</v>
      </c>
      <c r="AS61">
        <v>5</v>
      </c>
      <c r="AT61" s="6" t="s">
        <v>2543</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2"/>
        <v>7060</v>
      </c>
      <c r="B62" s="3" t="s">
        <v>2584</v>
      </c>
      <c r="C62" s="3" t="s">
        <v>2166</v>
      </c>
      <c r="D62" s="5" t="s">
        <v>2163</v>
      </c>
      <c r="E62" s="5" t="s">
        <v>2586</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5</v>
      </c>
      <c r="Z62" s="3">
        <v>5</v>
      </c>
      <c r="AA62" s="3">
        <v>0</v>
      </c>
      <c r="AB62" s="3">
        <v>0</v>
      </c>
      <c r="AC62" s="3">
        <v>0</v>
      </c>
      <c r="AD62" s="3">
        <v>0</v>
      </c>
      <c r="AE62" s="3">
        <v>0</v>
      </c>
      <c r="AF62" s="3">
        <v>0</v>
      </c>
      <c r="AG62" s="3">
        <v>5</v>
      </c>
      <c r="AH62" s="3">
        <v>0</v>
      </c>
      <c r="AI62" s="3">
        <v>0</v>
      </c>
      <c r="AJ62" s="3">
        <v>0</v>
      </c>
      <c r="AK62" s="3">
        <v>0</v>
      </c>
      <c r="AL62" s="3" t="s">
        <v>42</v>
      </c>
      <c r="AM62" s="3" t="s">
        <v>3103</v>
      </c>
      <c r="AN62" s="6" t="s">
        <v>1968</v>
      </c>
      <c r="AO62" s="3" t="s">
        <v>2160</v>
      </c>
      <c r="AP62" s="3">
        <v>0</v>
      </c>
      <c r="AQ62" s="3">
        <v>0</v>
      </c>
      <c r="AR62">
        <v>0</v>
      </c>
      <c r="AS62">
        <v>5</v>
      </c>
      <c r="AT62" s="6" t="s">
        <v>2544</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2"/>
        <v>7061</v>
      </c>
      <c r="B63" s="3" t="s">
        <v>2168</v>
      </c>
      <c r="C63" s="3" t="s">
        <v>2168</v>
      </c>
      <c r="D63" s="5" t="s">
        <v>2167</v>
      </c>
      <c r="E63" s="5" t="s">
        <v>2246</v>
      </c>
      <c r="F63" s="3">
        <v>0</v>
      </c>
      <c r="G63" s="3">
        <v>0</v>
      </c>
      <c r="H63" s="3">
        <v>0</v>
      </c>
      <c r="I63" s="3">
        <v>50</v>
      </c>
      <c r="J63" s="3">
        <v>15</v>
      </c>
      <c r="K63" s="3">
        <v>1</v>
      </c>
      <c r="L63" s="3">
        <v>0</v>
      </c>
      <c r="M63" s="3">
        <v>7</v>
      </c>
      <c r="N63" s="3">
        <v>0</v>
      </c>
      <c r="O63" s="3">
        <v>5</v>
      </c>
      <c r="P63" s="3">
        <v>0</v>
      </c>
      <c r="Q63" s="3">
        <v>0</v>
      </c>
      <c r="R63" s="3">
        <v>0</v>
      </c>
      <c r="S63" s="3">
        <v>0</v>
      </c>
      <c r="T63" s="3">
        <v>0</v>
      </c>
      <c r="U63" s="3">
        <v>0</v>
      </c>
      <c r="V63" s="3">
        <v>0</v>
      </c>
      <c r="W63" s="3">
        <v>0</v>
      </c>
      <c r="X63" s="3">
        <v>3</v>
      </c>
      <c r="Y63" s="3">
        <v>5</v>
      </c>
      <c r="Z63" s="3">
        <v>5</v>
      </c>
      <c r="AA63" s="3">
        <v>0</v>
      </c>
      <c r="AB63" s="3">
        <v>0</v>
      </c>
      <c r="AC63" s="3">
        <v>0</v>
      </c>
      <c r="AD63" s="3">
        <v>0</v>
      </c>
      <c r="AE63" s="3">
        <v>0</v>
      </c>
      <c r="AF63" s="3">
        <v>0</v>
      </c>
      <c r="AG63" s="3">
        <v>5</v>
      </c>
      <c r="AH63" s="3">
        <v>0</v>
      </c>
      <c r="AI63" s="3">
        <v>0</v>
      </c>
      <c r="AJ63" s="3">
        <v>0</v>
      </c>
      <c r="AK63" s="3">
        <v>0</v>
      </c>
      <c r="AL63" s="3" t="s">
        <v>42</v>
      </c>
      <c r="AM63" s="3" t="s">
        <v>3103</v>
      </c>
      <c r="AN63" s="6" t="s">
        <v>1969</v>
      </c>
      <c r="AO63" s="3" t="s">
        <v>2160</v>
      </c>
      <c r="AP63" s="3">
        <v>0</v>
      </c>
      <c r="AQ63" s="3">
        <v>0</v>
      </c>
      <c r="AR63">
        <v>0</v>
      </c>
      <c r="AS63">
        <v>5</v>
      </c>
      <c r="AT63" s="6" t="s">
        <v>2545</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2"/>
        <v>7062</v>
      </c>
      <c r="B64" s="3" t="s">
        <v>2172</v>
      </c>
      <c r="C64" s="3" t="s">
        <v>2172</v>
      </c>
      <c r="D64" s="5" t="s">
        <v>2171</v>
      </c>
      <c r="E64" s="5" t="s">
        <v>2247</v>
      </c>
      <c r="F64" s="3">
        <v>0</v>
      </c>
      <c r="G64" s="3">
        <v>0</v>
      </c>
      <c r="H64" s="3">
        <v>0</v>
      </c>
      <c r="I64" s="3">
        <v>50</v>
      </c>
      <c r="J64" s="3">
        <v>15</v>
      </c>
      <c r="K64" s="3">
        <v>1</v>
      </c>
      <c r="L64" s="3">
        <v>0</v>
      </c>
      <c r="M64" s="3">
        <v>7</v>
      </c>
      <c r="N64" s="3">
        <v>0</v>
      </c>
      <c r="O64" s="3">
        <v>5</v>
      </c>
      <c r="P64" s="3">
        <v>0</v>
      </c>
      <c r="Q64" s="3">
        <v>0</v>
      </c>
      <c r="R64" s="3">
        <v>0</v>
      </c>
      <c r="S64" s="3">
        <v>0</v>
      </c>
      <c r="T64" s="3">
        <v>0</v>
      </c>
      <c r="U64" s="3">
        <v>0</v>
      </c>
      <c r="V64" s="3">
        <v>0</v>
      </c>
      <c r="W64" s="3">
        <v>0</v>
      </c>
      <c r="X64" s="3">
        <v>3</v>
      </c>
      <c r="Y64" s="3">
        <v>5</v>
      </c>
      <c r="Z64" s="3">
        <v>5</v>
      </c>
      <c r="AA64" s="3">
        <v>0</v>
      </c>
      <c r="AB64" s="3">
        <v>0</v>
      </c>
      <c r="AC64" s="3">
        <v>0</v>
      </c>
      <c r="AD64" s="3">
        <v>0</v>
      </c>
      <c r="AE64" s="3">
        <v>0</v>
      </c>
      <c r="AF64" s="3">
        <v>0</v>
      </c>
      <c r="AG64" s="3">
        <v>5</v>
      </c>
      <c r="AH64" s="3">
        <v>0</v>
      </c>
      <c r="AI64" s="3">
        <v>0</v>
      </c>
      <c r="AJ64" s="3">
        <v>0</v>
      </c>
      <c r="AK64" s="3">
        <v>0</v>
      </c>
      <c r="AL64" s="3" t="s">
        <v>42</v>
      </c>
      <c r="AM64" s="3" t="s">
        <v>3103</v>
      </c>
      <c r="AN64" s="6" t="s">
        <v>1971</v>
      </c>
      <c r="AO64" s="3" t="s">
        <v>2160</v>
      </c>
      <c r="AP64" s="3">
        <v>0</v>
      </c>
      <c r="AQ64" s="3">
        <v>0</v>
      </c>
      <c r="AR64">
        <v>0</v>
      </c>
      <c r="AS64">
        <v>5</v>
      </c>
      <c r="AT64" s="6" t="s">
        <v>2546</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2"/>
        <v>7063</v>
      </c>
      <c r="B65" s="3" t="s">
        <v>2174</v>
      </c>
      <c r="C65" s="3" t="s">
        <v>2174</v>
      </c>
      <c r="D65" s="5" t="s">
        <v>2173</v>
      </c>
      <c r="E65" s="5" t="s">
        <v>2248</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5</v>
      </c>
      <c r="Z65" s="3">
        <v>5</v>
      </c>
      <c r="AA65" s="3">
        <v>0</v>
      </c>
      <c r="AB65" s="3">
        <v>0</v>
      </c>
      <c r="AC65" s="3">
        <v>0</v>
      </c>
      <c r="AD65" s="3">
        <v>0</v>
      </c>
      <c r="AE65" s="3">
        <v>0</v>
      </c>
      <c r="AF65" s="3">
        <v>0</v>
      </c>
      <c r="AG65" s="3">
        <v>5</v>
      </c>
      <c r="AH65" s="3">
        <v>0</v>
      </c>
      <c r="AI65" s="3">
        <v>0</v>
      </c>
      <c r="AJ65" s="3">
        <v>0</v>
      </c>
      <c r="AK65" s="3">
        <v>0</v>
      </c>
      <c r="AL65" s="3" t="s">
        <v>42</v>
      </c>
      <c r="AM65" s="3" t="s">
        <v>3103</v>
      </c>
      <c r="AN65" s="6" t="s">
        <v>1972</v>
      </c>
      <c r="AO65" s="3" t="s">
        <v>2160</v>
      </c>
      <c r="AP65" s="3">
        <v>0</v>
      </c>
      <c r="AQ65" s="3">
        <v>0</v>
      </c>
      <c r="AR65">
        <v>0</v>
      </c>
      <c r="AS65">
        <v>5</v>
      </c>
      <c r="AT65" s="6" t="s">
        <v>2547</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2"/>
        <v>7064</v>
      </c>
      <c r="B66" s="3" t="s">
        <v>2176</v>
      </c>
      <c r="C66" s="3" t="s">
        <v>2176</v>
      </c>
      <c r="D66" s="5" t="s">
        <v>2175</v>
      </c>
      <c r="E66" s="5" t="s">
        <v>2249</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5</v>
      </c>
      <c r="Z66" s="3">
        <v>5</v>
      </c>
      <c r="AA66" s="3">
        <v>0</v>
      </c>
      <c r="AB66" s="3">
        <v>0</v>
      </c>
      <c r="AC66" s="3">
        <v>0</v>
      </c>
      <c r="AD66" s="3">
        <v>0</v>
      </c>
      <c r="AE66" s="3">
        <v>0</v>
      </c>
      <c r="AF66" s="3">
        <v>0</v>
      </c>
      <c r="AG66" s="3">
        <v>5</v>
      </c>
      <c r="AH66" s="3">
        <v>0</v>
      </c>
      <c r="AI66" s="3">
        <v>0</v>
      </c>
      <c r="AJ66" s="3">
        <v>0</v>
      </c>
      <c r="AK66" s="3">
        <v>0</v>
      </c>
      <c r="AL66" s="3" t="s">
        <v>42</v>
      </c>
      <c r="AM66" s="3" t="s">
        <v>3103</v>
      </c>
      <c r="AN66" s="6" t="s">
        <v>1973</v>
      </c>
      <c r="AO66" s="3" t="s">
        <v>2160</v>
      </c>
      <c r="AP66" s="3">
        <v>0</v>
      </c>
      <c r="AQ66" s="3">
        <v>0</v>
      </c>
      <c r="AR66">
        <v>0</v>
      </c>
      <c r="AS66">
        <v>5</v>
      </c>
      <c r="AT66" s="6" t="s">
        <v>2548</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2"/>
        <v>7065</v>
      </c>
      <c r="B67" s="3" t="s">
        <v>2590</v>
      </c>
      <c r="C67" s="3" t="s">
        <v>2590</v>
      </c>
      <c r="D67" s="5" t="s">
        <v>2591</v>
      </c>
      <c r="E67" s="5" t="s">
        <v>2592</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5</v>
      </c>
      <c r="Z67" s="3">
        <v>5</v>
      </c>
      <c r="AA67" s="3">
        <v>0</v>
      </c>
      <c r="AB67" s="3">
        <v>0</v>
      </c>
      <c r="AC67" s="3">
        <v>0</v>
      </c>
      <c r="AD67" s="3">
        <v>0</v>
      </c>
      <c r="AE67" s="3">
        <v>0</v>
      </c>
      <c r="AF67" s="3">
        <v>0</v>
      </c>
      <c r="AG67" s="3">
        <v>10</v>
      </c>
      <c r="AH67" s="3">
        <v>0</v>
      </c>
      <c r="AI67" s="3">
        <v>0</v>
      </c>
      <c r="AJ67" s="3">
        <v>0</v>
      </c>
      <c r="AK67" s="3">
        <v>0</v>
      </c>
      <c r="AL67" s="3" t="s">
        <v>42</v>
      </c>
      <c r="AM67" s="3" t="s">
        <v>3103</v>
      </c>
      <c r="AN67" s="6" t="s">
        <v>1970</v>
      </c>
      <c r="AO67" s="3" t="s">
        <v>2160</v>
      </c>
      <c r="AP67" s="3">
        <v>0</v>
      </c>
      <c r="AQ67" s="3">
        <v>0</v>
      </c>
      <c r="AR67">
        <v>0</v>
      </c>
      <c r="AS67">
        <v>5</v>
      </c>
      <c r="AT67" s="6" t="s">
        <v>2894</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s="37" customFormat="1" ht="15.75" customHeight="1" x14ac:dyDescent="0.2">
      <c r="A68" s="34">
        <f t="shared" si="2"/>
        <v>7066</v>
      </c>
      <c r="B68" s="34" t="s">
        <v>2176</v>
      </c>
      <c r="C68" s="34" t="s">
        <v>3164</v>
      </c>
      <c r="D68" s="39" t="s">
        <v>3163</v>
      </c>
      <c r="E68" s="39" t="s">
        <v>3165</v>
      </c>
      <c r="F68" s="34">
        <v>0</v>
      </c>
      <c r="G68" s="34">
        <v>0</v>
      </c>
      <c r="H68" s="34">
        <v>0</v>
      </c>
      <c r="I68" s="34">
        <v>50</v>
      </c>
      <c r="J68" s="34">
        <v>15</v>
      </c>
      <c r="K68" s="34">
        <v>1</v>
      </c>
      <c r="L68" s="34">
        <v>0</v>
      </c>
      <c r="M68" s="34">
        <v>7</v>
      </c>
      <c r="N68" s="34">
        <v>0</v>
      </c>
      <c r="O68" s="34">
        <v>5</v>
      </c>
      <c r="P68" s="34">
        <v>0</v>
      </c>
      <c r="Q68" s="34">
        <v>0</v>
      </c>
      <c r="R68" s="34">
        <v>0</v>
      </c>
      <c r="S68" s="34">
        <v>0</v>
      </c>
      <c r="T68" s="34">
        <v>0</v>
      </c>
      <c r="U68" s="34">
        <v>0</v>
      </c>
      <c r="V68" s="34">
        <v>0</v>
      </c>
      <c r="W68" s="34">
        <v>0</v>
      </c>
      <c r="X68" s="34">
        <v>3</v>
      </c>
      <c r="Y68" s="34">
        <v>5</v>
      </c>
      <c r="Z68" s="34">
        <v>5</v>
      </c>
      <c r="AA68" s="34">
        <v>0</v>
      </c>
      <c r="AB68" s="34">
        <v>0</v>
      </c>
      <c r="AC68" s="34">
        <v>0</v>
      </c>
      <c r="AD68" s="34">
        <v>0</v>
      </c>
      <c r="AE68" s="34">
        <v>0</v>
      </c>
      <c r="AF68" s="34">
        <v>0</v>
      </c>
      <c r="AG68" s="34">
        <v>10</v>
      </c>
      <c r="AH68" s="34">
        <v>0</v>
      </c>
      <c r="AI68" s="34">
        <v>0</v>
      </c>
      <c r="AJ68" s="34">
        <v>0</v>
      </c>
      <c r="AK68" s="34">
        <v>0</v>
      </c>
      <c r="AL68" s="34" t="s">
        <v>42</v>
      </c>
      <c r="AM68" s="34" t="s">
        <v>3363</v>
      </c>
      <c r="AN68" s="38" t="s">
        <v>3226</v>
      </c>
      <c r="AO68" s="34" t="s">
        <v>3229</v>
      </c>
      <c r="AP68" s="34">
        <v>0</v>
      </c>
      <c r="AQ68" s="34">
        <v>0</v>
      </c>
      <c r="AR68" s="37">
        <v>0</v>
      </c>
      <c r="AS68" s="37">
        <v>5</v>
      </c>
      <c r="AT68" s="38" t="s">
        <v>2894</v>
      </c>
      <c r="AU68" s="38" t="s">
        <v>50</v>
      </c>
      <c r="AV68" s="38" t="s">
        <v>50</v>
      </c>
      <c r="AW68" s="38" t="s">
        <v>50</v>
      </c>
      <c r="AX68" s="38" t="s">
        <v>50</v>
      </c>
      <c r="AY68" s="38" t="s">
        <v>50</v>
      </c>
      <c r="AZ68" s="38" t="s">
        <v>50</v>
      </c>
      <c r="BA68" s="38" t="s">
        <v>50</v>
      </c>
      <c r="BB68" s="38" t="s">
        <v>50</v>
      </c>
      <c r="BC68" s="38" t="s">
        <v>50</v>
      </c>
      <c r="BD68" s="38" t="s">
        <v>50</v>
      </c>
      <c r="BE68" s="38" t="s">
        <v>50</v>
      </c>
      <c r="BF68" s="38" t="s">
        <v>50</v>
      </c>
      <c r="BG68" s="38" t="s">
        <v>50</v>
      </c>
      <c r="BH68" s="38" t="s">
        <v>50</v>
      </c>
      <c r="BI68" s="37">
        <v>1</v>
      </c>
      <c r="BJ68" s="37">
        <v>0</v>
      </c>
      <c r="BK68" s="37">
        <v>1</v>
      </c>
      <c r="BL68" s="37">
        <v>0</v>
      </c>
      <c r="BM68" s="37">
        <v>0</v>
      </c>
      <c r="BN68" s="37">
        <v>0</v>
      </c>
      <c r="BO68" s="37">
        <v>0</v>
      </c>
    </row>
    <row r="69" spans="1:67" s="37" customFormat="1" ht="15.75" customHeight="1" x14ac:dyDescent="0.2">
      <c r="A69" s="34">
        <f t="shared" si="2"/>
        <v>7067</v>
      </c>
      <c r="B69" s="34" t="s">
        <v>2176</v>
      </c>
      <c r="C69" s="34" t="s">
        <v>3169</v>
      </c>
      <c r="D69" s="39" t="s">
        <v>3170</v>
      </c>
      <c r="E69" s="39" t="s">
        <v>3171</v>
      </c>
      <c r="F69" s="34">
        <v>0</v>
      </c>
      <c r="G69" s="34">
        <v>0</v>
      </c>
      <c r="H69" s="34">
        <v>0</v>
      </c>
      <c r="I69" s="34">
        <v>50</v>
      </c>
      <c r="J69" s="34">
        <v>15</v>
      </c>
      <c r="K69" s="34">
        <v>1</v>
      </c>
      <c r="L69" s="34">
        <v>0</v>
      </c>
      <c r="M69" s="34">
        <v>7</v>
      </c>
      <c r="N69" s="34">
        <v>0</v>
      </c>
      <c r="O69" s="34">
        <v>5</v>
      </c>
      <c r="P69" s="34">
        <v>0</v>
      </c>
      <c r="Q69" s="34">
        <v>0</v>
      </c>
      <c r="R69" s="34">
        <v>0</v>
      </c>
      <c r="S69" s="34">
        <v>0</v>
      </c>
      <c r="T69" s="34">
        <v>0</v>
      </c>
      <c r="U69" s="34">
        <v>0</v>
      </c>
      <c r="V69" s="34">
        <v>0</v>
      </c>
      <c r="W69" s="34">
        <v>0</v>
      </c>
      <c r="X69" s="34">
        <v>3</v>
      </c>
      <c r="Y69" s="34">
        <v>5</v>
      </c>
      <c r="Z69" s="34">
        <v>5</v>
      </c>
      <c r="AA69" s="34">
        <v>0</v>
      </c>
      <c r="AB69" s="34">
        <v>0</v>
      </c>
      <c r="AC69" s="34">
        <v>0</v>
      </c>
      <c r="AD69" s="34">
        <v>0</v>
      </c>
      <c r="AE69" s="34">
        <v>0</v>
      </c>
      <c r="AF69" s="34">
        <v>0</v>
      </c>
      <c r="AG69" s="34">
        <v>10</v>
      </c>
      <c r="AH69" s="34">
        <v>0</v>
      </c>
      <c r="AI69" s="34">
        <v>0</v>
      </c>
      <c r="AJ69" s="34">
        <v>0</v>
      </c>
      <c r="AK69" s="34">
        <v>0</v>
      </c>
      <c r="AL69" s="34" t="s">
        <v>42</v>
      </c>
      <c r="AM69" s="34" t="s">
        <v>3363</v>
      </c>
      <c r="AN69" s="38" t="s">
        <v>3226</v>
      </c>
      <c r="AO69" s="34" t="s">
        <v>3229</v>
      </c>
      <c r="AP69" s="34">
        <v>0</v>
      </c>
      <c r="AQ69" s="34">
        <v>0</v>
      </c>
      <c r="AR69" s="37">
        <v>0</v>
      </c>
      <c r="AS69" s="37">
        <v>5</v>
      </c>
      <c r="AT69" s="38" t="s">
        <v>2894</v>
      </c>
      <c r="AU69" s="38" t="s">
        <v>50</v>
      </c>
      <c r="AV69" s="38" t="s">
        <v>50</v>
      </c>
      <c r="AW69" s="38" t="s">
        <v>50</v>
      </c>
      <c r="AX69" s="38" t="s">
        <v>50</v>
      </c>
      <c r="AY69" s="38" t="s">
        <v>50</v>
      </c>
      <c r="AZ69" s="38" t="s">
        <v>50</v>
      </c>
      <c r="BA69" s="38" t="s">
        <v>50</v>
      </c>
      <c r="BB69" s="38" t="s">
        <v>50</v>
      </c>
      <c r="BC69" s="38" t="s">
        <v>50</v>
      </c>
      <c r="BD69" s="38" t="s">
        <v>50</v>
      </c>
      <c r="BE69" s="38" t="s">
        <v>50</v>
      </c>
      <c r="BF69" s="38" t="s">
        <v>50</v>
      </c>
      <c r="BG69" s="38" t="s">
        <v>50</v>
      </c>
      <c r="BH69" s="38" t="s">
        <v>50</v>
      </c>
      <c r="BI69" s="37">
        <v>1</v>
      </c>
      <c r="BJ69" s="37">
        <v>0</v>
      </c>
      <c r="BK69" s="37">
        <v>1</v>
      </c>
      <c r="BL69" s="37">
        <v>0</v>
      </c>
      <c r="BM69" s="37">
        <v>0</v>
      </c>
      <c r="BN69" s="37">
        <v>0</v>
      </c>
      <c r="BO69" s="37">
        <v>0</v>
      </c>
    </row>
    <row r="70" spans="1:67" s="9" customFormat="1" ht="15.75" customHeight="1" x14ac:dyDescent="0.2">
      <c r="A70" s="7">
        <f t="shared" si="2"/>
        <v>7068</v>
      </c>
      <c r="B70" s="7" t="s">
        <v>2176</v>
      </c>
      <c r="C70" s="7" t="s">
        <v>3168</v>
      </c>
      <c r="D70" s="8" t="s">
        <v>3166</v>
      </c>
      <c r="E70" s="8" t="s">
        <v>3167</v>
      </c>
      <c r="F70" s="7">
        <v>0</v>
      </c>
      <c r="G70" s="7">
        <v>0</v>
      </c>
      <c r="H70" s="7">
        <v>0</v>
      </c>
      <c r="I70" s="7">
        <v>50</v>
      </c>
      <c r="J70" s="7">
        <v>15</v>
      </c>
      <c r="K70" s="7">
        <v>1</v>
      </c>
      <c r="L70" s="7">
        <v>0</v>
      </c>
      <c r="M70" s="7">
        <v>7</v>
      </c>
      <c r="N70" s="7">
        <v>0</v>
      </c>
      <c r="O70" s="7">
        <v>5</v>
      </c>
      <c r="P70" s="7">
        <v>0</v>
      </c>
      <c r="Q70" s="7">
        <v>0</v>
      </c>
      <c r="R70" s="7">
        <v>0</v>
      </c>
      <c r="S70" s="7">
        <v>0</v>
      </c>
      <c r="T70" s="7">
        <v>0</v>
      </c>
      <c r="U70" s="7">
        <v>0</v>
      </c>
      <c r="V70" s="7">
        <v>0</v>
      </c>
      <c r="W70" s="7">
        <v>0</v>
      </c>
      <c r="X70" s="7">
        <v>3</v>
      </c>
      <c r="Y70" s="7">
        <v>5</v>
      </c>
      <c r="Z70" s="7">
        <v>5</v>
      </c>
      <c r="AA70" s="7">
        <v>0</v>
      </c>
      <c r="AB70" s="7">
        <v>0</v>
      </c>
      <c r="AC70" s="7">
        <v>0</v>
      </c>
      <c r="AD70" s="7">
        <v>0</v>
      </c>
      <c r="AE70" s="7">
        <v>0</v>
      </c>
      <c r="AF70" s="7">
        <v>0</v>
      </c>
      <c r="AG70" s="7">
        <v>10</v>
      </c>
      <c r="AH70" s="7">
        <v>0</v>
      </c>
      <c r="AI70" s="7">
        <v>0</v>
      </c>
      <c r="AJ70" s="7">
        <v>0</v>
      </c>
      <c r="AK70" s="7">
        <v>0</v>
      </c>
      <c r="AL70" s="7" t="s">
        <v>42</v>
      </c>
      <c r="AM70" s="7" t="s">
        <v>3363</v>
      </c>
      <c r="AN70" s="10" t="s">
        <v>3227</v>
      </c>
      <c r="AO70" s="7" t="s">
        <v>3229</v>
      </c>
      <c r="AP70" s="7">
        <v>0</v>
      </c>
      <c r="AQ70" s="7">
        <v>0</v>
      </c>
      <c r="AR70" s="9">
        <v>0</v>
      </c>
      <c r="AS70" s="9">
        <v>5</v>
      </c>
      <c r="AT70" s="10" t="s">
        <v>2894</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row>
    <row r="71" spans="1:67" s="9" customFormat="1" ht="15.75" customHeight="1" x14ac:dyDescent="0.2">
      <c r="A71" s="7">
        <f t="shared" si="2"/>
        <v>7069</v>
      </c>
      <c r="B71" s="7" t="s">
        <v>2176</v>
      </c>
      <c r="C71" s="7" t="s">
        <v>3173</v>
      </c>
      <c r="D71" s="8" t="s">
        <v>3174</v>
      </c>
      <c r="E71" s="8" t="s">
        <v>3172</v>
      </c>
      <c r="F71" s="7">
        <v>0</v>
      </c>
      <c r="G71" s="7">
        <v>0</v>
      </c>
      <c r="H71" s="7">
        <v>0</v>
      </c>
      <c r="I71" s="7">
        <v>50</v>
      </c>
      <c r="J71" s="7">
        <v>15</v>
      </c>
      <c r="K71" s="7">
        <v>1</v>
      </c>
      <c r="L71" s="7">
        <v>0</v>
      </c>
      <c r="M71" s="7">
        <v>7</v>
      </c>
      <c r="N71" s="7">
        <v>0</v>
      </c>
      <c r="O71" s="7">
        <v>5</v>
      </c>
      <c r="P71" s="7">
        <v>0</v>
      </c>
      <c r="Q71" s="7">
        <v>0</v>
      </c>
      <c r="R71" s="7">
        <v>0</v>
      </c>
      <c r="S71" s="7">
        <v>0</v>
      </c>
      <c r="T71" s="7">
        <v>0</v>
      </c>
      <c r="U71" s="7">
        <v>0</v>
      </c>
      <c r="V71" s="7">
        <v>0</v>
      </c>
      <c r="W71" s="7">
        <v>0</v>
      </c>
      <c r="X71" s="7">
        <v>3</v>
      </c>
      <c r="Y71" s="7">
        <v>5</v>
      </c>
      <c r="Z71" s="7">
        <v>5</v>
      </c>
      <c r="AA71" s="7">
        <v>0</v>
      </c>
      <c r="AB71" s="7">
        <v>0</v>
      </c>
      <c r="AC71" s="7">
        <v>0</v>
      </c>
      <c r="AD71" s="7">
        <v>0</v>
      </c>
      <c r="AE71" s="7">
        <v>0</v>
      </c>
      <c r="AF71" s="7">
        <v>0</v>
      </c>
      <c r="AG71" s="7">
        <v>10</v>
      </c>
      <c r="AH71" s="7">
        <v>0</v>
      </c>
      <c r="AI71" s="7">
        <v>0</v>
      </c>
      <c r="AJ71" s="7">
        <v>0</v>
      </c>
      <c r="AK71" s="7">
        <v>0</v>
      </c>
      <c r="AL71" s="7" t="s">
        <v>42</v>
      </c>
      <c r="AM71" s="7" t="s">
        <v>3363</v>
      </c>
      <c r="AN71" s="10" t="s">
        <v>3227</v>
      </c>
      <c r="AO71" s="7" t="s">
        <v>3229</v>
      </c>
      <c r="AP71" s="7">
        <v>0</v>
      </c>
      <c r="AQ71" s="7">
        <v>0</v>
      </c>
      <c r="AR71" s="9">
        <v>0</v>
      </c>
      <c r="AS71" s="9">
        <v>5</v>
      </c>
      <c r="AT71" s="10" t="s">
        <v>2894</v>
      </c>
      <c r="AU71" s="10" t="s">
        <v>50</v>
      </c>
      <c r="AV71" s="10" t="s">
        <v>50</v>
      </c>
      <c r="AW71" s="10" t="s">
        <v>50</v>
      </c>
      <c r="AX71" s="10" t="s">
        <v>50</v>
      </c>
      <c r="AY71" s="10" t="s">
        <v>50</v>
      </c>
      <c r="AZ71" s="10" t="s">
        <v>50</v>
      </c>
      <c r="BA71" s="10" t="s">
        <v>50</v>
      </c>
      <c r="BB71" s="10" t="s">
        <v>50</v>
      </c>
      <c r="BC71" s="10" t="s">
        <v>50</v>
      </c>
      <c r="BD71" s="10" t="s">
        <v>50</v>
      </c>
      <c r="BE71" s="10" t="s">
        <v>50</v>
      </c>
      <c r="BF71" s="10" t="s">
        <v>50</v>
      </c>
      <c r="BG71" s="10" t="s">
        <v>50</v>
      </c>
      <c r="BH71" s="10" t="s">
        <v>50</v>
      </c>
      <c r="BI71" s="9">
        <v>1</v>
      </c>
      <c r="BJ71" s="9">
        <v>0</v>
      </c>
      <c r="BK71" s="9">
        <v>1</v>
      </c>
      <c r="BL71" s="9">
        <v>0</v>
      </c>
      <c r="BM71" s="9">
        <v>0</v>
      </c>
      <c r="BN71" s="9">
        <v>0</v>
      </c>
      <c r="BO71" s="9">
        <v>0</v>
      </c>
    </row>
    <row r="72" spans="1:67" s="9" customFormat="1" ht="15.75" customHeight="1" x14ac:dyDescent="0.2">
      <c r="A72" s="7">
        <f t="shared" si="2"/>
        <v>7070</v>
      </c>
      <c r="B72" s="7" t="s">
        <v>2176</v>
      </c>
      <c r="C72" s="7" t="s">
        <v>3176</v>
      </c>
      <c r="D72" s="8" t="s">
        <v>3175</v>
      </c>
      <c r="E72" s="8" t="s">
        <v>3177</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5</v>
      </c>
      <c r="Z72" s="7">
        <v>5</v>
      </c>
      <c r="AA72" s="7">
        <v>0</v>
      </c>
      <c r="AB72" s="7">
        <v>0</v>
      </c>
      <c r="AC72" s="7">
        <v>0</v>
      </c>
      <c r="AD72" s="7">
        <v>0</v>
      </c>
      <c r="AE72" s="7">
        <v>0</v>
      </c>
      <c r="AF72" s="7">
        <v>0</v>
      </c>
      <c r="AG72" s="7">
        <v>10</v>
      </c>
      <c r="AH72" s="7">
        <v>0</v>
      </c>
      <c r="AI72" s="7">
        <v>0</v>
      </c>
      <c r="AJ72" s="7">
        <v>0</v>
      </c>
      <c r="AK72" s="7">
        <v>0</v>
      </c>
      <c r="AL72" s="7" t="s">
        <v>42</v>
      </c>
      <c r="AM72" s="7" t="s">
        <v>3230</v>
      </c>
      <c r="AN72" s="10" t="s">
        <v>3228</v>
      </c>
      <c r="AO72" s="7" t="s">
        <v>3230</v>
      </c>
      <c r="AP72" s="7">
        <v>0</v>
      </c>
      <c r="AQ72" s="7">
        <v>0</v>
      </c>
      <c r="AR72" s="9">
        <v>0</v>
      </c>
      <c r="AS72" s="9">
        <v>5</v>
      </c>
      <c r="AT72" s="10" t="s">
        <v>2894</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1</v>
      </c>
      <c r="BJ72" s="9">
        <v>0</v>
      </c>
      <c r="BK72" s="9">
        <v>1</v>
      </c>
      <c r="BL72" s="9">
        <v>0</v>
      </c>
      <c r="BM72" s="9">
        <v>0</v>
      </c>
      <c r="BN72" s="9">
        <v>0</v>
      </c>
      <c r="BO72" s="9">
        <v>0</v>
      </c>
    </row>
    <row r="73" spans="1:67" s="9" customFormat="1" ht="15.75" customHeight="1" x14ac:dyDescent="0.2">
      <c r="A73" s="7">
        <f t="shared" si="2"/>
        <v>7071</v>
      </c>
      <c r="B73" s="7" t="s">
        <v>2176</v>
      </c>
      <c r="C73" s="7" t="s">
        <v>3190</v>
      </c>
      <c r="D73" s="8" t="s">
        <v>3178</v>
      </c>
      <c r="E73" s="8" t="s">
        <v>3179</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5</v>
      </c>
      <c r="Z73" s="7">
        <v>5</v>
      </c>
      <c r="AA73" s="7">
        <v>0</v>
      </c>
      <c r="AB73" s="7">
        <v>0</v>
      </c>
      <c r="AC73" s="7">
        <v>0</v>
      </c>
      <c r="AD73" s="7">
        <v>0</v>
      </c>
      <c r="AE73" s="7">
        <v>0</v>
      </c>
      <c r="AF73" s="7">
        <v>0</v>
      </c>
      <c r="AG73" s="7">
        <v>10</v>
      </c>
      <c r="AH73" s="7">
        <v>0</v>
      </c>
      <c r="AI73" s="7">
        <v>0</v>
      </c>
      <c r="AJ73" s="7">
        <v>0</v>
      </c>
      <c r="AK73" s="7">
        <v>0</v>
      </c>
      <c r="AL73" s="7" t="s">
        <v>42</v>
      </c>
      <c r="AM73" s="7" t="s">
        <v>3230</v>
      </c>
      <c r="AN73" s="10" t="s">
        <v>3228</v>
      </c>
      <c r="AO73" s="7" t="s">
        <v>3230</v>
      </c>
      <c r="AP73" s="7">
        <v>0</v>
      </c>
      <c r="AQ73" s="7">
        <v>0</v>
      </c>
      <c r="AR73" s="9">
        <v>0</v>
      </c>
      <c r="AS73" s="9">
        <v>5</v>
      </c>
      <c r="AT73" s="10" t="s">
        <v>2894</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1</v>
      </c>
      <c r="BJ73" s="9">
        <v>0</v>
      </c>
      <c r="BK73" s="9">
        <v>1</v>
      </c>
      <c r="BL73" s="9">
        <v>0</v>
      </c>
      <c r="BM73" s="9">
        <v>0</v>
      </c>
      <c r="BN73" s="9">
        <v>0</v>
      </c>
      <c r="BO73" s="9">
        <v>0</v>
      </c>
    </row>
    <row r="74" spans="1:67" s="9" customFormat="1" ht="15.75" customHeight="1" x14ac:dyDescent="0.2">
      <c r="A74" s="7">
        <f t="shared" si="2"/>
        <v>7072</v>
      </c>
      <c r="B74" s="7" t="s">
        <v>2176</v>
      </c>
      <c r="C74" s="7" t="s">
        <v>3191</v>
      </c>
      <c r="D74" s="8" t="s">
        <v>3181</v>
      </c>
      <c r="E74" s="8" t="s">
        <v>3180</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5</v>
      </c>
      <c r="Z74" s="7">
        <v>5</v>
      </c>
      <c r="AA74" s="7">
        <v>0</v>
      </c>
      <c r="AB74" s="7">
        <v>0</v>
      </c>
      <c r="AC74" s="7">
        <v>0</v>
      </c>
      <c r="AD74" s="7">
        <v>0</v>
      </c>
      <c r="AE74" s="7">
        <v>0</v>
      </c>
      <c r="AF74" s="7">
        <v>0</v>
      </c>
      <c r="AG74" s="7">
        <v>10</v>
      </c>
      <c r="AH74" s="7">
        <v>0</v>
      </c>
      <c r="AI74" s="7">
        <v>0</v>
      </c>
      <c r="AJ74" s="7">
        <v>0</v>
      </c>
      <c r="AK74" s="7">
        <v>0</v>
      </c>
      <c r="AL74" s="7" t="s">
        <v>42</v>
      </c>
      <c r="AM74" s="7" t="s">
        <v>3230</v>
      </c>
      <c r="AN74" s="10" t="s">
        <v>3228</v>
      </c>
      <c r="AO74" s="7" t="s">
        <v>3230</v>
      </c>
      <c r="AP74" s="7">
        <v>0</v>
      </c>
      <c r="AQ74" s="7">
        <v>0</v>
      </c>
      <c r="AR74" s="9">
        <v>0</v>
      </c>
      <c r="AS74" s="9">
        <v>5</v>
      </c>
      <c r="AT74" s="10" t="s">
        <v>2894</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1</v>
      </c>
      <c r="BJ74" s="9">
        <v>0</v>
      </c>
      <c r="BK74" s="9">
        <v>1</v>
      </c>
      <c r="BL74" s="9">
        <v>0</v>
      </c>
      <c r="BM74" s="9">
        <v>0</v>
      </c>
      <c r="BN74" s="9">
        <v>0</v>
      </c>
      <c r="BO74" s="9">
        <v>0</v>
      </c>
    </row>
    <row r="75" spans="1:67" s="9" customFormat="1" ht="15.75" customHeight="1" x14ac:dyDescent="0.2">
      <c r="A75" s="7">
        <f t="shared" si="2"/>
        <v>7073</v>
      </c>
      <c r="B75" s="7" t="s">
        <v>2176</v>
      </c>
      <c r="C75" s="7" t="s">
        <v>3192</v>
      </c>
      <c r="D75" s="8" t="s">
        <v>3182</v>
      </c>
      <c r="E75" s="8" t="s">
        <v>3186</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5</v>
      </c>
      <c r="Z75" s="7">
        <v>5</v>
      </c>
      <c r="AA75" s="7">
        <v>0</v>
      </c>
      <c r="AB75" s="7">
        <v>0</v>
      </c>
      <c r="AC75" s="7">
        <v>0</v>
      </c>
      <c r="AD75" s="7">
        <v>0</v>
      </c>
      <c r="AE75" s="7">
        <v>0</v>
      </c>
      <c r="AF75" s="7">
        <v>0</v>
      </c>
      <c r="AG75" s="7">
        <v>10</v>
      </c>
      <c r="AH75" s="7">
        <v>0</v>
      </c>
      <c r="AI75" s="7">
        <v>0</v>
      </c>
      <c r="AJ75" s="7">
        <v>0</v>
      </c>
      <c r="AK75" s="7">
        <v>0</v>
      </c>
      <c r="AL75" s="7" t="s">
        <v>42</v>
      </c>
      <c r="AM75" s="7" t="s">
        <v>3230</v>
      </c>
      <c r="AN75" s="10" t="s">
        <v>3228</v>
      </c>
      <c r="AO75" s="7" t="s">
        <v>3230</v>
      </c>
      <c r="AP75" s="7">
        <v>0</v>
      </c>
      <c r="AQ75" s="7">
        <v>0</v>
      </c>
      <c r="AR75" s="9">
        <v>0</v>
      </c>
      <c r="AS75" s="9">
        <v>5</v>
      </c>
      <c r="AT75" s="10" t="s">
        <v>2894</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1</v>
      </c>
      <c r="BJ75" s="9">
        <v>0</v>
      </c>
      <c r="BK75" s="9">
        <v>1</v>
      </c>
      <c r="BL75" s="9">
        <v>0</v>
      </c>
      <c r="BM75" s="9">
        <v>0</v>
      </c>
      <c r="BN75" s="9">
        <v>0</v>
      </c>
      <c r="BO75" s="9">
        <v>0</v>
      </c>
    </row>
    <row r="76" spans="1:67" s="9" customFormat="1" ht="15.75" customHeight="1" x14ac:dyDescent="0.2">
      <c r="A76" s="7">
        <f t="shared" si="2"/>
        <v>7074</v>
      </c>
      <c r="B76" s="7" t="s">
        <v>2176</v>
      </c>
      <c r="C76" s="7" t="s">
        <v>3193</v>
      </c>
      <c r="D76" s="8" t="s">
        <v>3183</v>
      </c>
      <c r="E76" s="8" t="s">
        <v>3187</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5</v>
      </c>
      <c r="Z76" s="7">
        <v>5</v>
      </c>
      <c r="AA76" s="7">
        <v>0</v>
      </c>
      <c r="AB76" s="7">
        <v>0</v>
      </c>
      <c r="AC76" s="7">
        <v>0</v>
      </c>
      <c r="AD76" s="7">
        <v>0</v>
      </c>
      <c r="AE76" s="7">
        <v>0</v>
      </c>
      <c r="AF76" s="7">
        <v>0</v>
      </c>
      <c r="AG76" s="7">
        <v>10</v>
      </c>
      <c r="AH76" s="7">
        <v>0</v>
      </c>
      <c r="AI76" s="7">
        <v>0</v>
      </c>
      <c r="AJ76" s="7">
        <v>0</v>
      </c>
      <c r="AK76" s="7">
        <v>0</v>
      </c>
      <c r="AL76" s="7" t="s">
        <v>42</v>
      </c>
      <c r="AM76" s="7" t="s">
        <v>3230</v>
      </c>
      <c r="AN76" s="10" t="s">
        <v>3228</v>
      </c>
      <c r="AO76" s="7" t="s">
        <v>3230</v>
      </c>
      <c r="AP76" s="7">
        <v>0</v>
      </c>
      <c r="AQ76" s="7">
        <v>0</v>
      </c>
      <c r="AR76" s="9">
        <v>0</v>
      </c>
      <c r="AS76" s="9">
        <v>5</v>
      </c>
      <c r="AT76" s="10" t="s">
        <v>2894</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row>
    <row r="77" spans="1:67" s="9" customFormat="1" ht="15.75" customHeight="1" x14ac:dyDescent="0.2">
      <c r="A77" s="7">
        <f t="shared" si="2"/>
        <v>7075</v>
      </c>
      <c r="B77" s="7" t="s">
        <v>2176</v>
      </c>
      <c r="C77" s="7" t="s">
        <v>3194</v>
      </c>
      <c r="D77" s="8" t="s">
        <v>3184</v>
      </c>
      <c r="E77" s="8" t="s">
        <v>3188</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5</v>
      </c>
      <c r="Z77" s="7">
        <v>5</v>
      </c>
      <c r="AA77" s="7">
        <v>0</v>
      </c>
      <c r="AB77" s="7">
        <v>0</v>
      </c>
      <c r="AC77" s="7">
        <v>0</v>
      </c>
      <c r="AD77" s="7">
        <v>0</v>
      </c>
      <c r="AE77" s="7">
        <v>0</v>
      </c>
      <c r="AF77" s="7">
        <v>0</v>
      </c>
      <c r="AG77" s="7">
        <v>10</v>
      </c>
      <c r="AH77" s="7">
        <v>0</v>
      </c>
      <c r="AI77" s="7">
        <v>0</v>
      </c>
      <c r="AJ77" s="7">
        <v>0</v>
      </c>
      <c r="AK77" s="7">
        <v>0</v>
      </c>
      <c r="AL77" s="7" t="s">
        <v>42</v>
      </c>
      <c r="AM77" s="7" t="s">
        <v>3230</v>
      </c>
      <c r="AN77" s="10" t="s">
        <v>3228</v>
      </c>
      <c r="AO77" s="7" t="s">
        <v>3230</v>
      </c>
      <c r="AP77" s="7">
        <v>0</v>
      </c>
      <c r="AQ77" s="7">
        <v>0</v>
      </c>
      <c r="AR77" s="9">
        <v>0</v>
      </c>
      <c r="AS77" s="9">
        <v>5</v>
      </c>
      <c r="AT77" s="10" t="s">
        <v>2894</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1</v>
      </c>
      <c r="BJ77" s="9">
        <v>0</v>
      </c>
      <c r="BK77" s="9">
        <v>1</v>
      </c>
      <c r="BL77" s="9">
        <v>0</v>
      </c>
      <c r="BM77" s="9">
        <v>0</v>
      </c>
      <c r="BN77" s="9">
        <v>0</v>
      </c>
      <c r="BO77" s="9">
        <v>0</v>
      </c>
    </row>
    <row r="78" spans="1:67" s="9" customFormat="1" ht="15.75" customHeight="1" x14ac:dyDescent="0.2">
      <c r="A78" s="7">
        <f t="shared" si="2"/>
        <v>7076</v>
      </c>
      <c r="B78" s="7" t="s">
        <v>2176</v>
      </c>
      <c r="C78" s="7" t="s">
        <v>3195</v>
      </c>
      <c r="D78" s="8" t="s">
        <v>3185</v>
      </c>
      <c r="E78" s="8" t="s">
        <v>3189</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5</v>
      </c>
      <c r="Z78" s="7">
        <v>5</v>
      </c>
      <c r="AA78" s="7">
        <v>0</v>
      </c>
      <c r="AB78" s="7">
        <v>0</v>
      </c>
      <c r="AC78" s="7">
        <v>0</v>
      </c>
      <c r="AD78" s="7">
        <v>0</v>
      </c>
      <c r="AE78" s="7">
        <v>0</v>
      </c>
      <c r="AF78" s="7">
        <v>0</v>
      </c>
      <c r="AG78" s="7">
        <v>10</v>
      </c>
      <c r="AH78" s="7">
        <v>0</v>
      </c>
      <c r="AI78" s="7">
        <v>0</v>
      </c>
      <c r="AJ78" s="7">
        <v>0</v>
      </c>
      <c r="AK78" s="7">
        <v>0</v>
      </c>
      <c r="AL78" s="7" t="s">
        <v>42</v>
      </c>
      <c r="AM78" s="7" t="s">
        <v>3230</v>
      </c>
      <c r="AN78" s="10" t="s">
        <v>3228</v>
      </c>
      <c r="AO78" s="7" t="s">
        <v>3230</v>
      </c>
      <c r="AP78" s="7">
        <v>0</v>
      </c>
      <c r="AQ78" s="7">
        <v>0</v>
      </c>
      <c r="AR78" s="9">
        <v>0</v>
      </c>
      <c r="AS78" s="9">
        <v>5</v>
      </c>
      <c r="AT78" s="10" t="s">
        <v>2894</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row>
    <row r="79" spans="1:67" s="37" customFormat="1" ht="15.75" customHeight="1" x14ac:dyDescent="0.2">
      <c r="A79" s="34">
        <f t="shared" si="2"/>
        <v>7077</v>
      </c>
      <c r="B79" s="34" t="s">
        <v>2176</v>
      </c>
      <c r="C79" s="34" t="s">
        <v>3044</v>
      </c>
      <c r="D79" s="39" t="s">
        <v>3045</v>
      </c>
      <c r="E79" s="39" t="s">
        <v>3043</v>
      </c>
      <c r="F79" s="34">
        <v>0</v>
      </c>
      <c r="G79" s="34">
        <v>0</v>
      </c>
      <c r="H79" s="34">
        <v>0</v>
      </c>
      <c r="I79" s="34">
        <v>50</v>
      </c>
      <c r="J79" s="34">
        <v>15</v>
      </c>
      <c r="K79" s="34">
        <v>1</v>
      </c>
      <c r="L79" s="34">
        <v>0</v>
      </c>
      <c r="M79" s="34">
        <v>7</v>
      </c>
      <c r="N79" s="34">
        <v>0</v>
      </c>
      <c r="O79" s="34">
        <v>5</v>
      </c>
      <c r="P79" s="34">
        <v>0</v>
      </c>
      <c r="Q79" s="34">
        <v>0</v>
      </c>
      <c r="R79" s="34">
        <v>0</v>
      </c>
      <c r="S79" s="34">
        <v>0</v>
      </c>
      <c r="T79" s="34">
        <v>0</v>
      </c>
      <c r="U79" s="34">
        <v>0</v>
      </c>
      <c r="V79" s="34">
        <v>0</v>
      </c>
      <c r="W79" s="34">
        <v>0</v>
      </c>
      <c r="X79" s="34">
        <v>3</v>
      </c>
      <c r="Y79" s="34">
        <v>5</v>
      </c>
      <c r="Z79" s="34">
        <v>5</v>
      </c>
      <c r="AA79" s="34">
        <v>0</v>
      </c>
      <c r="AB79" s="34">
        <v>0</v>
      </c>
      <c r="AC79" s="34">
        <v>0</v>
      </c>
      <c r="AD79" s="34">
        <v>0</v>
      </c>
      <c r="AE79" s="34">
        <v>0</v>
      </c>
      <c r="AF79" s="34">
        <v>0</v>
      </c>
      <c r="AG79" s="34">
        <v>0</v>
      </c>
      <c r="AH79" s="34">
        <v>0</v>
      </c>
      <c r="AI79" s="34">
        <v>0</v>
      </c>
      <c r="AJ79" s="34">
        <v>0</v>
      </c>
      <c r="AK79" s="34">
        <v>0</v>
      </c>
      <c r="AL79" s="34" t="s">
        <v>42</v>
      </c>
      <c r="AM79" s="34" t="s">
        <v>3362</v>
      </c>
      <c r="AN79" s="38" t="s">
        <v>3049</v>
      </c>
      <c r="AO79" s="34" t="s">
        <v>50</v>
      </c>
      <c r="AP79" s="34">
        <v>0</v>
      </c>
      <c r="AQ79" s="34">
        <v>0</v>
      </c>
      <c r="AR79" s="37">
        <v>0</v>
      </c>
      <c r="AS79" s="37">
        <v>5</v>
      </c>
      <c r="AT79" s="38" t="s">
        <v>2894</v>
      </c>
      <c r="AU79" s="38" t="s">
        <v>50</v>
      </c>
      <c r="AV79" s="38" t="s">
        <v>50</v>
      </c>
      <c r="AW79" s="38" t="s">
        <v>50</v>
      </c>
      <c r="AX79" s="38" t="s">
        <v>50</v>
      </c>
      <c r="AY79" s="38" t="s">
        <v>50</v>
      </c>
      <c r="AZ79" s="38" t="s">
        <v>50</v>
      </c>
      <c r="BA79" s="38" t="s">
        <v>50</v>
      </c>
      <c r="BB79" s="38" t="s">
        <v>50</v>
      </c>
      <c r="BC79" s="38" t="s">
        <v>50</v>
      </c>
      <c r="BD79" s="38" t="s">
        <v>50</v>
      </c>
      <c r="BE79" s="38" t="s">
        <v>50</v>
      </c>
      <c r="BF79" s="38" t="s">
        <v>50</v>
      </c>
      <c r="BG79" s="38" t="s">
        <v>50</v>
      </c>
      <c r="BH79" s="38" t="s">
        <v>50</v>
      </c>
      <c r="BI79" s="37">
        <v>1</v>
      </c>
      <c r="BJ79" s="37">
        <v>0</v>
      </c>
      <c r="BK79" s="37">
        <v>1</v>
      </c>
      <c r="BL79" s="37">
        <v>0</v>
      </c>
      <c r="BM79" s="37">
        <v>0</v>
      </c>
      <c r="BN79" s="37">
        <v>0</v>
      </c>
      <c r="BO79" s="37">
        <v>0</v>
      </c>
    </row>
    <row r="80" spans="1:67" s="37" customFormat="1" ht="15.75" customHeight="1" x14ac:dyDescent="0.2">
      <c r="A80" s="34">
        <f t="shared" si="2"/>
        <v>7078</v>
      </c>
      <c r="B80" s="34" t="s">
        <v>2176</v>
      </c>
      <c r="C80" s="34" t="s">
        <v>3048</v>
      </c>
      <c r="D80" s="39" t="s">
        <v>3046</v>
      </c>
      <c r="E80" s="39" t="s">
        <v>3047</v>
      </c>
      <c r="F80" s="34">
        <v>0</v>
      </c>
      <c r="G80" s="34">
        <v>0</v>
      </c>
      <c r="H80" s="34">
        <v>0</v>
      </c>
      <c r="I80" s="34">
        <v>50</v>
      </c>
      <c r="J80" s="34">
        <v>15</v>
      </c>
      <c r="K80" s="34">
        <v>1</v>
      </c>
      <c r="L80" s="34">
        <v>0</v>
      </c>
      <c r="M80" s="34">
        <v>7</v>
      </c>
      <c r="N80" s="34">
        <v>0</v>
      </c>
      <c r="O80" s="34">
        <v>5</v>
      </c>
      <c r="P80" s="34">
        <v>0</v>
      </c>
      <c r="Q80" s="34">
        <v>0</v>
      </c>
      <c r="R80" s="34">
        <v>0</v>
      </c>
      <c r="S80" s="34">
        <v>0</v>
      </c>
      <c r="T80" s="34">
        <v>0</v>
      </c>
      <c r="U80" s="34">
        <v>0</v>
      </c>
      <c r="V80" s="34">
        <v>0</v>
      </c>
      <c r="W80" s="34">
        <v>0</v>
      </c>
      <c r="X80" s="34">
        <v>3</v>
      </c>
      <c r="Y80" s="34">
        <v>5</v>
      </c>
      <c r="Z80" s="34">
        <v>5</v>
      </c>
      <c r="AA80" s="34">
        <v>0</v>
      </c>
      <c r="AB80" s="34">
        <v>0</v>
      </c>
      <c r="AC80" s="34">
        <v>0</v>
      </c>
      <c r="AD80" s="34">
        <v>0</v>
      </c>
      <c r="AE80" s="34">
        <v>0</v>
      </c>
      <c r="AF80" s="34">
        <v>0</v>
      </c>
      <c r="AG80" s="34">
        <v>0</v>
      </c>
      <c r="AH80" s="34">
        <v>0</v>
      </c>
      <c r="AI80" s="34">
        <v>0</v>
      </c>
      <c r="AJ80" s="34">
        <v>0</v>
      </c>
      <c r="AK80" s="34">
        <v>0</v>
      </c>
      <c r="AL80" s="34" t="s">
        <v>42</v>
      </c>
      <c r="AM80" s="34" t="s">
        <v>3362</v>
      </c>
      <c r="AN80" s="38" t="s">
        <v>3049</v>
      </c>
      <c r="AO80" s="34" t="s">
        <v>50</v>
      </c>
      <c r="AP80" s="34">
        <v>0</v>
      </c>
      <c r="AQ80" s="34">
        <v>0</v>
      </c>
      <c r="AR80" s="37">
        <v>0</v>
      </c>
      <c r="AS80" s="37">
        <v>5</v>
      </c>
      <c r="AT80" s="38" t="s">
        <v>2894</v>
      </c>
      <c r="AU80" s="38" t="s">
        <v>50</v>
      </c>
      <c r="AV80" s="38" t="s">
        <v>50</v>
      </c>
      <c r="AW80" s="38" t="s">
        <v>50</v>
      </c>
      <c r="AX80" s="38" t="s">
        <v>50</v>
      </c>
      <c r="AY80" s="38" t="s">
        <v>50</v>
      </c>
      <c r="AZ80" s="38" t="s">
        <v>50</v>
      </c>
      <c r="BA80" s="38" t="s">
        <v>50</v>
      </c>
      <c r="BB80" s="38" t="s">
        <v>50</v>
      </c>
      <c r="BC80" s="38" t="s">
        <v>50</v>
      </c>
      <c r="BD80" s="38" t="s">
        <v>50</v>
      </c>
      <c r="BE80" s="38" t="s">
        <v>50</v>
      </c>
      <c r="BF80" s="38" t="s">
        <v>50</v>
      </c>
      <c r="BG80" s="38" t="s">
        <v>50</v>
      </c>
      <c r="BH80" s="38" t="s">
        <v>50</v>
      </c>
      <c r="BI80" s="37">
        <v>1</v>
      </c>
      <c r="BJ80" s="37">
        <v>0</v>
      </c>
      <c r="BK80" s="37">
        <v>1</v>
      </c>
      <c r="BL80" s="37">
        <v>0</v>
      </c>
      <c r="BM80" s="37">
        <v>0</v>
      </c>
      <c r="BN80" s="37">
        <v>0</v>
      </c>
      <c r="BO80" s="37">
        <v>0</v>
      </c>
    </row>
    <row r="81" spans="1:67" s="37" customFormat="1" ht="15.75" customHeight="1" x14ac:dyDescent="0.2">
      <c r="A81" s="34">
        <f t="shared" si="2"/>
        <v>7079</v>
      </c>
      <c r="B81" s="34" t="s">
        <v>2176</v>
      </c>
      <c r="C81" s="34" t="s">
        <v>3050</v>
      </c>
      <c r="D81" s="39" t="s">
        <v>3110</v>
      </c>
      <c r="E81" s="39" t="s">
        <v>3121</v>
      </c>
      <c r="F81" s="34">
        <v>0</v>
      </c>
      <c r="G81" s="34">
        <v>0</v>
      </c>
      <c r="H81" s="34">
        <v>0</v>
      </c>
      <c r="I81" s="34">
        <v>50</v>
      </c>
      <c r="J81" s="34">
        <v>15</v>
      </c>
      <c r="K81" s="34">
        <v>1</v>
      </c>
      <c r="L81" s="34">
        <v>0</v>
      </c>
      <c r="M81" s="34">
        <v>7</v>
      </c>
      <c r="N81" s="34">
        <v>0</v>
      </c>
      <c r="O81" s="34">
        <v>5</v>
      </c>
      <c r="P81" s="34">
        <v>0</v>
      </c>
      <c r="Q81" s="34">
        <v>0</v>
      </c>
      <c r="R81" s="34">
        <v>0</v>
      </c>
      <c r="S81" s="34">
        <v>0</v>
      </c>
      <c r="T81" s="34">
        <v>0</v>
      </c>
      <c r="U81" s="34">
        <v>0</v>
      </c>
      <c r="V81" s="34">
        <v>0</v>
      </c>
      <c r="W81" s="34">
        <v>0</v>
      </c>
      <c r="X81" s="34">
        <v>3</v>
      </c>
      <c r="Y81" s="34">
        <v>5</v>
      </c>
      <c r="Z81" s="34">
        <v>5</v>
      </c>
      <c r="AA81" s="34">
        <v>0</v>
      </c>
      <c r="AB81" s="34">
        <v>0</v>
      </c>
      <c r="AC81" s="34">
        <v>0</v>
      </c>
      <c r="AD81" s="34">
        <v>0</v>
      </c>
      <c r="AE81" s="34">
        <v>0</v>
      </c>
      <c r="AF81" s="34">
        <v>0</v>
      </c>
      <c r="AG81" s="34">
        <v>0</v>
      </c>
      <c r="AH81" s="34">
        <v>0</v>
      </c>
      <c r="AI81" s="34">
        <v>0</v>
      </c>
      <c r="AJ81" s="34">
        <v>0</v>
      </c>
      <c r="AK81" s="34">
        <v>0</v>
      </c>
      <c r="AL81" s="34" t="s">
        <v>42</v>
      </c>
      <c r="AM81" s="34" t="s">
        <v>3362</v>
      </c>
      <c r="AN81" s="38" t="s">
        <v>3057</v>
      </c>
      <c r="AO81" s="34" t="s">
        <v>50</v>
      </c>
      <c r="AP81" s="34">
        <v>0</v>
      </c>
      <c r="AQ81" s="34">
        <v>0</v>
      </c>
      <c r="AR81" s="37">
        <v>0</v>
      </c>
      <c r="AS81" s="37">
        <v>5</v>
      </c>
      <c r="AT81" s="38" t="s">
        <v>2894</v>
      </c>
      <c r="AU81" s="38" t="s">
        <v>50</v>
      </c>
      <c r="AV81" s="38" t="s">
        <v>50</v>
      </c>
      <c r="AW81" s="38" t="s">
        <v>50</v>
      </c>
      <c r="AX81" s="38" t="s">
        <v>50</v>
      </c>
      <c r="AY81" s="38" t="s">
        <v>50</v>
      </c>
      <c r="AZ81" s="38" t="s">
        <v>50</v>
      </c>
      <c r="BA81" s="38" t="s">
        <v>50</v>
      </c>
      <c r="BB81" s="38" t="s">
        <v>50</v>
      </c>
      <c r="BC81" s="38" t="s">
        <v>50</v>
      </c>
      <c r="BD81" s="38" t="s">
        <v>50</v>
      </c>
      <c r="BE81" s="38" t="s">
        <v>50</v>
      </c>
      <c r="BF81" s="38" t="s">
        <v>50</v>
      </c>
      <c r="BG81" s="38" t="s">
        <v>50</v>
      </c>
      <c r="BH81" s="38" t="s">
        <v>50</v>
      </c>
      <c r="BI81" s="37">
        <v>1</v>
      </c>
      <c r="BJ81" s="37">
        <v>0</v>
      </c>
      <c r="BK81" s="37">
        <v>1</v>
      </c>
      <c r="BL81" s="37">
        <v>0</v>
      </c>
      <c r="BM81" s="37">
        <v>0</v>
      </c>
      <c r="BN81" s="37">
        <v>0</v>
      </c>
      <c r="BO81" s="37">
        <v>0</v>
      </c>
    </row>
    <row r="82" spans="1:67" s="37" customFormat="1" ht="15.75" customHeight="1" x14ac:dyDescent="0.2">
      <c r="A82" s="34">
        <f t="shared" si="2"/>
        <v>7080</v>
      </c>
      <c r="B82" s="34" t="s">
        <v>2176</v>
      </c>
      <c r="C82" s="34" t="s">
        <v>3051</v>
      </c>
      <c r="D82" s="39" t="s">
        <v>3109</v>
      </c>
      <c r="E82" s="39" t="s">
        <v>3120</v>
      </c>
      <c r="F82" s="34">
        <v>0</v>
      </c>
      <c r="G82" s="34">
        <v>0</v>
      </c>
      <c r="H82" s="34">
        <v>0</v>
      </c>
      <c r="I82" s="34">
        <v>50</v>
      </c>
      <c r="J82" s="34">
        <v>15</v>
      </c>
      <c r="K82" s="34">
        <v>1</v>
      </c>
      <c r="L82" s="34">
        <v>0</v>
      </c>
      <c r="M82" s="34">
        <v>7</v>
      </c>
      <c r="N82" s="34">
        <v>0</v>
      </c>
      <c r="O82" s="34">
        <v>5</v>
      </c>
      <c r="P82" s="34">
        <v>0</v>
      </c>
      <c r="Q82" s="34">
        <v>0</v>
      </c>
      <c r="R82" s="34">
        <v>0</v>
      </c>
      <c r="S82" s="34">
        <v>0</v>
      </c>
      <c r="T82" s="34">
        <v>0</v>
      </c>
      <c r="U82" s="34">
        <v>0</v>
      </c>
      <c r="V82" s="34">
        <v>0</v>
      </c>
      <c r="W82" s="34">
        <v>0</v>
      </c>
      <c r="X82" s="34">
        <v>3</v>
      </c>
      <c r="Y82" s="34">
        <v>5</v>
      </c>
      <c r="Z82" s="34">
        <v>5</v>
      </c>
      <c r="AA82" s="34">
        <v>0</v>
      </c>
      <c r="AB82" s="34">
        <v>0</v>
      </c>
      <c r="AC82" s="34">
        <v>0</v>
      </c>
      <c r="AD82" s="34">
        <v>0</v>
      </c>
      <c r="AE82" s="34">
        <v>0</v>
      </c>
      <c r="AF82" s="34">
        <v>0</v>
      </c>
      <c r="AG82" s="34">
        <v>0</v>
      </c>
      <c r="AH82" s="34">
        <v>0</v>
      </c>
      <c r="AI82" s="34">
        <v>0</v>
      </c>
      <c r="AJ82" s="34">
        <v>0</v>
      </c>
      <c r="AK82" s="34">
        <v>0</v>
      </c>
      <c r="AL82" s="34" t="s">
        <v>42</v>
      </c>
      <c r="AM82" s="34" t="s">
        <v>3362</v>
      </c>
      <c r="AN82" s="38" t="s">
        <v>3057</v>
      </c>
      <c r="AO82" s="34" t="s">
        <v>50</v>
      </c>
      <c r="AP82" s="34">
        <v>0</v>
      </c>
      <c r="AQ82" s="34">
        <v>0</v>
      </c>
      <c r="AR82" s="37">
        <v>0</v>
      </c>
      <c r="AS82" s="37">
        <v>5</v>
      </c>
      <c r="AT82" s="38" t="s">
        <v>2894</v>
      </c>
      <c r="AU82" s="38" t="s">
        <v>50</v>
      </c>
      <c r="AV82" s="38" t="s">
        <v>50</v>
      </c>
      <c r="AW82" s="38" t="s">
        <v>50</v>
      </c>
      <c r="AX82" s="38" t="s">
        <v>50</v>
      </c>
      <c r="AY82" s="38" t="s">
        <v>50</v>
      </c>
      <c r="AZ82" s="38" t="s">
        <v>50</v>
      </c>
      <c r="BA82" s="38" t="s">
        <v>50</v>
      </c>
      <c r="BB82" s="38" t="s">
        <v>50</v>
      </c>
      <c r="BC82" s="38" t="s">
        <v>50</v>
      </c>
      <c r="BD82" s="38" t="s">
        <v>50</v>
      </c>
      <c r="BE82" s="38" t="s">
        <v>50</v>
      </c>
      <c r="BF82" s="38" t="s">
        <v>50</v>
      </c>
      <c r="BG82" s="38" t="s">
        <v>50</v>
      </c>
      <c r="BH82" s="38" t="s">
        <v>50</v>
      </c>
      <c r="BI82" s="37">
        <v>1</v>
      </c>
      <c r="BJ82" s="37">
        <v>0</v>
      </c>
      <c r="BK82" s="37">
        <v>1</v>
      </c>
      <c r="BL82" s="37">
        <v>0</v>
      </c>
      <c r="BM82" s="37">
        <v>0</v>
      </c>
      <c r="BN82" s="37">
        <v>0</v>
      </c>
      <c r="BO82" s="37">
        <v>0</v>
      </c>
    </row>
    <row r="83" spans="1:67" s="37" customFormat="1" ht="15.75" customHeight="1" x14ac:dyDescent="0.2">
      <c r="A83" s="34">
        <f t="shared" si="2"/>
        <v>7081</v>
      </c>
      <c r="B83" s="34" t="s">
        <v>2176</v>
      </c>
      <c r="C83" s="34" t="s">
        <v>3064</v>
      </c>
      <c r="D83" s="39" t="s">
        <v>3116</v>
      </c>
      <c r="E83" s="39" t="s">
        <v>3118</v>
      </c>
      <c r="F83" s="34">
        <v>0</v>
      </c>
      <c r="G83" s="34">
        <v>0</v>
      </c>
      <c r="H83" s="34">
        <v>0</v>
      </c>
      <c r="I83" s="34">
        <v>50</v>
      </c>
      <c r="J83" s="34">
        <v>15</v>
      </c>
      <c r="K83" s="34">
        <v>1</v>
      </c>
      <c r="L83" s="34">
        <v>0</v>
      </c>
      <c r="M83" s="34">
        <v>7</v>
      </c>
      <c r="N83" s="34">
        <v>0</v>
      </c>
      <c r="O83" s="34">
        <v>5</v>
      </c>
      <c r="P83" s="34">
        <v>0</v>
      </c>
      <c r="Q83" s="34">
        <v>0</v>
      </c>
      <c r="R83" s="34">
        <v>0</v>
      </c>
      <c r="S83" s="34">
        <v>0</v>
      </c>
      <c r="T83" s="34">
        <v>0</v>
      </c>
      <c r="U83" s="34">
        <v>0</v>
      </c>
      <c r="V83" s="34">
        <v>0</v>
      </c>
      <c r="W83" s="34">
        <v>0</v>
      </c>
      <c r="X83" s="34">
        <v>3</v>
      </c>
      <c r="Y83" s="34">
        <v>5</v>
      </c>
      <c r="Z83" s="34">
        <v>5</v>
      </c>
      <c r="AA83" s="34">
        <v>0</v>
      </c>
      <c r="AB83" s="34">
        <v>0</v>
      </c>
      <c r="AC83" s="34">
        <v>0</v>
      </c>
      <c r="AD83" s="34">
        <v>0</v>
      </c>
      <c r="AE83" s="34">
        <v>0</v>
      </c>
      <c r="AF83" s="34">
        <v>0</v>
      </c>
      <c r="AG83" s="34">
        <v>0</v>
      </c>
      <c r="AH83" s="34">
        <v>0</v>
      </c>
      <c r="AI83" s="34">
        <v>0</v>
      </c>
      <c r="AJ83" s="34">
        <v>0</v>
      </c>
      <c r="AK83" s="34">
        <v>0</v>
      </c>
      <c r="AL83" s="34" t="s">
        <v>42</v>
      </c>
      <c r="AM83" s="34" t="s">
        <v>3362</v>
      </c>
      <c r="AN83" s="38" t="s">
        <v>3066</v>
      </c>
      <c r="AO83" s="34" t="s">
        <v>50</v>
      </c>
      <c r="AP83" s="34">
        <v>0</v>
      </c>
      <c r="AQ83" s="34">
        <v>0</v>
      </c>
      <c r="AR83" s="37">
        <v>0</v>
      </c>
      <c r="AS83" s="37">
        <v>5</v>
      </c>
      <c r="AT83" s="38" t="s">
        <v>2894</v>
      </c>
      <c r="AU83" s="38" t="s">
        <v>50</v>
      </c>
      <c r="AV83" s="38" t="s">
        <v>50</v>
      </c>
      <c r="AW83" s="38" t="s">
        <v>50</v>
      </c>
      <c r="AX83" s="38" t="s">
        <v>50</v>
      </c>
      <c r="AY83" s="38" t="s">
        <v>50</v>
      </c>
      <c r="AZ83" s="38" t="s">
        <v>50</v>
      </c>
      <c r="BA83" s="38" t="s">
        <v>50</v>
      </c>
      <c r="BB83" s="38" t="s">
        <v>50</v>
      </c>
      <c r="BC83" s="38" t="s">
        <v>50</v>
      </c>
      <c r="BD83" s="38" t="s">
        <v>50</v>
      </c>
      <c r="BE83" s="38" t="s">
        <v>50</v>
      </c>
      <c r="BF83" s="38" t="s">
        <v>50</v>
      </c>
      <c r="BG83" s="38" t="s">
        <v>50</v>
      </c>
      <c r="BH83" s="38" t="s">
        <v>50</v>
      </c>
      <c r="BI83" s="37">
        <v>1</v>
      </c>
      <c r="BJ83" s="37">
        <v>0</v>
      </c>
      <c r="BK83" s="37">
        <v>1</v>
      </c>
      <c r="BL83" s="37">
        <v>0</v>
      </c>
      <c r="BM83" s="37">
        <v>0</v>
      </c>
      <c r="BN83" s="37">
        <v>0</v>
      </c>
      <c r="BO83" s="37">
        <v>0</v>
      </c>
    </row>
    <row r="84" spans="1:67" s="37" customFormat="1" ht="15.75" customHeight="1" x14ac:dyDescent="0.2">
      <c r="A84" s="34">
        <f t="shared" si="2"/>
        <v>7082</v>
      </c>
      <c r="B84" s="34" t="s">
        <v>2176</v>
      </c>
      <c r="C84" s="34" t="s">
        <v>3065</v>
      </c>
      <c r="D84" s="39" t="s">
        <v>3117</v>
      </c>
      <c r="E84" s="39" t="s">
        <v>3119</v>
      </c>
      <c r="F84" s="34">
        <v>0</v>
      </c>
      <c r="G84" s="34">
        <v>0</v>
      </c>
      <c r="H84" s="34">
        <v>0</v>
      </c>
      <c r="I84" s="34">
        <v>50</v>
      </c>
      <c r="J84" s="34">
        <v>15</v>
      </c>
      <c r="K84" s="34">
        <v>1</v>
      </c>
      <c r="L84" s="34">
        <v>0</v>
      </c>
      <c r="M84" s="34">
        <v>7</v>
      </c>
      <c r="N84" s="34">
        <v>0</v>
      </c>
      <c r="O84" s="34">
        <v>5</v>
      </c>
      <c r="P84" s="34">
        <v>0</v>
      </c>
      <c r="Q84" s="34">
        <v>0</v>
      </c>
      <c r="R84" s="34">
        <v>0</v>
      </c>
      <c r="S84" s="34">
        <v>0</v>
      </c>
      <c r="T84" s="34">
        <v>0</v>
      </c>
      <c r="U84" s="34">
        <v>0</v>
      </c>
      <c r="V84" s="34">
        <v>0</v>
      </c>
      <c r="W84" s="34">
        <v>0</v>
      </c>
      <c r="X84" s="34">
        <v>3</v>
      </c>
      <c r="Y84" s="34">
        <v>5</v>
      </c>
      <c r="Z84" s="34">
        <v>5</v>
      </c>
      <c r="AA84" s="34">
        <v>0</v>
      </c>
      <c r="AB84" s="34">
        <v>0</v>
      </c>
      <c r="AC84" s="34">
        <v>0</v>
      </c>
      <c r="AD84" s="34">
        <v>0</v>
      </c>
      <c r="AE84" s="34">
        <v>0</v>
      </c>
      <c r="AF84" s="34">
        <v>0</v>
      </c>
      <c r="AG84" s="34">
        <v>0</v>
      </c>
      <c r="AH84" s="34">
        <v>0</v>
      </c>
      <c r="AI84" s="34">
        <v>0</v>
      </c>
      <c r="AJ84" s="34">
        <v>0</v>
      </c>
      <c r="AK84" s="34">
        <v>0</v>
      </c>
      <c r="AL84" s="34" t="s">
        <v>42</v>
      </c>
      <c r="AM84" s="34" t="s">
        <v>3362</v>
      </c>
      <c r="AN84" s="38" t="s">
        <v>3066</v>
      </c>
      <c r="AO84" s="34" t="s">
        <v>50</v>
      </c>
      <c r="AP84" s="34">
        <v>0</v>
      </c>
      <c r="AQ84" s="34">
        <v>0</v>
      </c>
      <c r="AR84" s="37">
        <v>0</v>
      </c>
      <c r="AS84" s="37">
        <v>5</v>
      </c>
      <c r="AT84" s="38" t="s">
        <v>2894</v>
      </c>
      <c r="AU84" s="38" t="s">
        <v>50</v>
      </c>
      <c r="AV84" s="38" t="s">
        <v>50</v>
      </c>
      <c r="AW84" s="38" t="s">
        <v>50</v>
      </c>
      <c r="AX84" s="38" t="s">
        <v>50</v>
      </c>
      <c r="AY84" s="38" t="s">
        <v>50</v>
      </c>
      <c r="AZ84" s="38" t="s">
        <v>50</v>
      </c>
      <c r="BA84" s="38" t="s">
        <v>50</v>
      </c>
      <c r="BB84" s="38" t="s">
        <v>50</v>
      </c>
      <c r="BC84" s="38" t="s">
        <v>50</v>
      </c>
      <c r="BD84" s="38" t="s">
        <v>50</v>
      </c>
      <c r="BE84" s="38" t="s">
        <v>50</v>
      </c>
      <c r="BF84" s="38" t="s">
        <v>50</v>
      </c>
      <c r="BG84" s="38" t="s">
        <v>50</v>
      </c>
      <c r="BH84" s="38" t="s">
        <v>50</v>
      </c>
      <c r="BI84" s="37">
        <v>1</v>
      </c>
      <c r="BJ84" s="37">
        <v>0</v>
      </c>
      <c r="BK84" s="37">
        <v>1</v>
      </c>
      <c r="BL84" s="37">
        <v>0</v>
      </c>
      <c r="BM84" s="37">
        <v>0</v>
      </c>
      <c r="BN84" s="37">
        <v>0</v>
      </c>
      <c r="BO84" s="37">
        <v>0</v>
      </c>
    </row>
    <row r="85" spans="1:67" s="37" customFormat="1" ht="15.75" customHeight="1" x14ac:dyDescent="0.2">
      <c r="A85" s="34">
        <f t="shared" si="2"/>
        <v>7083</v>
      </c>
      <c r="B85" s="34" t="s">
        <v>2176</v>
      </c>
      <c r="C85" s="34" t="s">
        <v>3054</v>
      </c>
      <c r="D85" s="39" t="s">
        <v>3158</v>
      </c>
      <c r="E85" s="39" t="s">
        <v>3052</v>
      </c>
      <c r="F85" s="34">
        <v>0</v>
      </c>
      <c r="G85" s="34">
        <v>0</v>
      </c>
      <c r="H85" s="34">
        <v>0</v>
      </c>
      <c r="I85" s="34">
        <v>50</v>
      </c>
      <c r="J85" s="34">
        <v>15</v>
      </c>
      <c r="K85" s="34">
        <v>1</v>
      </c>
      <c r="L85" s="34">
        <v>0</v>
      </c>
      <c r="M85" s="34">
        <v>7</v>
      </c>
      <c r="N85" s="34">
        <v>0</v>
      </c>
      <c r="O85" s="34">
        <v>5</v>
      </c>
      <c r="P85" s="34">
        <v>0</v>
      </c>
      <c r="Q85" s="34">
        <v>0</v>
      </c>
      <c r="R85" s="34">
        <v>0</v>
      </c>
      <c r="S85" s="34">
        <v>0</v>
      </c>
      <c r="T85" s="34">
        <v>0</v>
      </c>
      <c r="U85" s="34">
        <v>0</v>
      </c>
      <c r="V85" s="34">
        <v>0</v>
      </c>
      <c r="W85" s="34">
        <v>0</v>
      </c>
      <c r="X85" s="34">
        <v>3</v>
      </c>
      <c r="Y85" s="34">
        <v>5</v>
      </c>
      <c r="Z85" s="34">
        <v>5</v>
      </c>
      <c r="AA85" s="34">
        <v>0</v>
      </c>
      <c r="AB85" s="34">
        <v>0</v>
      </c>
      <c r="AC85" s="34">
        <v>0</v>
      </c>
      <c r="AD85" s="34">
        <v>0</v>
      </c>
      <c r="AE85" s="34">
        <v>0</v>
      </c>
      <c r="AF85" s="34">
        <v>0</v>
      </c>
      <c r="AG85" s="34">
        <v>0</v>
      </c>
      <c r="AH85" s="34">
        <v>0</v>
      </c>
      <c r="AI85" s="34">
        <v>0</v>
      </c>
      <c r="AJ85" s="34">
        <v>0</v>
      </c>
      <c r="AK85" s="34">
        <v>0</v>
      </c>
      <c r="AL85" s="34" t="s">
        <v>42</v>
      </c>
      <c r="AM85" s="34" t="s">
        <v>3362</v>
      </c>
      <c r="AN85" s="38" t="s">
        <v>3059</v>
      </c>
      <c r="AO85" s="34" t="s">
        <v>50</v>
      </c>
      <c r="AP85" s="34">
        <v>0</v>
      </c>
      <c r="AQ85" s="34">
        <v>0</v>
      </c>
      <c r="AR85" s="37">
        <v>0</v>
      </c>
      <c r="AS85" s="37">
        <v>5</v>
      </c>
      <c r="AT85" s="38" t="s">
        <v>2894</v>
      </c>
      <c r="AU85" s="38" t="s">
        <v>50</v>
      </c>
      <c r="AV85" s="38" t="s">
        <v>50</v>
      </c>
      <c r="AW85" s="38" t="s">
        <v>50</v>
      </c>
      <c r="AX85" s="38" t="s">
        <v>50</v>
      </c>
      <c r="AY85" s="38" t="s">
        <v>50</v>
      </c>
      <c r="AZ85" s="38" t="s">
        <v>50</v>
      </c>
      <c r="BA85" s="38" t="s">
        <v>50</v>
      </c>
      <c r="BB85" s="38" t="s">
        <v>50</v>
      </c>
      <c r="BC85" s="38" t="s">
        <v>50</v>
      </c>
      <c r="BD85" s="38" t="s">
        <v>50</v>
      </c>
      <c r="BE85" s="38" t="s">
        <v>50</v>
      </c>
      <c r="BF85" s="38" t="s">
        <v>50</v>
      </c>
      <c r="BG85" s="38" t="s">
        <v>50</v>
      </c>
      <c r="BH85" s="38" t="s">
        <v>50</v>
      </c>
      <c r="BI85" s="37">
        <v>1</v>
      </c>
      <c r="BJ85" s="37">
        <v>0</v>
      </c>
      <c r="BK85" s="37">
        <v>1</v>
      </c>
      <c r="BL85" s="37">
        <v>0</v>
      </c>
      <c r="BM85" s="37">
        <v>0</v>
      </c>
      <c r="BN85" s="37">
        <v>0</v>
      </c>
      <c r="BO85" s="37">
        <v>0</v>
      </c>
    </row>
    <row r="86" spans="1:67" s="37" customFormat="1" ht="15.75" customHeight="1" x14ac:dyDescent="0.2">
      <c r="A86" s="34">
        <f t="shared" si="2"/>
        <v>7084</v>
      </c>
      <c r="B86" s="34" t="s">
        <v>2176</v>
      </c>
      <c r="C86" s="34" t="s">
        <v>3055</v>
      </c>
      <c r="D86" s="39" t="s">
        <v>3159</v>
      </c>
      <c r="E86" s="39" t="s">
        <v>3053</v>
      </c>
      <c r="F86" s="34">
        <v>0</v>
      </c>
      <c r="G86" s="34">
        <v>0</v>
      </c>
      <c r="H86" s="34">
        <v>0</v>
      </c>
      <c r="I86" s="34">
        <v>50</v>
      </c>
      <c r="J86" s="34">
        <v>15</v>
      </c>
      <c r="K86" s="34">
        <v>1</v>
      </c>
      <c r="L86" s="34">
        <v>0</v>
      </c>
      <c r="M86" s="34">
        <v>7</v>
      </c>
      <c r="N86" s="34">
        <v>0</v>
      </c>
      <c r="O86" s="34">
        <v>5</v>
      </c>
      <c r="P86" s="34">
        <v>0</v>
      </c>
      <c r="Q86" s="34">
        <v>0</v>
      </c>
      <c r="R86" s="34">
        <v>0</v>
      </c>
      <c r="S86" s="34">
        <v>0</v>
      </c>
      <c r="T86" s="34">
        <v>0</v>
      </c>
      <c r="U86" s="34">
        <v>0</v>
      </c>
      <c r="V86" s="34">
        <v>0</v>
      </c>
      <c r="W86" s="34">
        <v>0</v>
      </c>
      <c r="X86" s="34">
        <v>3</v>
      </c>
      <c r="Y86" s="34">
        <v>5</v>
      </c>
      <c r="Z86" s="34">
        <v>5</v>
      </c>
      <c r="AA86" s="34">
        <v>0</v>
      </c>
      <c r="AB86" s="34">
        <v>0</v>
      </c>
      <c r="AC86" s="34">
        <v>0</v>
      </c>
      <c r="AD86" s="34">
        <v>0</v>
      </c>
      <c r="AE86" s="34">
        <v>0</v>
      </c>
      <c r="AF86" s="34">
        <v>0</v>
      </c>
      <c r="AG86" s="34">
        <v>0</v>
      </c>
      <c r="AH86" s="34">
        <v>0</v>
      </c>
      <c r="AI86" s="34">
        <v>0</v>
      </c>
      <c r="AJ86" s="34">
        <v>0</v>
      </c>
      <c r="AK86" s="34">
        <v>0</v>
      </c>
      <c r="AL86" s="34" t="s">
        <v>42</v>
      </c>
      <c r="AM86" s="34" t="s">
        <v>3362</v>
      </c>
      <c r="AN86" s="38" t="s">
        <v>3059</v>
      </c>
      <c r="AO86" s="34" t="s">
        <v>50</v>
      </c>
      <c r="AP86" s="34">
        <v>0</v>
      </c>
      <c r="AQ86" s="34">
        <v>0</v>
      </c>
      <c r="AR86" s="37">
        <v>0</v>
      </c>
      <c r="AS86" s="37">
        <v>5</v>
      </c>
      <c r="AT86" s="38" t="s">
        <v>2894</v>
      </c>
      <c r="AU86" s="38" t="s">
        <v>50</v>
      </c>
      <c r="AV86" s="38" t="s">
        <v>50</v>
      </c>
      <c r="AW86" s="38" t="s">
        <v>50</v>
      </c>
      <c r="AX86" s="38" t="s">
        <v>50</v>
      </c>
      <c r="AY86" s="38" t="s">
        <v>50</v>
      </c>
      <c r="AZ86" s="38" t="s">
        <v>50</v>
      </c>
      <c r="BA86" s="38" t="s">
        <v>50</v>
      </c>
      <c r="BB86" s="38" t="s">
        <v>50</v>
      </c>
      <c r="BC86" s="38" t="s">
        <v>50</v>
      </c>
      <c r="BD86" s="38" t="s">
        <v>50</v>
      </c>
      <c r="BE86" s="38" t="s">
        <v>50</v>
      </c>
      <c r="BF86" s="38" t="s">
        <v>50</v>
      </c>
      <c r="BG86" s="38" t="s">
        <v>50</v>
      </c>
      <c r="BH86" s="38" t="s">
        <v>50</v>
      </c>
      <c r="BI86" s="37">
        <v>1</v>
      </c>
      <c r="BJ86" s="37">
        <v>0</v>
      </c>
      <c r="BK86" s="37">
        <v>1</v>
      </c>
      <c r="BL86" s="37">
        <v>0</v>
      </c>
      <c r="BM86" s="37">
        <v>0</v>
      </c>
      <c r="BN86" s="37">
        <v>0</v>
      </c>
      <c r="BO86" s="37">
        <v>0</v>
      </c>
    </row>
    <row r="87" spans="1:67" s="37" customFormat="1" ht="15.75" customHeight="1" x14ac:dyDescent="0.2">
      <c r="A87" s="34">
        <f t="shared" si="2"/>
        <v>7085</v>
      </c>
      <c r="B87" s="34" t="s">
        <v>2176</v>
      </c>
      <c r="C87" s="34" t="s">
        <v>3056</v>
      </c>
      <c r="D87" s="39" t="s">
        <v>3522</v>
      </c>
      <c r="E87" s="39" t="s">
        <v>3523</v>
      </c>
      <c r="F87" s="34">
        <v>0</v>
      </c>
      <c r="G87" s="34">
        <v>0</v>
      </c>
      <c r="H87" s="34">
        <v>0</v>
      </c>
      <c r="I87" s="34">
        <v>50</v>
      </c>
      <c r="J87" s="34">
        <v>15</v>
      </c>
      <c r="K87" s="34">
        <v>1</v>
      </c>
      <c r="L87" s="34">
        <v>0</v>
      </c>
      <c r="M87" s="34">
        <v>7</v>
      </c>
      <c r="N87" s="34">
        <v>0</v>
      </c>
      <c r="O87" s="34">
        <v>5</v>
      </c>
      <c r="P87" s="34">
        <v>0</v>
      </c>
      <c r="Q87" s="34">
        <v>0</v>
      </c>
      <c r="R87" s="34">
        <v>0</v>
      </c>
      <c r="S87" s="34">
        <v>0</v>
      </c>
      <c r="T87" s="34">
        <v>0</v>
      </c>
      <c r="U87" s="34">
        <v>0</v>
      </c>
      <c r="V87" s="34">
        <v>0</v>
      </c>
      <c r="W87" s="34">
        <v>0</v>
      </c>
      <c r="X87" s="34">
        <v>3</v>
      </c>
      <c r="Y87" s="34">
        <v>5</v>
      </c>
      <c r="Z87" s="34">
        <v>5</v>
      </c>
      <c r="AA87" s="34">
        <v>0</v>
      </c>
      <c r="AB87" s="34">
        <v>0</v>
      </c>
      <c r="AC87" s="34">
        <v>0</v>
      </c>
      <c r="AD87" s="34">
        <v>0</v>
      </c>
      <c r="AE87" s="34">
        <v>0</v>
      </c>
      <c r="AF87" s="34">
        <v>0</v>
      </c>
      <c r="AG87" s="34">
        <v>0</v>
      </c>
      <c r="AH87" s="34">
        <v>0</v>
      </c>
      <c r="AI87" s="34">
        <v>0</v>
      </c>
      <c r="AJ87" s="34">
        <v>0</v>
      </c>
      <c r="AK87" s="34">
        <v>0</v>
      </c>
      <c r="AL87" s="34" t="s">
        <v>42</v>
      </c>
      <c r="AM87" s="34" t="s">
        <v>3362</v>
      </c>
      <c r="AN87" s="38" t="s">
        <v>3058</v>
      </c>
      <c r="AO87" s="34" t="s">
        <v>50</v>
      </c>
      <c r="AP87" s="34">
        <v>0</v>
      </c>
      <c r="AQ87" s="34">
        <v>0</v>
      </c>
      <c r="AR87" s="37">
        <v>0</v>
      </c>
      <c r="AS87" s="37">
        <v>5</v>
      </c>
      <c r="AT87" s="38" t="s">
        <v>2894</v>
      </c>
      <c r="AU87" s="38" t="s">
        <v>50</v>
      </c>
      <c r="AV87" s="38" t="s">
        <v>50</v>
      </c>
      <c r="AW87" s="38" t="s">
        <v>50</v>
      </c>
      <c r="AX87" s="38" t="s">
        <v>50</v>
      </c>
      <c r="AY87" s="38" t="s">
        <v>50</v>
      </c>
      <c r="AZ87" s="38" t="s">
        <v>50</v>
      </c>
      <c r="BA87" s="38" t="s">
        <v>50</v>
      </c>
      <c r="BB87" s="38" t="s">
        <v>50</v>
      </c>
      <c r="BC87" s="38" t="s">
        <v>50</v>
      </c>
      <c r="BD87" s="38" t="s">
        <v>50</v>
      </c>
      <c r="BE87" s="38" t="s">
        <v>50</v>
      </c>
      <c r="BF87" s="38" t="s">
        <v>50</v>
      </c>
      <c r="BG87" s="38" t="s">
        <v>50</v>
      </c>
      <c r="BH87" s="38" t="s">
        <v>50</v>
      </c>
      <c r="BI87" s="37">
        <v>1</v>
      </c>
      <c r="BJ87" s="37">
        <v>0</v>
      </c>
      <c r="BK87" s="37">
        <v>1</v>
      </c>
      <c r="BL87" s="37">
        <v>0</v>
      </c>
      <c r="BM87" s="37">
        <v>0</v>
      </c>
      <c r="BN87" s="37">
        <v>0</v>
      </c>
      <c r="BO87" s="37">
        <v>0</v>
      </c>
    </row>
    <row r="88" spans="1:67" s="37" customFormat="1" ht="15.75" customHeight="1" x14ac:dyDescent="0.2">
      <c r="A88" s="34">
        <f t="shared" si="2"/>
        <v>7086</v>
      </c>
      <c r="B88" s="34" t="s">
        <v>2176</v>
      </c>
      <c r="C88" s="34" t="s">
        <v>3524</v>
      </c>
      <c r="D88" s="39" t="s">
        <v>3521</v>
      </c>
      <c r="E88" s="39" t="s">
        <v>3520</v>
      </c>
      <c r="F88" s="34">
        <v>0</v>
      </c>
      <c r="G88" s="34">
        <v>0</v>
      </c>
      <c r="H88" s="34">
        <v>0</v>
      </c>
      <c r="I88" s="34">
        <v>50</v>
      </c>
      <c r="J88" s="34">
        <v>15</v>
      </c>
      <c r="K88" s="34">
        <v>1</v>
      </c>
      <c r="L88" s="34">
        <v>0</v>
      </c>
      <c r="M88" s="34">
        <v>7</v>
      </c>
      <c r="N88" s="34">
        <v>0</v>
      </c>
      <c r="O88" s="34">
        <v>5</v>
      </c>
      <c r="P88" s="34">
        <v>0</v>
      </c>
      <c r="Q88" s="34">
        <v>0</v>
      </c>
      <c r="R88" s="34">
        <v>0</v>
      </c>
      <c r="S88" s="34">
        <v>0</v>
      </c>
      <c r="T88" s="34">
        <v>0</v>
      </c>
      <c r="U88" s="34">
        <v>0</v>
      </c>
      <c r="V88" s="34">
        <v>0</v>
      </c>
      <c r="W88" s="34">
        <v>0</v>
      </c>
      <c r="X88" s="34">
        <v>3</v>
      </c>
      <c r="Y88" s="34">
        <v>5</v>
      </c>
      <c r="Z88" s="34">
        <v>5</v>
      </c>
      <c r="AA88" s="34">
        <v>0</v>
      </c>
      <c r="AB88" s="34">
        <v>0</v>
      </c>
      <c r="AC88" s="34">
        <v>0</v>
      </c>
      <c r="AD88" s="34">
        <v>0</v>
      </c>
      <c r="AE88" s="34">
        <v>0</v>
      </c>
      <c r="AF88" s="34">
        <v>0</v>
      </c>
      <c r="AG88" s="34">
        <v>0</v>
      </c>
      <c r="AH88" s="34">
        <v>0</v>
      </c>
      <c r="AI88" s="34">
        <v>0</v>
      </c>
      <c r="AJ88" s="34">
        <v>0</v>
      </c>
      <c r="AK88" s="34">
        <v>0</v>
      </c>
      <c r="AL88" s="34" t="s">
        <v>42</v>
      </c>
      <c r="AM88" s="34" t="s">
        <v>3362</v>
      </c>
      <c r="AN88" s="38" t="s">
        <v>3058</v>
      </c>
      <c r="AO88" s="34" t="s">
        <v>50</v>
      </c>
      <c r="AP88" s="34">
        <v>0</v>
      </c>
      <c r="AQ88" s="34">
        <v>0</v>
      </c>
      <c r="AR88" s="37">
        <v>0</v>
      </c>
      <c r="AS88" s="37">
        <v>5</v>
      </c>
      <c r="AT88" s="38" t="s">
        <v>2894</v>
      </c>
      <c r="AU88" s="38" t="s">
        <v>50</v>
      </c>
      <c r="AV88" s="38" t="s">
        <v>50</v>
      </c>
      <c r="AW88" s="38" t="s">
        <v>50</v>
      </c>
      <c r="AX88" s="38" t="s">
        <v>50</v>
      </c>
      <c r="AY88" s="38" t="s">
        <v>50</v>
      </c>
      <c r="AZ88" s="38" t="s">
        <v>50</v>
      </c>
      <c r="BA88" s="38" t="s">
        <v>50</v>
      </c>
      <c r="BB88" s="38" t="s">
        <v>50</v>
      </c>
      <c r="BC88" s="38" t="s">
        <v>50</v>
      </c>
      <c r="BD88" s="38" t="s">
        <v>50</v>
      </c>
      <c r="BE88" s="38" t="s">
        <v>50</v>
      </c>
      <c r="BF88" s="38" t="s">
        <v>50</v>
      </c>
      <c r="BG88" s="38" t="s">
        <v>50</v>
      </c>
      <c r="BH88" s="38" t="s">
        <v>50</v>
      </c>
      <c r="BI88" s="37">
        <v>1</v>
      </c>
      <c r="BJ88" s="37">
        <v>0</v>
      </c>
      <c r="BK88" s="37">
        <v>1</v>
      </c>
      <c r="BL88" s="37">
        <v>0</v>
      </c>
      <c r="BM88" s="37">
        <v>0</v>
      </c>
      <c r="BN88" s="37">
        <v>0</v>
      </c>
      <c r="BO88" s="37">
        <v>0</v>
      </c>
    </row>
    <row r="89" spans="1:67" ht="15.75" customHeight="1" x14ac:dyDescent="0.2">
      <c r="A89" s="3">
        <f t="shared" si="2"/>
        <v>7087</v>
      </c>
      <c r="B89" s="3" t="s">
        <v>514</v>
      </c>
      <c r="C89" s="3" t="s">
        <v>491</v>
      </c>
      <c r="D89" s="5" t="s">
        <v>492</v>
      </c>
      <c r="E89" s="5" t="s">
        <v>493</v>
      </c>
      <c r="F89" s="3">
        <v>0</v>
      </c>
      <c r="G89" s="3">
        <v>0</v>
      </c>
      <c r="H89" s="3">
        <v>0</v>
      </c>
      <c r="I89" s="3">
        <v>50</v>
      </c>
      <c r="J89" s="3">
        <v>999</v>
      </c>
      <c r="K89" s="3">
        <v>1</v>
      </c>
      <c r="L89" s="3">
        <v>0</v>
      </c>
      <c r="M89" s="3">
        <v>0</v>
      </c>
      <c r="N89" s="3">
        <v>0</v>
      </c>
      <c r="O89" s="3">
        <v>0</v>
      </c>
      <c r="P89" s="3">
        <v>100</v>
      </c>
      <c r="Q89" s="3">
        <v>100</v>
      </c>
      <c r="R89" s="3">
        <v>100</v>
      </c>
      <c r="S89" s="3">
        <v>100</v>
      </c>
      <c r="T89" s="3">
        <v>100</v>
      </c>
      <c r="U89" s="3">
        <v>100</v>
      </c>
      <c r="V89" s="3">
        <v>0</v>
      </c>
      <c r="W89" s="3">
        <v>0</v>
      </c>
      <c r="X89" s="3">
        <v>0</v>
      </c>
      <c r="Y89" s="3">
        <v>100</v>
      </c>
      <c r="Z89" s="3">
        <v>100</v>
      </c>
      <c r="AA89" s="3">
        <v>100</v>
      </c>
      <c r="AB89" s="3">
        <v>100</v>
      </c>
      <c r="AC89" s="3">
        <v>100</v>
      </c>
      <c r="AD89" s="3">
        <v>100</v>
      </c>
      <c r="AE89" s="3">
        <v>100</v>
      </c>
      <c r="AF89" s="3">
        <v>100</v>
      </c>
      <c r="AG89" s="3">
        <v>100</v>
      </c>
      <c r="AH89" s="3">
        <v>100</v>
      </c>
      <c r="AI89" s="3">
        <v>100</v>
      </c>
      <c r="AJ89" s="3">
        <v>100</v>
      </c>
      <c r="AK89" s="3">
        <v>100</v>
      </c>
      <c r="AL89" s="3" t="s">
        <v>42</v>
      </c>
      <c r="AM89" s="3" t="s">
        <v>42</v>
      </c>
      <c r="AN89" s="3" t="s">
        <v>2039</v>
      </c>
      <c r="AO89" s="3" t="s">
        <v>1853</v>
      </c>
      <c r="AP89" s="3">
        <v>0</v>
      </c>
      <c r="AQ89" s="3">
        <v>0</v>
      </c>
      <c r="AR89">
        <v>0</v>
      </c>
      <c r="AS89">
        <v>1</v>
      </c>
      <c r="AT89" s="6" t="s">
        <v>935</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4</v>
      </c>
      <c r="BL89">
        <v>0</v>
      </c>
      <c r="BM89">
        <v>0</v>
      </c>
      <c r="BN89">
        <v>0</v>
      </c>
      <c r="BO89">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BO160"/>
  <sheetViews>
    <sheetView topLeftCell="A58" workbookViewId="0">
      <selection activeCell="D64" sqref="D64"/>
    </sheetView>
  </sheetViews>
  <sheetFormatPr defaultColWidth="14.42578125" defaultRowHeight="15.75" customHeight="1" x14ac:dyDescent="0.2"/>
  <cols>
    <col min="1" max="1" width="7.85546875" customWidth="1"/>
    <col min="2" max="2" width="12.85546875" customWidth="1"/>
    <col min="4" max="4" width="19" style="25"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s>
  <sheetData>
    <row r="1" spans="1:67" ht="15.75" customHeight="1" x14ac:dyDescent="0.2">
      <c r="A1" s="1" t="s">
        <v>0</v>
      </c>
      <c r="B1" s="1" t="s">
        <v>61</v>
      </c>
      <c r="C1" s="1" t="s">
        <v>1</v>
      </c>
      <c r="D1" s="1" t="s">
        <v>2</v>
      </c>
      <c r="E1" s="1" t="s">
        <v>3</v>
      </c>
      <c r="F1" s="1" t="s">
        <v>484</v>
      </c>
      <c r="G1" s="1" t="s">
        <v>352</v>
      </c>
      <c r="H1" s="1" t="s">
        <v>4</v>
      </c>
      <c r="I1" s="1" t="s">
        <v>86</v>
      </c>
      <c r="J1" s="1" t="s">
        <v>357</v>
      </c>
      <c r="K1" s="1" t="s">
        <v>354</v>
      </c>
      <c r="L1" s="1" t="s">
        <v>231</v>
      </c>
      <c r="M1" s="1" t="s">
        <v>5</v>
      </c>
      <c r="N1" s="1" t="s">
        <v>6</v>
      </c>
      <c r="O1" s="1" t="s">
        <v>7</v>
      </c>
      <c r="P1" s="1" t="s">
        <v>8</v>
      </c>
      <c r="Q1" s="1" t="s">
        <v>9</v>
      </c>
      <c r="R1" s="1" t="s">
        <v>161</v>
      </c>
      <c r="S1" s="2" t="s">
        <v>10</v>
      </c>
      <c r="T1" s="2" t="s">
        <v>11</v>
      </c>
      <c r="U1" s="2" t="s">
        <v>12</v>
      </c>
      <c r="V1" s="2" t="s">
        <v>181</v>
      </c>
      <c r="W1" s="2" t="s">
        <v>182</v>
      </c>
      <c r="X1" s="2" t="s">
        <v>180</v>
      </c>
      <c r="Y1" s="2" t="s">
        <v>1146</v>
      </c>
      <c r="Z1" s="2" t="s">
        <v>2220</v>
      </c>
      <c r="AA1" s="2" t="s">
        <v>2179</v>
      </c>
      <c r="AB1" s="2" t="s">
        <v>2211</v>
      </c>
      <c r="AC1" s="2" t="s">
        <v>2212</v>
      </c>
      <c r="AD1" s="2" t="s">
        <v>2213</v>
      </c>
      <c r="AE1" s="2" t="s">
        <v>2214</v>
      </c>
      <c r="AF1" s="2" t="s">
        <v>2215</v>
      </c>
      <c r="AG1" s="2" t="s">
        <v>2216</v>
      </c>
      <c r="AH1" s="2" t="s">
        <v>2217</v>
      </c>
      <c r="AI1" s="2" t="s">
        <v>2218</v>
      </c>
      <c r="AJ1" s="2" t="s">
        <v>2219</v>
      </c>
      <c r="AK1" s="2" t="s">
        <v>2640</v>
      </c>
      <c r="AL1" s="1" t="s">
        <v>13</v>
      </c>
      <c r="AM1" s="1" t="s">
        <v>14</v>
      </c>
      <c r="AN1" s="1" t="s">
        <v>1935</v>
      </c>
      <c r="AO1" s="1" t="s">
        <v>1852</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1605</v>
      </c>
      <c r="BM1" s="1" t="s">
        <v>2504</v>
      </c>
      <c r="BN1" s="1" t="s">
        <v>2505</v>
      </c>
      <c r="BO1" s="1" t="s">
        <v>1617</v>
      </c>
    </row>
    <row r="2" spans="1:67" ht="15.75" customHeight="1" x14ac:dyDescent="0.2">
      <c r="A2" s="3">
        <f>ROW()+9998</f>
        <v>10000</v>
      </c>
      <c r="B2" s="3" t="s">
        <v>355</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909</v>
      </c>
      <c r="AN2" s="3" t="s">
        <v>1936</v>
      </c>
      <c r="AO2" s="3" t="s">
        <v>1853</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row>
    <row r="3" spans="1:67" ht="15.75" customHeight="1" x14ac:dyDescent="0.2">
      <c r="A3" s="3">
        <f t="shared" ref="A3:A90" si="0">ROW()+9998</f>
        <v>10001</v>
      </c>
      <c r="B3" s="3" t="s">
        <v>378</v>
      </c>
      <c r="C3" s="3" t="s">
        <v>378</v>
      </c>
      <c r="D3" s="5" t="s">
        <v>631</v>
      </c>
      <c r="E3" s="5" t="s">
        <v>375</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376</v>
      </c>
      <c r="AN3" s="3" t="s">
        <v>2201</v>
      </c>
      <c r="AO3" s="3" t="s">
        <v>1853</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row>
    <row r="4" spans="1:67" ht="15.75" customHeight="1" x14ac:dyDescent="0.2">
      <c r="A4" s="3">
        <f t="shared" si="0"/>
        <v>10002</v>
      </c>
      <c r="B4" s="3" t="s">
        <v>445</v>
      </c>
      <c r="C4" s="3" t="s">
        <v>445</v>
      </c>
      <c r="D4" s="5" t="s">
        <v>446</v>
      </c>
      <c r="E4" s="5" t="s">
        <v>447</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376</v>
      </c>
      <c r="AN4" s="3" t="s">
        <v>2202</v>
      </c>
      <c r="AO4" s="3" t="s">
        <v>1853</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row>
    <row r="5" spans="1:67" ht="15.75" customHeight="1" x14ac:dyDescent="0.2">
      <c r="A5" s="3">
        <f t="shared" si="0"/>
        <v>10003</v>
      </c>
      <c r="B5" s="3" t="s">
        <v>2613</v>
      </c>
      <c r="C5" s="3" t="s">
        <v>1905</v>
      </c>
      <c r="D5" s="5" t="s">
        <v>1904</v>
      </c>
      <c r="E5" s="5" t="s">
        <v>2809</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376</v>
      </c>
      <c r="AN5" s="3" t="s">
        <v>2203</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row>
    <row r="6" spans="1:67" ht="15.75" customHeight="1" x14ac:dyDescent="0.2">
      <c r="A6" s="3">
        <f t="shared" si="0"/>
        <v>10004</v>
      </c>
      <c r="B6" s="3" t="s">
        <v>3391</v>
      </c>
      <c r="C6" s="3" t="s">
        <v>3345</v>
      </c>
      <c r="D6" s="5" t="s">
        <v>3344</v>
      </c>
      <c r="E6" s="5" t="s">
        <v>3346</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376</v>
      </c>
      <c r="AN6" s="3" t="s">
        <v>3347</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row>
    <row r="7" spans="1:67" ht="15.75" customHeight="1" x14ac:dyDescent="0.2">
      <c r="A7" s="3">
        <f t="shared" si="0"/>
        <v>10005</v>
      </c>
      <c r="B7" s="3" t="s">
        <v>3352</v>
      </c>
      <c r="C7" s="3" t="s">
        <v>3352</v>
      </c>
      <c r="D7" s="5" t="s">
        <v>3351</v>
      </c>
      <c r="E7" s="5" t="s">
        <v>3353</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376</v>
      </c>
      <c r="AN7" s="3" t="s">
        <v>3354</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row>
    <row r="8" spans="1:67" ht="15.75" customHeight="1" x14ac:dyDescent="0.2">
      <c r="A8" s="3">
        <f t="shared" si="0"/>
        <v>10006</v>
      </c>
      <c r="B8" s="3" t="s">
        <v>1070</v>
      </c>
      <c r="C8" s="3" t="s">
        <v>1070</v>
      </c>
      <c r="D8" s="5" t="s">
        <v>827</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376</v>
      </c>
      <c r="AN8" s="3" t="s">
        <v>3443</v>
      </c>
      <c r="AO8" s="3" t="s">
        <v>1853</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row>
    <row r="9" spans="1:67" ht="15.75" customHeight="1" x14ac:dyDescent="0.2">
      <c r="A9" s="3">
        <f t="shared" si="0"/>
        <v>10007</v>
      </c>
      <c r="B9" s="3" t="s">
        <v>594</v>
      </c>
      <c r="C9" s="3" t="s">
        <v>594</v>
      </c>
      <c r="D9" s="5" t="s">
        <v>592</v>
      </c>
      <c r="E9" s="5" t="s">
        <v>593</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376</v>
      </c>
      <c r="AN9" s="3" t="s">
        <v>2204</v>
      </c>
      <c r="AO9" s="3" t="s">
        <v>1853</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row>
    <row r="10" spans="1:67" ht="15.75" customHeight="1" x14ac:dyDescent="0.2">
      <c r="A10" s="3">
        <f t="shared" si="0"/>
        <v>10008</v>
      </c>
      <c r="B10" s="3" t="s">
        <v>3259</v>
      </c>
      <c r="C10" s="3" t="s">
        <v>3259</v>
      </c>
      <c r="D10" s="5" t="s">
        <v>3260</v>
      </c>
      <c r="E10" s="5" t="s">
        <v>3261</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376</v>
      </c>
      <c r="AN10" s="3" t="s">
        <v>2204</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row>
    <row r="11" spans="1:67" ht="15.75" customHeight="1" x14ac:dyDescent="0.2">
      <c r="A11" s="3">
        <f t="shared" si="0"/>
        <v>10009</v>
      </c>
      <c r="B11" s="3" t="s">
        <v>597</v>
      </c>
      <c r="C11" s="3" t="s">
        <v>597</v>
      </c>
      <c r="D11" s="5" t="s">
        <v>596</v>
      </c>
      <c r="E11" s="5" t="s">
        <v>598</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376</v>
      </c>
      <c r="AN11" s="3" t="s">
        <v>2071</v>
      </c>
      <c r="AO11" s="3" t="s">
        <v>1853</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row>
    <row r="12" spans="1:67" ht="15.75" customHeight="1" x14ac:dyDescent="0.2">
      <c r="A12" s="3">
        <f t="shared" si="0"/>
        <v>10010</v>
      </c>
      <c r="B12" s="3" t="s">
        <v>1565</v>
      </c>
      <c r="C12" s="3" t="s">
        <v>1565</v>
      </c>
      <c r="D12" s="5" t="s">
        <v>1564</v>
      </c>
      <c r="E12" s="5" t="s">
        <v>1566</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376</v>
      </c>
      <c r="AN12" s="3" t="s">
        <v>2071</v>
      </c>
      <c r="AO12" s="3" t="s">
        <v>1853</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row>
    <row r="13" spans="1:67" ht="15.75" customHeight="1" x14ac:dyDescent="0.2">
      <c r="A13" s="3">
        <f t="shared" si="0"/>
        <v>10011</v>
      </c>
      <c r="B13" s="3" t="s">
        <v>2271</v>
      </c>
      <c r="C13" s="3" t="s">
        <v>2271</v>
      </c>
      <c r="D13" s="5" t="s">
        <v>2550</v>
      </c>
      <c r="E13" s="5" t="s">
        <v>2270</v>
      </c>
      <c r="F13" s="3">
        <v>0</v>
      </c>
      <c r="G13" s="3">
        <v>0</v>
      </c>
      <c r="H13" s="3">
        <v>0</v>
      </c>
      <c r="I13" s="3">
        <v>0</v>
      </c>
      <c r="J13" s="3">
        <v>0</v>
      </c>
      <c r="K13" s="3">
        <v>1</v>
      </c>
      <c r="L13" s="3">
        <v>0</v>
      </c>
      <c r="M13" s="3">
        <v>0</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376</v>
      </c>
      <c r="AN13" s="3" t="s">
        <v>2071</v>
      </c>
      <c r="AO13" s="3" t="s">
        <v>50</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row>
    <row r="14" spans="1:67" ht="15.75" customHeight="1" x14ac:dyDescent="0.2">
      <c r="A14" s="3">
        <f t="shared" si="0"/>
        <v>10012</v>
      </c>
      <c r="B14" s="3" t="s">
        <v>2604</v>
      </c>
      <c r="C14" s="3" t="s">
        <v>2604</v>
      </c>
      <c r="D14" s="5" t="s">
        <v>2603</v>
      </c>
      <c r="E14" s="5" t="s">
        <v>2602</v>
      </c>
      <c r="F14" s="3">
        <v>0</v>
      </c>
      <c r="G14" s="3">
        <v>0</v>
      </c>
      <c r="H14" s="3">
        <v>0</v>
      </c>
      <c r="I14" s="3">
        <v>0</v>
      </c>
      <c r="J14" s="3">
        <v>0</v>
      </c>
      <c r="K14" s="3">
        <v>1</v>
      </c>
      <c r="L14" s="3">
        <v>0</v>
      </c>
      <c r="M14" s="3">
        <v>0</v>
      </c>
      <c r="N14" s="3">
        <v>0</v>
      </c>
      <c r="O14" s="3">
        <v>0</v>
      </c>
      <c r="P14" s="3">
        <v>0</v>
      </c>
      <c r="Q14" s="3">
        <v>0</v>
      </c>
      <c r="R14" s="3">
        <v>0</v>
      </c>
      <c r="S14" s="3">
        <v>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376</v>
      </c>
      <c r="AN14" s="3" t="s">
        <v>2071</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row>
    <row r="15" spans="1:67" ht="15.75" customHeight="1" x14ac:dyDescent="0.2">
      <c r="A15" s="3">
        <f t="shared" si="0"/>
        <v>10013</v>
      </c>
      <c r="B15" s="3" t="s">
        <v>1352</v>
      </c>
      <c r="C15" s="3" t="s">
        <v>702</v>
      </c>
      <c r="D15" s="5" t="s">
        <v>700</v>
      </c>
      <c r="E15" s="5" t="s">
        <v>701</v>
      </c>
      <c r="F15" s="3">
        <v>0</v>
      </c>
      <c r="G15" s="3">
        <v>0</v>
      </c>
      <c r="H15" s="3">
        <v>0</v>
      </c>
      <c r="I15" s="3">
        <v>0</v>
      </c>
      <c r="J15" s="3">
        <v>0</v>
      </c>
      <c r="K15" s="3">
        <v>1</v>
      </c>
      <c r="L15" s="3">
        <v>0</v>
      </c>
      <c r="M15" s="3">
        <v>0</v>
      </c>
      <c r="N15" s="3">
        <v>0</v>
      </c>
      <c r="O15" s="3">
        <v>0</v>
      </c>
      <c r="P15" s="3">
        <v>0</v>
      </c>
      <c r="Q15" s="3">
        <v>0</v>
      </c>
      <c r="R15" s="3">
        <v>0</v>
      </c>
      <c r="S15" s="3">
        <v>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376</v>
      </c>
      <c r="AN15" s="3" t="s">
        <v>2072</v>
      </c>
      <c r="AO15" s="3" t="s">
        <v>1853</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row>
    <row r="16" spans="1:67" ht="15.75" customHeight="1" x14ac:dyDescent="0.2">
      <c r="A16" s="3">
        <f t="shared" si="0"/>
        <v>10014</v>
      </c>
      <c r="B16" s="3" t="s">
        <v>621</v>
      </c>
      <c r="C16" s="3" t="s">
        <v>621</v>
      </c>
      <c r="D16" s="5" t="s">
        <v>858</v>
      </c>
      <c r="E16" s="5" t="s">
        <v>622</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376</v>
      </c>
      <c r="AN16" s="3" t="s">
        <v>2205</v>
      </c>
      <c r="AO16" s="3" t="s">
        <v>1853</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row>
    <row r="17" spans="1:67" ht="15.75" customHeight="1" x14ac:dyDescent="0.2">
      <c r="A17" s="3">
        <f t="shared" si="0"/>
        <v>10015</v>
      </c>
      <c r="B17" s="3" t="s">
        <v>859</v>
      </c>
      <c r="C17" s="3" t="s">
        <v>859</v>
      </c>
      <c r="D17" s="5" t="s">
        <v>890</v>
      </c>
      <c r="E17" s="5" t="s">
        <v>888</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-200</v>
      </c>
      <c r="Y17" s="3">
        <v>0</v>
      </c>
      <c r="Z17" s="3">
        <v>0</v>
      </c>
      <c r="AA17" s="3">
        <v>0</v>
      </c>
      <c r="AB17" s="3">
        <v>0</v>
      </c>
      <c r="AC17" s="3">
        <v>0</v>
      </c>
      <c r="AD17" s="3">
        <v>0</v>
      </c>
      <c r="AE17" s="3">
        <v>0</v>
      </c>
      <c r="AF17" s="3">
        <v>0</v>
      </c>
      <c r="AG17" s="3">
        <v>0</v>
      </c>
      <c r="AH17" s="3">
        <v>0</v>
      </c>
      <c r="AI17" s="3">
        <v>0</v>
      </c>
      <c r="AJ17" s="3">
        <v>0</v>
      </c>
      <c r="AK17" s="3">
        <v>0</v>
      </c>
      <c r="AL17" s="3" t="s">
        <v>72</v>
      </c>
      <c r="AM17" s="3" t="s">
        <v>376</v>
      </c>
      <c r="AN17" s="3" t="s">
        <v>2206</v>
      </c>
      <c r="AO17" s="3" t="s">
        <v>1853</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row>
    <row r="18" spans="1:67" ht="15.75" customHeight="1" x14ac:dyDescent="0.2">
      <c r="A18" s="3">
        <f t="shared" si="0"/>
        <v>10016</v>
      </c>
      <c r="B18" s="3" t="s">
        <v>2278</v>
      </c>
      <c r="C18" s="3" t="s">
        <v>2278</v>
      </c>
      <c r="D18" s="5" t="s">
        <v>2605</v>
      </c>
      <c r="E18" s="5" t="s">
        <v>2273</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376</v>
      </c>
      <c r="AN18" s="3" t="s">
        <v>2206</v>
      </c>
      <c r="AO18" s="3" t="s">
        <v>50</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row>
    <row r="19" spans="1:67" ht="15.75" customHeight="1" x14ac:dyDescent="0.2">
      <c r="A19" s="3">
        <f t="shared" si="0"/>
        <v>10017</v>
      </c>
      <c r="B19" s="3" t="s">
        <v>2050</v>
      </c>
      <c r="C19" s="3" t="s">
        <v>2050</v>
      </c>
      <c r="D19" s="5" t="s">
        <v>2612</v>
      </c>
      <c r="E19" s="5" t="s">
        <v>2611</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0</v>
      </c>
      <c r="AF19" s="3">
        <v>0</v>
      </c>
      <c r="AG19" s="3">
        <v>0</v>
      </c>
      <c r="AH19" s="3">
        <v>0</v>
      </c>
      <c r="AI19" s="3">
        <v>0</v>
      </c>
      <c r="AJ19" s="3">
        <v>0</v>
      </c>
      <c r="AK19" s="3">
        <v>0</v>
      </c>
      <c r="AL19" s="3" t="s">
        <v>72</v>
      </c>
      <c r="AM19" s="3" t="s">
        <v>376</v>
      </c>
      <c r="AN19" s="3" t="s">
        <v>2207</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row>
    <row r="20" spans="1:67" s="9" customFormat="1" ht="15.75" customHeight="1" x14ac:dyDescent="0.2">
      <c r="A20" s="7">
        <f t="shared" si="0"/>
        <v>10018</v>
      </c>
      <c r="B20" s="7" t="s">
        <v>621</v>
      </c>
      <c r="C20" s="7" t="s">
        <v>2064</v>
      </c>
      <c r="D20" s="8" t="s">
        <v>2395</v>
      </c>
      <c r="E20" s="8" t="s">
        <v>2109</v>
      </c>
      <c r="F20" s="7">
        <v>0</v>
      </c>
      <c r="G20" s="7">
        <v>0</v>
      </c>
      <c r="H20" s="7">
        <v>0</v>
      </c>
      <c r="I20" s="7">
        <v>0</v>
      </c>
      <c r="J20" s="7">
        <v>0</v>
      </c>
      <c r="K20" s="7">
        <v>1</v>
      </c>
      <c r="L20" s="7">
        <v>0</v>
      </c>
      <c r="M20" s="7">
        <v>0</v>
      </c>
      <c r="N20" s="7">
        <v>0</v>
      </c>
      <c r="O20" s="7">
        <v>0</v>
      </c>
      <c r="P20" s="7">
        <v>0</v>
      </c>
      <c r="Q20" s="7">
        <v>0</v>
      </c>
      <c r="R20" s="7">
        <v>0</v>
      </c>
      <c r="S20" s="7">
        <v>0</v>
      </c>
      <c r="T20" s="7">
        <v>0</v>
      </c>
      <c r="U20" s="7">
        <v>0</v>
      </c>
      <c r="V20" s="7">
        <v>0</v>
      </c>
      <c r="W20" s="7">
        <v>0</v>
      </c>
      <c r="X20" s="7">
        <v>0</v>
      </c>
      <c r="Y20" s="7">
        <v>0</v>
      </c>
      <c r="Z20" s="7">
        <v>0</v>
      </c>
      <c r="AA20" s="7">
        <v>0</v>
      </c>
      <c r="AB20" s="7">
        <v>0</v>
      </c>
      <c r="AC20" s="7">
        <v>0</v>
      </c>
      <c r="AD20" s="7">
        <v>0</v>
      </c>
      <c r="AE20" s="7">
        <v>0</v>
      </c>
      <c r="AF20" s="7">
        <v>0</v>
      </c>
      <c r="AG20" s="7">
        <v>0</v>
      </c>
      <c r="AH20" s="7">
        <v>0</v>
      </c>
      <c r="AI20" s="7">
        <v>0</v>
      </c>
      <c r="AJ20" s="7">
        <v>0</v>
      </c>
      <c r="AK20" s="7">
        <v>0</v>
      </c>
      <c r="AL20" s="7" t="s">
        <v>72</v>
      </c>
      <c r="AM20" s="7" t="s">
        <v>376</v>
      </c>
      <c r="AN20" s="7" t="s">
        <v>1937</v>
      </c>
      <c r="AO20" s="7" t="s">
        <v>50</v>
      </c>
      <c r="AP20" s="7">
        <v>0</v>
      </c>
      <c r="AQ20" s="7">
        <v>0</v>
      </c>
      <c r="AR20" s="9">
        <v>0</v>
      </c>
      <c r="AS20" s="9">
        <v>0</v>
      </c>
      <c r="AT20" s="10" t="s">
        <v>50</v>
      </c>
      <c r="AU20" s="10" t="s">
        <v>50</v>
      </c>
      <c r="AV20" s="10" t="s">
        <v>50</v>
      </c>
      <c r="AW20" s="10" t="s">
        <v>50</v>
      </c>
      <c r="AX20" s="10" t="s">
        <v>50</v>
      </c>
      <c r="AY20" s="10" t="s">
        <v>50</v>
      </c>
      <c r="AZ20" s="10" t="s">
        <v>50</v>
      </c>
      <c r="BA20" s="10" t="s">
        <v>50</v>
      </c>
      <c r="BB20" s="10" t="s">
        <v>50</v>
      </c>
      <c r="BC20" s="10" t="s">
        <v>50</v>
      </c>
      <c r="BD20" s="10" t="s">
        <v>50</v>
      </c>
      <c r="BE20" s="10" t="s">
        <v>50</v>
      </c>
      <c r="BF20" s="10" t="s">
        <v>50</v>
      </c>
      <c r="BG20" s="10" t="s">
        <v>50</v>
      </c>
      <c r="BH20" s="10" t="s">
        <v>50</v>
      </c>
      <c r="BI20" s="9">
        <v>0</v>
      </c>
      <c r="BJ20" s="9">
        <v>0</v>
      </c>
      <c r="BK20" s="9">
        <v>1</v>
      </c>
      <c r="BL20" s="9">
        <v>0</v>
      </c>
      <c r="BM20" s="9">
        <v>0</v>
      </c>
      <c r="BN20" s="9">
        <v>0</v>
      </c>
      <c r="BO20" s="9">
        <v>0</v>
      </c>
    </row>
    <row r="21" spans="1:67" s="9" customFormat="1" ht="15.75" customHeight="1" x14ac:dyDescent="0.2">
      <c r="A21" s="7">
        <f t="shared" si="0"/>
        <v>10019</v>
      </c>
      <c r="B21" s="7" t="s">
        <v>621</v>
      </c>
      <c r="C21" s="7" t="s">
        <v>2107</v>
      </c>
      <c r="D21" s="8" t="s">
        <v>2396</v>
      </c>
      <c r="E21" s="8" t="s">
        <v>2108</v>
      </c>
      <c r="F21" s="7">
        <v>0</v>
      </c>
      <c r="G21" s="7">
        <v>0</v>
      </c>
      <c r="H21" s="7">
        <v>0</v>
      </c>
      <c r="I21" s="7">
        <v>0</v>
      </c>
      <c r="J21" s="7">
        <v>0</v>
      </c>
      <c r="K21" s="7">
        <v>1</v>
      </c>
      <c r="L21" s="7">
        <v>0</v>
      </c>
      <c r="M21" s="7">
        <v>0</v>
      </c>
      <c r="N21" s="7">
        <v>0</v>
      </c>
      <c r="O21" s="7">
        <v>0</v>
      </c>
      <c r="P21" s="7">
        <v>0</v>
      </c>
      <c r="Q21" s="7">
        <v>0</v>
      </c>
      <c r="R21" s="7">
        <v>0</v>
      </c>
      <c r="S21" s="7">
        <v>0</v>
      </c>
      <c r="T21" s="7">
        <v>0</v>
      </c>
      <c r="U21" s="7">
        <v>0</v>
      </c>
      <c r="V21" s="7">
        <v>0</v>
      </c>
      <c r="W21" s="7">
        <v>0</v>
      </c>
      <c r="X21" s="7">
        <v>0</v>
      </c>
      <c r="Y21" s="7">
        <v>0</v>
      </c>
      <c r="Z21" s="7">
        <v>0</v>
      </c>
      <c r="AA21" s="7">
        <v>0</v>
      </c>
      <c r="AB21" s="7">
        <v>0</v>
      </c>
      <c r="AC21" s="7">
        <v>0</v>
      </c>
      <c r="AD21" s="7">
        <v>0</v>
      </c>
      <c r="AE21" s="7">
        <v>0</v>
      </c>
      <c r="AF21" s="7">
        <v>0</v>
      </c>
      <c r="AG21" s="7">
        <v>0</v>
      </c>
      <c r="AH21" s="7">
        <v>0</v>
      </c>
      <c r="AI21" s="7">
        <v>0</v>
      </c>
      <c r="AJ21" s="7">
        <v>0</v>
      </c>
      <c r="AK21" s="7">
        <v>0</v>
      </c>
      <c r="AL21" s="7" t="s">
        <v>72</v>
      </c>
      <c r="AM21" s="7" t="s">
        <v>376</v>
      </c>
      <c r="AN21" s="7" t="s">
        <v>1937</v>
      </c>
      <c r="AO21" s="7" t="s">
        <v>50</v>
      </c>
      <c r="AP21" s="7">
        <v>0</v>
      </c>
      <c r="AQ21" s="7">
        <v>0</v>
      </c>
      <c r="AR21" s="9">
        <v>0</v>
      </c>
      <c r="AS21" s="9">
        <v>0</v>
      </c>
      <c r="AT21" s="10" t="s">
        <v>50</v>
      </c>
      <c r="AU21" s="10" t="s">
        <v>50</v>
      </c>
      <c r="AV21" s="10" t="s">
        <v>50</v>
      </c>
      <c r="AW21" s="10" t="s">
        <v>50</v>
      </c>
      <c r="AX21" s="10" t="s">
        <v>50</v>
      </c>
      <c r="AY21" s="10" t="s">
        <v>50</v>
      </c>
      <c r="AZ21" s="10" t="s">
        <v>50</v>
      </c>
      <c r="BA21" s="10" t="s">
        <v>50</v>
      </c>
      <c r="BB21" s="10" t="s">
        <v>50</v>
      </c>
      <c r="BC21" s="10" t="s">
        <v>50</v>
      </c>
      <c r="BD21" s="10" t="s">
        <v>50</v>
      </c>
      <c r="BE21" s="10" t="s">
        <v>50</v>
      </c>
      <c r="BF21" s="10" t="s">
        <v>50</v>
      </c>
      <c r="BG21" s="10" t="s">
        <v>50</v>
      </c>
      <c r="BH21" s="10" t="s">
        <v>50</v>
      </c>
      <c r="BI21" s="9">
        <v>0</v>
      </c>
      <c r="BJ21" s="9">
        <v>0</v>
      </c>
      <c r="BK21" s="9">
        <v>1</v>
      </c>
      <c r="BL21" s="9">
        <v>0</v>
      </c>
      <c r="BM21" s="9">
        <v>0</v>
      </c>
      <c r="BN21" s="9">
        <v>0</v>
      </c>
      <c r="BO21" s="9">
        <v>0</v>
      </c>
    </row>
    <row r="22" spans="1:67" s="9" customFormat="1" ht="15.75" customHeight="1" x14ac:dyDescent="0.2">
      <c r="A22" s="7">
        <f t="shared" si="0"/>
        <v>10020</v>
      </c>
      <c r="B22" s="7" t="s">
        <v>621</v>
      </c>
      <c r="C22" s="7" t="s">
        <v>2111</v>
      </c>
      <c r="D22" s="8" t="s">
        <v>2397</v>
      </c>
      <c r="E22" s="8" t="s">
        <v>2110</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376</v>
      </c>
      <c r="AN22" s="7" t="s">
        <v>1937</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row>
    <row r="23" spans="1:67" ht="15.75" customHeight="1" x14ac:dyDescent="0.2">
      <c r="A23" s="3">
        <f t="shared" si="0"/>
        <v>10021</v>
      </c>
      <c r="B23" s="3" t="s">
        <v>627</v>
      </c>
      <c r="C23" s="3" t="s">
        <v>627</v>
      </c>
      <c r="D23" s="5" t="s">
        <v>910</v>
      </c>
      <c r="E23" s="5" t="s">
        <v>1057</v>
      </c>
      <c r="F23" s="3">
        <v>0</v>
      </c>
      <c r="G23" s="3">
        <v>0</v>
      </c>
      <c r="H23" s="3">
        <v>0</v>
      </c>
      <c r="I23" s="3">
        <v>0</v>
      </c>
      <c r="J23" s="3">
        <v>0</v>
      </c>
      <c r="K23" s="3">
        <v>1</v>
      </c>
      <c r="L23" s="3">
        <v>0</v>
      </c>
      <c r="M23" s="3">
        <v>0</v>
      </c>
      <c r="N23" s="3">
        <v>0</v>
      </c>
      <c r="O23" s="3">
        <v>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72</v>
      </c>
      <c r="AM23" s="3" t="s">
        <v>376</v>
      </c>
      <c r="AN23" s="3" t="s">
        <v>2208</v>
      </c>
      <c r="AO23" s="3" t="s">
        <v>1853</v>
      </c>
      <c r="AP23" s="3">
        <v>0</v>
      </c>
      <c r="AQ23" s="3">
        <v>0</v>
      </c>
      <c r="AR23">
        <v>0</v>
      </c>
      <c r="AS23">
        <v>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1</v>
      </c>
      <c r="BL23">
        <v>0</v>
      </c>
      <c r="BM23">
        <v>0</v>
      </c>
      <c r="BN23">
        <v>0</v>
      </c>
      <c r="BO23">
        <v>0</v>
      </c>
    </row>
    <row r="24" spans="1:67" s="9" customFormat="1" ht="17.25" customHeight="1" x14ac:dyDescent="0.2">
      <c r="A24" s="3">
        <f t="shared" si="0"/>
        <v>10022</v>
      </c>
      <c r="B24" s="7" t="s">
        <v>1308</v>
      </c>
      <c r="C24" s="7" t="s">
        <v>1308</v>
      </c>
      <c r="D24" s="8" t="s">
        <v>1332</v>
      </c>
      <c r="E24" s="8" t="s">
        <v>1333</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376</v>
      </c>
      <c r="AN24" s="7" t="s">
        <v>1937</v>
      </c>
      <c r="AO24" s="7" t="s">
        <v>1853</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row>
    <row r="25" spans="1:67" ht="15.75" customHeight="1" x14ac:dyDescent="0.2">
      <c r="A25" s="3">
        <f t="shared" si="0"/>
        <v>10023</v>
      </c>
      <c r="B25" s="3" t="s">
        <v>1330</v>
      </c>
      <c r="C25" s="3" t="s">
        <v>1330</v>
      </c>
      <c r="D25" s="5" t="s">
        <v>1329</v>
      </c>
      <c r="E25" s="5" t="s">
        <v>1331</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376</v>
      </c>
      <c r="AN25" s="3" t="s">
        <v>2209</v>
      </c>
      <c r="AO25" s="3" t="s">
        <v>1853</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row>
    <row r="26" spans="1:67" s="9" customFormat="1" ht="15.75" customHeight="1" x14ac:dyDescent="0.2">
      <c r="A26" s="3">
        <f t="shared" si="0"/>
        <v>10024</v>
      </c>
      <c r="B26" s="7" t="s">
        <v>665</v>
      </c>
      <c r="C26" s="7" t="s">
        <v>665</v>
      </c>
      <c r="D26" s="8" t="s">
        <v>664</v>
      </c>
      <c r="E26" s="8" t="s">
        <v>666</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376</v>
      </c>
      <c r="AN26" s="7" t="s">
        <v>1937</v>
      </c>
      <c r="AO26" s="7" t="s">
        <v>1853</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row>
    <row r="27" spans="1:67" ht="15.75" customHeight="1" x14ac:dyDescent="0.2">
      <c r="A27" s="3">
        <f t="shared" si="0"/>
        <v>10025</v>
      </c>
      <c r="B27" s="3" t="s">
        <v>913</v>
      </c>
      <c r="C27" s="3" t="s">
        <v>913</v>
      </c>
      <c r="D27" s="5" t="s">
        <v>1349</v>
      </c>
      <c r="E27" s="5" t="s">
        <v>1314</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-200</v>
      </c>
      <c r="Y27" s="3">
        <v>0</v>
      </c>
      <c r="Z27" s="3">
        <v>0</v>
      </c>
      <c r="AA27" s="3">
        <v>0</v>
      </c>
      <c r="AB27" s="3">
        <v>0</v>
      </c>
      <c r="AC27" s="3">
        <v>0</v>
      </c>
      <c r="AD27" s="3">
        <v>0</v>
      </c>
      <c r="AE27" s="3">
        <v>0</v>
      </c>
      <c r="AF27" s="3">
        <v>0</v>
      </c>
      <c r="AG27" s="3">
        <v>0</v>
      </c>
      <c r="AH27" s="3">
        <v>0</v>
      </c>
      <c r="AI27" s="3">
        <v>0</v>
      </c>
      <c r="AJ27" s="3">
        <v>0</v>
      </c>
      <c r="AK27" s="3">
        <v>0</v>
      </c>
      <c r="AL27" s="3" t="s">
        <v>72</v>
      </c>
      <c r="AM27" s="3" t="s">
        <v>376</v>
      </c>
      <c r="AN27" s="3" t="s">
        <v>2210</v>
      </c>
      <c r="AO27" s="3" t="s">
        <v>1853</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row>
    <row r="28" spans="1:67" s="9" customFormat="1" ht="15.75" customHeight="1" x14ac:dyDescent="0.2">
      <c r="A28" s="7">
        <f t="shared" si="0"/>
        <v>10026</v>
      </c>
      <c r="B28" s="7" t="s">
        <v>1565</v>
      </c>
      <c r="C28" s="7" t="s">
        <v>2274</v>
      </c>
      <c r="D28" s="8" t="s">
        <v>2266</v>
      </c>
      <c r="E28" s="8" t="s">
        <v>2408</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907</v>
      </c>
      <c r="AN28" s="7" t="s">
        <v>2272</v>
      </c>
      <c r="AO28" s="7" t="s">
        <v>50</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row>
    <row r="29" spans="1:67" ht="15.75" customHeight="1" x14ac:dyDescent="0.2">
      <c r="A29" s="3">
        <f t="shared" si="0"/>
        <v>10027</v>
      </c>
      <c r="B29" s="3" t="s">
        <v>2280</v>
      </c>
      <c r="C29" s="3" t="s">
        <v>2280</v>
      </c>
      <c r="D29" s="5" t="s">
        <v>2279</v>
      </c>
      <c r="E29" s="5" t="s">
        <v>2404</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72</v>
      </c>
      <c r="AM29" s="3" t="s">
        <v>907</v>
      </c>
      <c r="AN29" s="3" t="s">
        <v>2272</v>
      </c>
      <c r="AO29" s="3" t="s">
        <v>50</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row>
    <row r="30" spans="1:67" ht="15.75" customHeight="1" x14ac:dyDescent="0.2">
      <c r="A30" s="3">
        <f t="shared" si="0"/>
        <v>10028</v>
      </c>
      <c r="B30" s="3" t="s">
        <v>2275</v>
      </c>
      <c r="C30" s="3" t="s">
        <v>2275</v>
      </c>
      <c r="D30" s="5" t="s">
        <v>2267</v>
      </c>
      <c r="E30" s="5" t="s">
        <v>2405</v>
      </c>
      <c r="F30" s="3">
        <v>0</v>
      </c>
      <c r="G30" s="3">
        <v>0</v>
      </c>
      <c r="H30" s="3">
        <v>0</v>
      </c>
      <c r="I30" s="3">
        <v>0</v>
      </c>
      <c r="J30" s="3">
        <v>0</v>
      </c>
      <c r="K30" s="3">
        <v>1</v>
      </c>
      <c r="L30" s="3">
        <v>0</v>
      </c>
      <c r="M30" s="3">
        <v>0</v>
      </c>
      <c r="N30" s="3">
        <v>0</v>
      </c>
      <c r="O30" s="3">
        <v>0</v>
      </c>
      <c r="P30" s="3">
        <v>0</v>
      </c>
      <c r="Q30" s="3">
        <v>0</v>
      </c>
      <c r="R30" s="3">
        <v>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72</v>
      </c>
      <c r="AM30" s="3" t="s">
        <v>907</v>
      </c>
      <c r="AN30" s="3" t="s">
        <v>2272</v>
      </c>
      <c r="AO30" s="3" t="s">
        <v>50</v>
      </c>
      <c r="AP30" s="3">
        <v>0</v>
      </c>
      <c r="AQ30" s="3">
        <v>0</v>
      </c>
      <c r="AR30">
        <v>0</v>
      </c>
      <c r="AS30">
        <v>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row>
    <row r="31" spans="1:67" ht="15.75" customHeight="1" x14ac:dyDescent="0.2">
      <c r="A31" s="3">
        <f t="shared" si="0"/>
        <v>10029</v>
      </c>
      <c r="B31" s="3" t="s">
        <v>2276</v>
      </c>
      <c r="C31" s="3" t="s">
        <v>2276</v>
      </c>
      <c r="D31" s="5" t="s">
        <v>2268</v>
      </c>
      <c r="E31" s="5" t="s">
        <v>2406</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907</v>
      </c>
      <c r="AN31" s="3" t="s">
        <v>2272</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row>
    <row r="32" spans="1:67" ht="15.75" customHeight="1" x14ac:dyDescent="0.2">
      <c r="A32" s="3">
        <f t="shared" si="0"/>
        <v>10030</v>
      </c>
      <c r="B32" s="3" t="s">
        <v>2277</v>
      </c>
      <c r="C32" s="3" t="s">
        <v>2277</v>
      </c>
      <c r="D32" s="5" t="s">
        <v>2269</v>
      </c>
      <c r="E32" s="5" t="s">
        <v>2407</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907</v>
      </c>
      <c r="AN32" s="3" t="s">
        <v>2272</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row>
    <row r="33" spans="1:67" ht="15.75" customHeight="1" x14ac:dyDescent="0.2">
      <c r="A33" s="3">
        <f t="shared" si="0"/>
        <v>10031</v>
      </c>
      <c r="B33" s="3" t="s">
        <v>2982</v>
      </c>
      <c r="C33" s="3" t="s">
        <v>2982</v>
      </c>
      <c r="D33" s="5" t="s">
        <v>2624</v>
      </c>
      <c r="E33" s="5" t="s">
        <v>2625</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907</v>
      </c>
      <c r="AN33" s="3" t="s">
        <v>2641</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row>
    <row r="34" spans="1:67" s="14" customFormat="1" ht="15.75" customHeight="1" x14ac:dyDescent="0.2">
      <c r="A34" s="3">
        <f t="shared" si="0"/>
        <v>10032</v>
      </c>
      <c r="B34" s="12" t="s">
        <v>1487</v>
      </c>
      <c r="C34" s="12" t="s">
        <v>663</v>
      </c>
      <c r="D34" s="13" t="s">
        <v>1478</v>
      </c>
      <c r="E34" s="13" t="s">
        <v>1479</v>
      </c>
      <c r="F34" s="12">
        <v>0</v>
      </c>
      <c r="G34" s="12">
        <v>0</v>
      </c>
      <c r="H34" s="12">
        <v>0</v>
      </c>
      <c r="I34" s="12">
        <v>0</v>
      </c>
      <c r="J34" s="12">
        <v>0</v>
      </c>
      <c r="K34" s="12">
        <v>1</v>
      </c>
      <c r="L34" s="12">
        <v>0</v>
      </c>
      <c r="M34" s="12">
        <v>0</v>
      </c>
      <c r="N34" s="12">
        <v>0</v>
      </c>
      <c r="O34" s="12">
        <v>0</v>
      </c>
      <c r="P34" s="12">
        <v>0</v>
      </c>
      <c r="Q34" s="12">
        <v>0</v>
      </c>
      <c r="R34" s="12">
        <v>0</v>
      </c>
      <c r="S34" s="12">
        <v>0</v>
      </c>
      <c r="T34" s="12">
        <v>0</v>
      </c>
      <c r="U34" s="12">
        <v>0</v>
      </c>
      <c r="V34" s="12">
        <v>0</v>
      </c>
      <c r="W34" s="12">
        <v>0</v>
      </c>
      <c r="X34" s="12">
        <v>0</v>
      </c>
      <c r="Y34" s="12">
        <v>0</v>
      </c>
      <c r="Z34" s="12">
        <v>0</v>
      </c>
      <c r="AA34" s="12">
        <v>0</v>
      </c>
      <c r="AB34" s="12">
        <v>0</v>
      </c>
      <c r="AC34" s="12">
        <v>0</v>
      </c>
      <c r="AD34" s="12">
        <v>0</v>
      </c>
      <c r="AE34" s="12">
        <v>0</v>
      </c>
      <c r="AF34" s="12">
        <v>0</v>
      </c>
      <c r="AG34" s="12">
        <v>0</v>
      </c>
      <c r="AH34" s="12">
        <v>0</v>
      </c>
      <c r="AI34" s="12">
        <v>0</v>
      </c>
      <c r="AJ34" s="12">
        <v>0</v>
      </c>
      <c r="AK34" s="12">
        <v>0</v>
      </c>
      <c r="AL34" s="12" t="s">
        <v>72</v>
      </c>
      <c r="AM34" s="3" t="s">
        <v>907</v>
      </c>
      <c r="AN34" s="3" t="s">
        <v>1938</v>
      </c>
      <c r="AO34" s="3" t="s">
        <v>1853</v>
      </c>
      <c r="AP34" s="12">
        <v>0</v>
      </c>
      <c r="AQ34" s="12">
        <v>0</v>
      </c>
      <c r="AR34" s="14">
        <v>0</v>
      </c>
      <c r="AS34" s="14">
        <v>0</v>
      </c>
      <c r="AT34" s="15" t="s">
        <v>50</v>
      </c>
      <c r="AU34" s="15" t="s">
        <v>50</v>
      </c>
      <c r="AV34" s="15" t="s">
        <v>50</v>
      </c>
      <c r="AW34" s="15" t="s">
        <v>50</v>
      </c>
      <c r="AX34" s="15" t="s">
        <v>50</v>
      </c>
      <c r="AY34" s="15" t="s">
        <v>50</v>
      </c>
      <c r="AZ34" s="15" t="s">
        <v>50</v>
      </c>
      <c r="BA34" s="15" t="s">
        <v>50</v>
      </c>
      <c r="BB34" s="15" t="s">
        <v>50</v>
      </c>
      <c r="BC34" s="15" t="s">
        <v>50</v>
      </c>
      <c r="BD34" s="15" t="s">
        <v>50</v>
      </c>
      <c r="BE34" s="15" t="s">
        <v>50</v>
      </c>
      <c r="BF34" s="15" t="s">
        <v>50</v>
      </c>
      <c r="BG34" s="15" t="s">
        <v>50</v>
      </c>
      <c r="BH34" s="6" t="s">
        <v>50</v>
      </c>
      <c r="BI34">
        <v>1</v>
      </c>
      <c r="BJ34">
        <v>0</v>
      </c>
      <c r="BK34">
        <v>1</v>
      </c>
      <c r="BL34">
        <v>0</v>
      </c>
      <c r="BM34">
        <v>0</v>
      </c>
      <c r="BN34">
        <v>0</v>
      </c>
      <c r="BO34">
        <v>0</v>
      </c>
    </row>
    <row r="35" spans="1:67" s="14" customFormat="1" ht="15.75" customHeight="1" x14ac:dyDescent="0.2">
      <c r="A35" s="3">
        <f t="shared" si="0"/>
        <v>10033</v>
      </c>
      <c r="B35" s="12" t="s">
        <v>1485</v>
      </c>
      <c r="C35" s="12" t="s">
        <v>1480</v>
      </c>
      <c r="D35" s="13" t="s">
        <v>1482</v>
      </c>
      <c r="E35" s="13" t="s">
        <v>1522</v>
      </c>
      <c r="F35" s="12">
        <v>0</v>
      </c>
      <c r="G35" s="12">
        <v>0</v>
      </c>
      <c r="H35" s="12">
        <v>0</v>
      </c>
      <c r="I35" s="12">
        <v>0</v>
      </c>
      <c r="J35" s="12">
        <v>0</v>
      </c>
      <c r="K35" s="12">
        <v>1</v>
      </c>
      <c r="L35" s="12">
        <v>0</v>
      </c>
      <c r="M35" s="12">
        <v>0</v>
      </c>
      <c r="N35" s="12">
        <v>0</v>
      </c>
      <c r="O35" s="12">
        <v>0</v>
      </c>
      <c r="P35" s="12">
        <v>0</v>
      </c>
      <c r="Q35" s="12">
        <v>0</v>
      </c>
      <c r="R35" s="12">
        <v>0</v>
      </c>
      <c r="S35" s="12">
        <v>0</v>
      </c>
      <c r="T35" s="12">
        <v>0</v>
      </c>
      <c r="U35" s="12">
        <v>0</v>
      </c>
      <c r="V35" s="12">
        <v>0</v>
      </c>
      <c r="W35" s="12">
        <v>0</v>
      </c>
      <c r="X35" s="12">
        <v>0</v>
      </c>
      <c r="Y35" s="12">
        <v>0</v>
      </c>
      <c r="Z35" s="12">
        <v>0</v>
      </c>
      <c r="AA35" s="12">
        <v>0</v>
      </c>
      <c r="AB35" s="12">
        <v>0</v>
      </c>
      <c r="AC35" s="12">
        <v>0</v>
      </c>
      <c r="AD35" s="12">
        <v>0</v>
      </c>
      <c r="AE35" s="12">
        <v>0</v>
      </c>
      <c r="AF35" s="12">
        <v>0</v>
      </c>
      <c r="AG35" s="12">
        <v>0</v>
      </c>
      <c r="AH35" s="12">
        <v>0</v>
      </c>
      <c r="AI35" s="12">
        <v>0</v>
      </c>
      <c r="AJ35" s="12">
        <v>0</v>
      </c>
      <c r="AK35" s="12">
        <v>0</v>
      </c>
      <c r="AL35" s="12" t="s">
        <v>72</v>
      </c>
      <c r="AM35" s="3" t="s">
        <v>907</v>
      </c>
      <c r="AN35" s="3" t="s">
        <v>1938</v>
      </c>
      <c r="AO35" s="3" t="s">
        <v>1853</v>
      </c>
      <c r="AP35" s="12">
        <v>0</v>
      </c>
      <c r="AQ35" s="12">
        <v>0</v>
      </c>
      <c r="AR35" s="14">
        <v>0</v>
      </c>
      <c r="AS35" s="14">
        <v>2500</v>
      </c>
      <c r="AT35" s="15" t="s">
        <v>50</v>
      </c>
      <c r="AU35" s="15" t="s">
        <v>50</v>
      </c>
      <c r="AV35" s="15" t="s">
        <v>50</v>
      </c>
      <c r="AW35" s="15" t="s">
        <v>50</v>
      </c>
      <c r="AX35" s="15" t="s">
        <v>50</v>
      </c>
      <c r="AY35" s="15" t="s">
        <v>50</v>
      </c>
      <c r="AZ35" s="15" t="s">
        <v>50</v>
      </c>
      <c r="BA35" s="15" t="s">
        <v>50</v>
      </c>
      <c r="BB35" s="15" t="s">
        <v>50</v>
      </c>
      <c r="BC35" s="15" t="s">
        <v>50</v>
      </c>
      <c r="BD35" s="15" t="s">
        <v>50</v>
      </c>
      <c r="BE35" s="15" t="s">
        <v>50</v>
      </c>
      <c r="BF35" s="15" t="s">
        <v>50</v>
      </c>
      <c r="BG35" s="15" t="s">
        <v>50</v>
      </c>
      <c r="BH35" s="6" t="s">
        <v>50</v>
      </c>
      <c r="BI35">
        <v>1</v>
      </c>
      <c r="BJ35">
        <v>0</v>
      </c>
      <c r="BK35">
        <v>1</v>
      </c>
      <c r="BL35">
        <v>0</v>
      </c>
      <c r="BM35">
        <v>0</v>
      </c>
      <c r="BN35">
        <v>0</v>
      </c>
      <c r="BO35">
        <v>0</v>
      </c>
    </row>
    <row r="36" spans="1:67" s="14" customFormat="1" ht="15.75" customHeight="1" x14ac:dyDescent="0.2">
      <c r="A36" s="3">
        <f t="shared" si="0"/>
        <v>10034</v>
      </c>
      <c r="B36" s="12" t="s">
        <v>1486</v>
      </c>
      <c r="C36" s="12" t="s">
        <v>1481</v>
      </c>
      <c r="D36" s="13" t="s">
        <v>1483</v>
      </c>
      <c r="E36" s="13" t="s">
        <v>1523</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907</v>
      </c>
      <c r="AN36" s="3" t="s">
        <v>1938</v>
      </c>
      <c r="AO36" s="3" t="s">
        <v>1853</v>
      </c>
      <c r="AP36" s="12">
        <v>0</v>
      </c>
      <c r="AQ36" s="12">
        <v>0</v>
      </c>
      <c r="AR36" s="14">
        <v>0</v>
      </c>
      <c r="AS36" s="14">
        <v>10000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row>
    <row r="37" spans="1:67" ht="15.75" customHeight="1" x14ac:dyDescent="0.2">
      <c r="A37" s="3">
        <f t="shared" si="0"/>
        <v>10035</v>
      </c>
      <c r="B37" s="3" t="s">
        <v>2610</v>
      </c>
      <c r="C37" s="3" t="s">
        <v>2595</v>
      </c>
      <c r="D37" s="5" t="s">
        <v>2596</v>
      </c>
      <c r="E37" s="5" t="s">
        <v>2597</v>
      </c>
      <c r="F37" s="3">
        <v>0</v>
      </c>
      <c r="G37" s="3">
        <v>0</v>
      </c>
      <c r="H37" s="3">
        <v>0</v>
      </c>
      <c r="I37" s="3">
        <v>0</v>
      </c>
      <c r="J37" s="3">
        <v>0</v>
      </c>
      <c r="K37" s="3">
        <v>1</v>
      </c>
      <c r="L37" s="3">
        <v>0</v>
      </c>
      <c r="M37" s="3">
        <v>0</v>
      </c>
      <c r="N37" s="3">
        <v>0</v>
      </c>
      <c r="O37" s="3">
        <v>0</v>
      </c>
      <c r="P37" s="3">
        <v>0</v>
      </c>
      <c r="Q37" s="3">
        <v>0</v>
      </c>
      <c r="R37" s="3">
        <v>0</v>
      </c>
      <c r="S37" s="3">
        <v>0</v>
      </c>
      <c r="T37" s="3">
        <v>0</v>
      </c>
      <c r="U37" s="3">
        <v>0</v>
      </c>
      <c r="V37" s="3">
        <v>0</v>
      </c>
      <c r="W37" s="3">
        <v>0</v>
      </c>
      <c r="X37" s="3">
        <v>0</v>
      </c>
      <c r="Y37" s="3">
        <v>0</v>
      </c>
      <c r="Z37" s="3">
        <v>0</v>
      </c>
      <c r="AA37" s="3">
        <v>0</v>
      </c>
      <c r="AB37" s="3">
        <v>0</v>
      </c>
      <c r="AC37" s="3">
        <v>0</v>
      </c>
      <c r="AD37" s="3">
        <v>0</v>
      </c>
      <c r="AE37" s="3">
        <v>0</v>
      </c>
      <c r="AF37" s="3">
        <v>0</v>
      </c>
      <c r="AG37" s="3">
        <v>0</v>
      </c>
      <c r="AH37" s="3">
        <v>0</v>
      </c>
      <c r="AI37" s="3">
        <v>0</v>
      </c>
      <c r="AJ37" s="3">
        <v>0</v>
      </c>
      <c r="AK37" s="3">
        <v>0</v>
      </c>
      <c r="AL37" s="3" t="s">
        <v>72</v>
      </c>
      <c r="AM37" s="3" t="s">
        <v>907</v>
      </c>
      <c r="AN37" s="3" t="s">
        <v>1938</v>
      </c>
      <c r="AO37" s="3" t="s">
        <v>50</v>
      </c>
      <c r="AP37" s="3">
        <v>0</v>
      </c>
      <c r="AQ37" s="3">
        <v>0</v>
      </c>
      <c r="AR37">
        <v>0</v>
      </c>
      <c r="AS37">
        <v>10000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row>
    <row r="38" spans="1:67" ht="15.75" customHeight="1" x14ac:dyDescent="0.2">
      <c r="A38" s="3">
        <f t="shared" si="0"/>
        <v>10036</v>
      </c>
      <c r="B38" s="3" t="s">
        <v>2599</v>
      </c>
      <c r="C38" s="3" t="s">
        <v>2599</v>
      </c>
      <c r="D38" s="5" t="s">
        <v>2608</v>
      </c>
      <c r="E38" s="5" t="s">
        <v>2598</v>
      </c>
      <c r="F38" s="3">
        <v>0</v>
      </c>
      <c r="G38" s="3">
        <v>0</v>
      </c>
      <c r="H38" s="3">
        <v>0</v>
      </c>
      <c r="I38" s="3">
        <v>0</v>
      </c>
      <c r="J38" s="3">
        <v>0</v>
      </c>
      <c r="K38" s="3">
        <v>1</v>
      </c>
      <c r="L38" s="3">
        <v>0</v>
      </c>
      <c r="M38" s="3">
        <v>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t="s">
        <v>72</v>
      </c>
      <c r="AM38" s="3" t="s">
        <v>907</v>
      </c>
      <c r="AN38" s="3" t="s">
        <v>1938</v>
      </c>
      <c r="AO38" s="3" t="s">
        <v>50</v>
      </c>
      <c r="AP38" s="3">
        <v>0</v>
      </c>
      <c r="AQ38" s="3">
        <v>0</v>
      </c>
      <c r="AR38">
        <v>0</v>
      </c>
      <c r="AS38">
        <v>10000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row>
    <row r="39" spans="1:67" ht="15.75" customHeight="1" x14ac:dyDescent="0.2">
      <c r="A39" s="3">
        <f t="shared" si="0"/>
        <v>10037</v>
      </c>
      <c r="B39" s="3" t="s">
        <v>2601</v>
      </c>
      <c r="C39" s="3" t="s">
        <v>2601</v>
      </c>
      <c r="D39" s="5" t="s">
        <v>2609</v>
      </c>
      <c r="E39" s="5" t="s">
        <v>2600</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907</v>
      </c>
      <c r="AN39" s="3" t="s">
        <v>1938</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row>
    <row r="40" spans="1:67" ht="15.75" customHeight="1" x14ac:dyDescent="0.2">
      <c r="A40" s="3">
        <f t="shared" si="0"/>
        <v>10038</v>
      </c>
      <c r="B40" s="3" t="s">
        <v>2633</v>
      </c>
      <c r="C40" s="3" t="s">
        <v>2633</v>
      </c>
      <c r="D40" s="5" t="s">
        <v>2632</v>
      </c>
      <c r="E40" s="5" t="s">
        <v>2634</v>
      </c>
      <c r="F40" s="3">
        <v>0</v>
      </c>
      <c r="G40" s="3">
        <v>0</v>
      </c>
      <c r="H40" s="3">
        <v>0</v>
      </c>
      <c r="I40" s="3">
        <v>0</v>
      </c>
      <c r="J40" s="3">
        <v>0</v>
      </c>
      <c r="K40" s="3">
        <v>1</v>
      </c>
      <c r="L40" s="3">
        <v>0</v>
      </c>
      <c r="M40" s="3">
        <v>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72</v>
      </c>
      <c r="AM40" s="3" t="s">
        <v>907</v>
      </c>
      <c r="AN40" s="3" t="s">
        <v>2642</v>
      </c>
      <c r="AO40" s="3" t="s">
        <v>50</v>
      </c>
      <c r="AP40" s="3">
        <v>0</v>
      </c>
      <c r="AQ40" s="3">
        <v>0</v>
      </c>
      <c r="AR40">
        <v>0</v>
      </c>
      <c r="AS40">
        <v>10000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0</v>
      </c>
      <c r="BK40">
        <v>1</v>
      </c>
      <c r="BL40">
        <v>0</v>
      </c>
      <c r="BM40">
        <v>0</v>
      </c>
      <c r="BN40">
        <v>0</v>
      </c>
      <c r="BO40">
        <v>0</v>
      </c>
    </row>
    <row r="41" spans="1:67" ht="15.75" customHeight="1" x14ac:dyDescent="0.2">
      <c r="A41" s="3">
        <f t="shared" si="0"/>
        <v>10039</v>
      </c>
      <c r="B41" s="3" t="s">
        <v>2637</v>
      </c>
      <c r="C41" s="3" t="s">
        <v>2637</v>
      </c>
      <c r="D41" s="5" t="s">
        <v>2635</v>
      </c>
      <c r="E41" s="5" t="s">
        <v>2636</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907</v>
      </c>
      <c r="AN41" s="3" t="s">
        <v>2643</v>
      </c>
      <c r="AO41" s="3" t="s">
        <v>50</v>
      </c>
      <c r="AP41" s="3">
        <v>0</v>
      </c>
      <c r="AQ41" s="3">
        <v>0</v>
      </c>
      <c r="AR41">
        <v>0</v>
      </c>
      <c r="AS41">
        <v>10000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row>
    <row r="42" spans="1:67" ht="15.75" customHeight="1" x14ac:dyDescent="0.2">
      <c r="A42" s="3">
        <f t="shared" si="0"/>
        <v>10040</v>
      </c>
      <c r="B42" s="3" t="s">
        <v>881</v>
      </c>
      <c r="C42" s="3" t="s">
        <v>875</v>
      </c>
      <c r="D42" s="5" t="s">
        <v>891</v>
      </c>
      <c r="E42" s="5" t="s">
        <v>876</v>
      </c>
      <c r="F42" s="3">
        <v>0</v>
      </c>
      <c r="G42" s="3">
        <v>0</v>
      </c>
      <c r="H42" s="3">
        <v>0</v>
      </c>
      <c r="I42" s="3">
        <v>0</v>
      </c>
      <c r="J42" s="3">
        <v>0</v>
      </c>
      <c r="K42" s="3">
        <v>0</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907</v>
      </c>
      <c r="AN42" s="3" t="s">
        <v>1939</v>
      </c>
      <c r="AO42" s="3" t="s">
        <v>1853</v>
      </c>
      <c r="AP42" s="3">
        <v>0</v>
      </c>
      <c r="AQ42" s="3">
        <v>0</v>
      </c>
      <c r="AR42">
        <v>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row>
    <row r="43" spans="1:67" ht="15.75" customHeight="1" x14ac:dyDescent="0.2">
      <c r="A43" s="3">
        <f t="shared" si="0"/>
        <v>10041</v>
      </c>
      <c r="B43" s="3" t="s">
        <v>882</v>
      </c>
      <c r="C43" s="3" t="s">
        <v>877</v>
      </c>
      <c r="D43" s="5" t="s">
        <v>893</v>
      </c>
      <c r="E43" s="5" t="s">
        <v>878</v>
      </c>
      <c r="F43" s="3">
        <v>0</v>
      </c>
      <c r="G43" s="3">
        <v>0</v>
      </c>
      <c r="H43" s="3">
        <v>0</v>
      </c>
      <c r="I43" s="3">
        <v>0</v>
      </c>
      <c r="J43" s="3">
        <v>0</v>
      </c>
      <c r="K43" s="3">
        <v>0</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907</v>
      </c>
      <c r="AN43" s="3" t="s">
        <v>1939</v>
      </c>
      <c r="AO43" s="3" t="s">
        <v>1853</v>
      </c>
      <c r="AP43" s="3">
        <v>0</v>
      </c>
      <c r="AQ43" s="3">
        <v>0</v>
      </c>
      <c r="AR43">
        <v>0</v>
      </c>
      <c r="AS43">
        <v>300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row>
    <row r="44" spans="1:67" ht="15.75" customHeight="1" x14ac:dyDescent="0.2">
      <c r="A44" s="3">
        <f t="shared" si="0"/>
        <v>10042</v>
      </c>
      <c r="B44" s="3" t="s">
        <v>883</v>
      </c>
      <c r="C44" s="3" t="s">
        <v>880</v>
      </c>
      <c r="D44" s="5" t="s">
        <v>892</v>
      </c>
      <c r="E44" s="5" t="s">
        <v>879</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907</v>
      </c>
      <c r="AN44" s="3" t="s">
        <v>1939</v>
      </c>
      <c r="AO44" s="3" t="s">
        <v>1853</v>
      </c>
      <c r="AP44" s="3">
        <v>0</v>
      </c>
      <c r="AQ44" s="3">
        <v>0</v>
      </c>
      <c r="AR44">
        <v>0</v>
      </c>
      <c r="AS44">
        <v>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row>
    <row r="45" spans="1:67" s="18" customFormat="1" ht="15.75" customHeight="1" x14ac:dyDescent="0.2">
      <c r="A45" s="16">
        <f t="shared" si="0"/>
        <v>10043</v>
      </c>
      <c r="B45" s="16" t="s">
        <v>883</v>
      </c>
      <c r="C45" s="16" t="s">
        <v>992</v>
      </c>
      <c r="D45" s="17" t="s">
        <v>991</v>
      </c>
      <c r="E45" s="17" t="s">
        <v>3396</v>
      </c>
      <c r="F45" s="16">
        <v>0</v>
      </c>
      <c r="G45" s="16">
        <v>0</v>
      </c>
      <c r="H45" s="16">
        <v>0</v>
      </c>
      <c r="I45" s="16">
        <v>0</v>
      </c>
      <c r="J45" s="16">
        <v>0</v>
      </c>
      <c r="K45" s="16">
        <v>0</v>
      </c>
      <c r="L45" s="16">
        <v>0</v>
      </c>
      <c r="M45" s="16">
        <v>0</v>
      </c>
      <c r="N45" s="16">
        <v>0</v>
      </c>
      <c r="O45" s="16">
        <v>0</v>
      </c>
      <c r="P45" s="16">
        <v>0</v>
      </c>
      <c r="Q45" s="16">
        <v>0</v>
      </c>
      <c r="R45" s="16">
        <v>0</v>
      </c>
      <c r="S45" s="16">
        <v>0</v>
      </c>
      <c r="T45" s="16">
        <v>0</v>
      </c>
      <c r="U45" s="16">
        <v>0</v>
      </c>
      <c r="V45" s="16">
        <v>0</v>
      </c>
      <c r="W45" s="16">
        <v>0</v>
      </c>
      <c r="X45" s="16">
        <v>0</v>
      </c>
      <c r="Y45" s="16">
        <v>0</v>
      </c>
      <c r="Z45" s="16">
        <v>0</v>
      </c>
      <c r="AA45" s="16">
        <v>0</v>
      </c>
      <c r="AB45" s="16">
        <v>0</v>
      </c>
      <c r="AC45" s="16">
        <v>0</v>
      </c>
      <c r="AD45" s="16">
        <v>0</v>
      </c>
      <c r="AE45" s="16">
        <v>0</v>
      </c>
      <c r="AF45" s="16">
        <v>0</v>
      </c>
      <c r="AG45" s="16">
        <v>0</v>
      </c>
      <c r="AH45" s="16">
        <v>0</v>
      </c>
      <c r="AI45" s="16">
        <v>0</v>
      </c>
      <c r="AJ45" s="16">
        <v>0</v>
      </c>
      <c r="AK45" s="16">
        <v>0</v>
      </c>
      <c r="AL45" s="16" t="s">
        <v>72</v>
      </c>
      <c r="AM45" s="16" t="s">
        <v>907</v>
      </c>
      <c r="AN45" s="16" t="s">
        <v>1940</v>
      </c>
      <c r="AO45" s="16" t="s">
        <v>1853</v>
      </c>
      <c r="AP45" s="16">
        <v>0</v>
      </c>
      <c r="AQ45" s="16">
        <v>0</v>
      </c>
      <c r="AR45" s="18">
        <v>0</v>
      </c>
      <c r="AS45" s="18">
        <v>100</v>
      </c>
      <c r="AT45" s="19" t="s">
        <v>50</v>
      </c>
      <c r="AU45" s="19" t="s">
        <v>50</v>
      </c>
      <c r="AV45" s="19" t="s">
        <v>50</v>
      </c>
      <c r="AW45" s="19" t="s">
        <v>50</v>
      </c>
      <c r="AX45" s="19" t="s">
        <v>50</v>
      </c>
      <c r="AY45" s="19" t="s">
        <v>50</v>
      </c>
      <c r="AZ45" s="19" t="s">
        <v>50</v>
      </c>
      <c r="BA45" s="19" t="s">
        <v>50</v>
      </c>
      <c r="BB45" s="19" t="s">
        <v>50</v>
      </c>
      <c r="BC45" s="19" t="s">
        <v>50</v>
      </c>
      <c r="BD45" s="19" t="s">
        <v>50</v>
      </c>
      <c r="BE45" s="19" t="s">
        <v>50</v>
      </c>
      <c r="BF45" s="19" t="s">
        <v>50</v>
      </c>
      <c r="BG45" s="19" t="s">
        <v>50</v>
      </c>
      <c r="BH45" s="19" t="s">
        <v>50</v>
      </c>
      <c r="BI45" s="18">
        <v>1</v>
      </c>
      <c r="BJ45" s="18">
        <v>0</v>
      </c>
      <c r="BK45" s="18">
        <v>1</v>
      </c>
      <c r="BL45" s="18">
        <v>0</v>
      </c>
      <c r="BM45" s="18">
        <v>0</v>
      </c>
      <c r="BN45" s="18">
        <v>0</v>
      </c>
      <c r="BO45" s="18">
        <v>0</v>
      </c>
    </row>
    <row r="46" spans="1:67" s="18" customFormat="1" ht="15.75" customHeight="1" x14ac:dyDescent="0.2">
      <c r="A46" s="16">
        <f t="shared" si="0"/>
        <v>10044</v>
      </c>
      <c r="B46" s="16" t="s">
        <v>1686</v>
      </c>
      <c r="C46" s="16" t="s">
        <v>3444</v>
      </c>
      <c r="D46" s="17" t="s">
        <v>3445</v>
      </c>
      <c r="E46" s="17" t="s">
        <v>3446</v>
      </c>
      <c r="F46" s="16">
        <v>0</v>
      </c>
      <c r="G46" s="16">
        <v>0</v>
      </c>
      <c r="H46" s="16">
        <v>0</v>
      </c>
      <c r="I46" s="16">
        <v>0</v>
      </c>
      <c r="J46" s="16">
        <v>0</v>
      </c>
      <c r="K46" s="16">
        <v>0</v>
      </c>
      <c r="L46" s="16">
        <v>0</v>
      </c>
      <c r="M46" s="16">
        <v>0</v>
      </c>
      <c r="N46" s="16">
        <v>0</v>
      </c>
      <c r="O46" s="16">
        <v>0</v>
      </c>
      <c r="P46" s="16">
        <v>0</v>
      </c>
      <c r="Q46" s="16">
        <v>0</v>
      </c>
      <c r="R46" s="16">
        <v>0</v>
      </c>
      <c r="S46" s="16">
        <v>0</v>
      </c>
      <c r="T46" s="16">
        <v>0</v>
      </c>
      <c r="U46" s="16">
        <v>0</v>
      </c>
      <c r="V46" s="16">
        <v>0</v>
      </c>
      <c r="W46" s="16">
        <v>0</v>
      </c>
      <c r="X46" s="16">
        <v>0</v>
      </c>
      <c r="Y46" s="16">
        <v>0</v>
      </c>
      <c r="Z46" s="16">
        <v>0</v>
      </c>
      <c r="AA46" s="16">
        <v>0</v>
      </c>
      <c r="AB46" s="16">
        <v>0</v>
      </c>
      <c r="AC46" s="16">
        <v>0</v>
      </c>
      <c r="AD46" s="16">
        <v>0</v>
      </c>
      <c r="AE46" s="16">
        <v>0</v>
      </c>
      <c r="AF46" s="16">
        <v>0</v>
      </c>
      <c r="AG46" s="16">
        <v>0</v>
      </c>
      <c r="AH46" s="16">
        <v>0</v>
      </c>
      <c r="AI46" s="16">
        <v>0</v>
      </c>
      <c r="AJ46" s="16">
        <v>0</v>
      </c>
      <c r="AK46" s="16">
        <v>0</v>
      </c>
      <c r="AL46" s="16" t="s">
        <v>72</v>
      </c>
      <c r="AM46" s="16" t="s">
        <v>907</v>
      </c>
      <c r="AN46" s="16" t="s">
        <v>1940</v>
      </c>
      <c r="AO46" s="16" t="s">
        <v>50</v>
      </c>
      <c r="AP46" s="16">
        <v>0</v>
      </c>
      <c r="AQ46" s="16">
        <v>0</v>
      </c>
      <c r="AR46" s="18">
        <v>0</v>
      </c>
      <c r="AS46" s="18">
        <v>500</v>
      </c>
      <c r="AT46" s="19" t="s">
        <v>50</v>
      </c>
      <c r="AU46" s="19" t="s">
        <v>50</v>
      </c>
      <c r="AV46" s="19" t="s">
        <v>50</v>
      </c>
      <c r="AW46" s="19" t="s">
        <v>50</v>
      </c>
      <c r="AX46" s="19" t="s">
        <v>50</v>
      </c>
      <c r="AY46" s="19" t="s">
        <v>50</v>
      </c>
      <c r="AZ46" s="19" t="s">
        <v>50</v>
      </c>
      <c r="BA46" s="19" t="s">
        <v>50</v>
      </c>
      <c r="BB46" s="19" t="s">
        <v>50</v>
      </c>
      <c r="BC46" s="19" t="s">
        <v>50</v>
      </c>
      <c r="BD46" s="19" t="s">
        <v>50</v>
      </c>
      <c r="BE46" s="19" t="s">
        <v>50</v>
      </c>
      <c r="BF46" s="19" t="s">
        <v>50</v>
      </c>
      <c r="BG46" s="19" t="s">
        <v>50</v>
      </c>
      <c r="BH46" s="19" t="s">
        <v>50</v>
      </c>
      <c r="BI46" s="18">
        <v>1</v>
      </c>
      <c r="BJ46" s="18">
        <v>0</v>
      </c>
      <c r="BK46" s="18">
        <v>1</v>
      </c>
      <c r="BL46" s="18">
        <v>0</v>
      </c>
      <c r="BM46" s="18">
        <v>0</v>
      </c>
      <c r="BN46" s="18">
        <v>0</v>
      </c>
      <c r="BO46" s="18">
        <v>0</v>
      </c>
    </row>
    <row r="47" spans="1:67" s="37" customFormat="1" ht="15.75" customHeight="1" x14ac:dyDescent="0.2">
      <c r="A47" s="34">
        <f t="shared" si="0"/>
        <v>10045</v>
      </c>
      <c r="B47" s="34" t="s">
        <v>1686</v>
      </c>
      <c r="C47" s="34" t="s">
        <v>3395</v>
      </c>
      <c r="D47" s="39" t="s">
        <v>3394</v>
      </c>
      <c r="E47" s="39" t="s">
        <v>3397</v>
      </c>
      <c r="F47" s="34">
        <v>0</v>
      </c>
      <c r="G47" s="34">
        <v>0</v>
      </c>
      <c r="H47" s="34">
        <v>0</v>
      </c>
      <c r="I47" s="34">
        <v>0</v>
      </c>
      <c r="J47" s="34">
        <v>0</v>
      </c>
      <c r="K47" s="34">
        <v>0</v>
      </c>
      <c r="L47" s="34">
        <v>0</v>
      </c>
      <c r="M47" s="34">
        <v>0</v>
      </c>
      <c r="N47" s="34">
        <v>0</v>
      </c>
      <c r="O47" s="34">
        <v>0</v>
      </c>
      <c r="P47" s="34">
        <v>0</v>
      </c>
      <c r="Q47" s="34">
        <v>0</v>
      </c>
      <c r="R47" s="34">
        <v>0</v>
      </c>
      <c r="S47" s="34">
        <v>0</v>
      </c>
      <c r="T47" s="34">
        <v>0</v>
      </c>
      <c r="U47" s="34">
        <v>0</v>
      </c>
      <c r="V47" s="34">
        <v>0</v>
      </c>
      <c r="W47" s="34">
        <v>0</v>
      </c>
      <c r="X47" s="34">
        <v>0</v>
      </c>
      <c r="Y47" s="34">
        <v>0</v>
      </c>
      <c r="Z47" s="34">
        <v>0</v>
      </c>
      <c r="AA47" s="34">
        <v>0</v>
      </c>
      <c r="AB47" s="34">
        <v>0</v>
      </c>
      <c r="AC47" s="34">
        <v>0</v>
      </c>
      <c r="AD47" s="34">
        <v>0</v>
      </c>
      <c r="AE47" s="34">
        <v>0</v>
      </c>
      <c r="AF47" s="34">
        <v>0</v>
      </c>
      <c r="AG47" s="34">
        <v>0</v>
      </c>
      <c r="AH47" s="34">
        <v>0</v>
      </c>
      <c r="AI47" s="34">
        <v>0</v>
      </c>
      <c r="AJ47" s="34">
        <v>0</v>
      </c>
      <c r="AK47" s="34">
        <v>0</v>
      </c>
      <c r="AL47" s="34" t="s">
        <v>72</v>
      </c>
      <c r="AM47" s="34" t="s">
        <v>907</v>
      </c>
      <c r="AN47" s="34" t="s">
        <v>1940</v>
      </c>
      <c r="AO47" s="34" t="s">
        <v>50</v>
      </c>
      <c r="AP47" s="34">
        <v>0</v>
      </c>
      <c r="AQ47" s="34">
        <v>0</v>
      </c>
      <c r="AR47" s="37">
        <v>0</v>
      </c>
      <c r="AS47" s="37">
        <v>500</v>
      </c>
      <c r="AT47" s="38" t="s">
        <v>50</v>
      </c>
      <c r="AU47" s="38" t="s">
        <v>50</v>
      </c>
      <c r="AV47" s="38" t="s">
        <v>50</v>
      </c>
      <c r="AW47" s="38" t="s">
        <v>50</v>
      </c>
      <c r="AX47" s="38" t="s">
        <v>50</v>
      </c>
      <c r="AY47" s="38" t="s">
        <v>50</v>
      </c>
      <c r="AZ47" s="38" t="s">
        <v>50</v>
      </c>
      <c r="BA47" s="38" t="s">
        <v>50</v>
      </c>
      <c r="BB47" s="38" t="s">
        <v>50</v>
      </c>
      <c r="BC47" s="38" t="s">
        <v>50</v>
      </c>
      <c r="BD47" s="38" t="s">
        <v>50</v>
      </c>
      <c r="BE47" s="38" t="s">
        <v>50</v>
      </c>
      <c r="BF47" s="38" t="s">
        <v>50</v>
      </c>
      <c r="BG47" s="38" t="s">
        <v>50</v>
      </c>
      <c r="BH47" s="38" t="s">
        <v>50</v>
      </c>
      <c r="BI47" s="37">
        <v>1</v>
      </c>
      <c r="BJ47" s="37">
        <v>0</v>
      </c>
      <c r="BK47" s="37">
        <v>1</v>
      </c>
      <c r="BL47" s="37">
        <v>0</v>
      </c>
      <c r="BM47" s="37">
        <v>0</v>
      </c>
      <c r="BN47" s="37">
        <v>0</v>
      </c>
      <c r="BO47" s="37">
        <v>0</v>
      </c>
    </row>
    <row r="48" spans="1:67" ht="15.75" customHeight="1" x14ac:dyDescent="0.2">
      <c r="A48" s="3">
        <f t="shared" si="0"/>
        <v>10046</v>
      </c>
      <c r="B48" s="3" t="s">
        <v>1055</v>
      </c>
      <c r="C48" s="3" t="s">
        <v>1055</v>
      </c>
      <c r="D48" s="5" t="s">
        <v>1056</v>
      </c>
      <c r="E48" s="5" t="s">
        <v>1298</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907</v>
      </c>
      <c r="AN48" s="3" t="s">
        <v>1941</v>
      </c>
      <c r="AO48" s="3" t="s">
        <v>1853</v>
      </c>
      <c r="AP48" s="3">
        <v>0</v>
      </c>
      <c r="AQ48" s="3">
        <v>0</v>
      </c>
      <c r="AR48">
        <v>0</v>
      </c>
      <c r="AS48">
        <v>100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row>
    <row r="49" spans="1:67" ht="15.75" customHeight="1" x14ac:dyDescent="0.2">
      <c r="A49" s="3">
        <f t="shared" si="0"/>
        <v>10047</v>
      </c>
      <c r="B49" s="3" t="s">
        <v>983</v>
      </c>
      <c r="C49" s="3" t="s">
        <v>983</v>
      </c>
      <c r="D49" s="5" t="s">
        <v>986</v>
      </c>
      <c r="E49" s="5" t="s">
        <v>3139</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907</v>
      </c>
      <c r="AN49" s="3" t="s">
        <v>1942</v>
      </c>
      <c r="AO49" s="3" t="s">
        <v>1853</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row>
    <row r="50" spans="1:67" ht="15.75" customHeight="1" x14ac:dyDescent="0.2">
      <c r="A50" s="3">
        <f t="shared" si="0"/>
        <v>10048</v>
      </c>
      <c r="B50" s="3" t="s">
        <v>985</v>
      </c>
      <c r="C50" s="3" t="s">
        <v>985</v>
      </c>
      <c r="D50" s="5" t="s">
        <v>984</v>
      </c>
      <c r="E50" s="5" t="s">
        <v>3140</v>
      </c>
      <c r="F50" s="3">
        <v>0</v>
      </c>
      <c r="G50" s="3">
        <v>0</v>
      </c>
      <c r="H50" s="3">
        <v>0</v>
      </c>
      <c r="I50" s="3">
        <v>0</v>
      </c>
      <c r="J50" s="3">
        <v>0</v>
      </c>
      <c r="K50" s="3">
        <v>0</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72</v>
      </c>
      <c r="AM50" s="3" t="s">
        <v>907</v>
      </c>
      <c r="AN50" s="3" t="s">
        <v>1942</v>
      </c>
      <c r="AO50" s="3" t="s">
        <v>1853</v>
      </c>
      <c r="AP50" s="3">
        <v>0</v>
      </c>
      <c r="AQ50" s="3">
        <v>0</v>
      </c>
      <c r="AR50">
        <v>0</v>
      </c>
      <c r="AS50">
        <v>500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row>
    <row r="51" spans="1:67" ht="15.75" customHeight="1" x14ac:dyDescent="0.2">
      <c r="A51" s="3">
        <f t="shared" si="0"/>
        <v>10049</v>
      </c>
      <c r="B51" s="3" t="s">
        <v>988</v>
      </c>
      <c r="C51" s="3" t="s">
        <v>988</v>
      </c>
      <c r="D51" s="5" t="s">
        <v>987</v>
      </c>
      <c r="E51" s="5" t="s">
        <v>3141</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907</v>
      </c>
      <c r="AN51" s="3" t="s">
        <v>1942</v>
      </c>
      <c r="AO51" s="3" t="s">
        <v>1853</v>
      </c>
      <c r="AP51" s="3">
        <v>0</v>
      </c>
      <c r="AQ51" s="3">
        <v>0</v>
      </c>
      <c r="AR51">
        <v>0</v>
      </c>
      <c r="AS51">
        <v>500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row>
    <row r="52" spans="1:67" ht="15.75" customHeight="1" x14ac:dyDescent="0.2">
      <c r="A52" s="3">
        <f t="shared" si="0"/>
        <v>10050</v>
      </c>
      <c r="B52" s="3" t="s">
        <v>1729</v>
      </c>
      <c r="C52" s="3" t="s">
        <v>1657</v>
      </c>
      <c r="D52" s="5" t="s">
        <v>1655</v>
      </c>
      <c r="E52" s="5" t="s">
        <v>1656</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907</v>
      </c>
      <c r="AN52" s="3" t="s">
        <v>1943</v>
      </c>
      <c r="AO52" s="3" t="s">
        <v>1853</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row>
    <row r="53" spans="1:67" ht="15.75" customHeight="1" x14ac:dyDescent="0.2">
      <c r="A53" s="3">
        <f t="shared" si="0"/>
        <v>10051</v>
      </c>
      <c r="B53" s="3" t="s">
        <v>1730</v>
      </c>
      <c r="C53" s="3" t="s">
        <v>1658</v>
      </c>
      <c r="D53" s="5" t="s">
        <v>1662</v>
      </c>
      <c r="E53" s="5" t="s">
        <v>2623</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907</v>
      </c>
      <c r="AN53" s="3" t="s">
        <v>1943</v>
      </c>
      <c r="AO53" s="3" t="s">
        <v>1853</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row>
    <row r="54" spans="1:67" ht="15.75" customHeight="1" x14ac:dyDescent="0.2">
      <c r="A54" s="3">
        <f t="shared" si="0"/>
        <v>10052</v>
      </c>
      <c r="B54" s="3" t="s">
        <v>1729</v>
      </c>
      <c r="C54" s="3" t="s">
        <v>1659</v>
      </c>
      <c r="D54" s="5" t="s">
        <v>1663</v>
      </c>
      <c r="E54" s="5" t="s">
        <v>1656</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907</v>
      </c>
      <c r="AN54" s="3" t="s">
        <v>1943</v>
      </c>
      <c r="AO54" s="3" t="s">
        <v>1853</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row>
    <row r="55" spans="1:67" ht="15.75" customHeight="1" x14ac:dyDescent="0.2">
      <c r="A55" s="3">
        <f t="shared" si="0"/>
        <v>10053</v>
      </c>
      <c r="B55" s="3" t="s">
        <v>1760</v>
      </c>
      <c r="C55" s="3" t="s">
        <v>1660</v>
      </c>
      <c r="D55" s="5" t="s">
        <v>1664</v>
      </c>
      <c r="E55" s="5" t="s">
        <v>1656</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907</v>
      </c>
      <c r="AN55" s="3" t="s">
        <v>1943</v>
      </c>
      <c r="AO55" s="3" t="s">
        <v>1853</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row>
    <row r="56" spans="1:67" ht="15.75" customHeight="1" x14ac:dyDescent="0.2">
      <c r="A56" s="3">
        <f t="shared" si="0"/>
        <v>10054</v>
      </c>
      <c r="B56" s="3" t="s">
        <v>1729</v>
      </c>
      <c r="C56" s="3" t="s">
        <v>1661</v>
      </c>
      <c r="D56" s="5" t="s">
        <v>1665</v>
      </c>
      <c r="E56" s="5" t="s">
        <v>1656</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907</v>
      </c>
      <c r="AN56" s="3" t="s">
        <v>1943</v>
      </c>
      <c r="AO56" s="3" t="s">
        <v>1853</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row>
    <row r="57" spans="1:67" ht="15.75" customHeight="1" x14ac:dyDescent="0.2">
      <c r="A57" s="3">
        <f t="shared" si="0"/>
        <v>10055</v>
      </c>
      <c r="B57" s="3" t="s">
        <v>1653</v>
      </c>
      <c r="C57" s="3" t="s">
        <v>1653</v>
      </c>
      <c r="D57" s="5" t="s">
        <v>1652</v>
      </c>
      <c r="E57" s="5" t="s">
        <v>1654</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908</v>
      </c>
      <c r="AN57" s="3" t="s">
        <v>1941</v>
      </c>
      <c r="AO57" s="3" t="s">
        <v>1853</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0"/>
        <v>10056</v>
      </c>
      <c r="B58" s="3" t="s">
        <v>1668</v>
      </c>
      <c r="C58" s="3" t="s">
        <v>1668</v>
      </c>
      <c r="D58" s="5" t="s">
        <v>1713</v>
      </c>
      <c r="E58" s="5" t="s">
        <v>1717</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908</v>
      </c>
      <c r="AN58" s="3" t="s">
        <v>1941</v>
      </c>
      <c r="AO58" s="3" t="s">
        <v>1853</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0"/>
        <v>10057</v>
      </c>
      <c r="B59" s="3" t="s">
        <v>1669</v>
      </c>
      <c r="C59" s="3" t="s">
        <v>1669</v>
      </c>
      <c r="D59" s="5" t="s">
        <v>1707</v>
      </c>
      <c r="E59" s="5" t="s">
        <v>1718</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908</v>
      </c>
      <c r="AN59" s="3" t="s">
        <v>1941</v>
      </c>
      <c r="AO59" s="3" t="s">
        <v>1853</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0"/>
        <v>10058</v>
      </c>
      <c r="B60" s="3" t="s">
        <v>1670</v>
      </c>
      <c r="C60" s="3" t="s">
        <v>1670</v>
      </c>
      <c r="D60" s="5" t="s">
        <v>1706</v>
      </c>
      <c r="E60" s="5" t="s">
        <v>1719</v>
      </c>
      <c r="F60" s="3">
        <v>0</v>
      </c>
      <c r="G60" s="3">
        <v>0</v>
      </c>
      <c r="H60" s="3">
        <v>0</v>
      </c>
      <c r="I60" s="3">
        <v>0</v>
      </c>
      <c r="J60" s="3">
        <v>0</v>
      </c>
      <c r="K60" s="3">
        <v>0</v>
      </c>
      <c r="L60" s="3">
        <v>0</v>
      </c>
      <c r="M60" s="3">
        <v>0</v>
      </c>
      <c r="N60" s="3">
        <v>0</v>
      </c>
      <c r="O60" s="3">
        <v>0</v>
      </c>
      <c r="P60" s="3">
        <v>0</v>
      </c>
      <c r="Q60" s="3">
        <v>0</v>
      </c>
      <c r="R60" s="3">
        <v>0</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72</v>
      </c>
      <c r="AM60" s="3" t="s">
        <v>908</v>
      </c>
      <c r="AN60" s="3" t="s">
        <v>1941</v>
      </c>
      <c r="AO60" s="3" t="s">
        <v>1853</v>
      </c>
      <c r="AP60" s="3">
        <v>0</v>
      </c>
      <c r="AQ60" s="3">
        <v>0</v>
      </c>
      <c r="AR60">
        <v>0</v>
      </c>
      <c r="AS60">
        <v>500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0"/>
        <v>10059</v>
      </c>
      <c r="B61" s="3" t="s">
        <v>1653</v>
      </c>
      <c r="C61" s="3" t="s">
        <v>1671</v>
      </c>
      <c r="D61" s="5" t="s">
        <v>1666</v>
      </c>
      <c r="E61" s="5" t="s">
        <v>1667</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908</v>
      </c>
      <c r="AN61" s="3" t="s">
        <v>1941</v>
      </c>
      <c r="AO61" s="3" t="s">
        <v>1853</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0"/>
        <v>10060</v>
      </c>
      <c r="B62" s="3" t="s">
        <v>1653</v>
      </c>
      <c r="C62" s="3" t="s">
        <v>1672</v>
      </c>
      <c r="D62" s="5" t="s">
        <v>1679</v>
      </c>
      <c r="E62" s="5" t="s">
        <v>1677</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908</v>
      </c>
      <c r="AN62" s="3" t="s">
        <v>1941</v>
      </c>
      <c r="AO62" s="3" t="s">
        <v>1853</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0"/>
        <v>10061</v>
      </c>
      <c r="B63" s="3" t="s">
        <v>1673</v>
      </c>
      <c r="C63" s="3" t="s">
        <v>1673</v>
      </c>
      <c r="D63" s="5" t="s">
        <v>1700</v>
      </c>
      <c r="E63" s="5" t="s">
        <v>1720</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908</v>
      </c>
      <c r="AN63" s="3" t="s">
        <v>1941</v>
      </c>
      <c r="AO63" s="3" t="s">
        <v>1853</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0"/>
        <v>10062</v>
      </c>
      <c r="B64" s="3" t="s">
        <v>1674</v>
      </c>
      <c r="C64" s="3" t="s">
        <v>1674</v>
      </c>
      <c r="D64" s="5" t="s">
        <v>1712</v>
      </c>
      <c r="E64" s="5" t="s">
        <v>1721</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908</v>
      </c>
      <c r="AN64" s="3" t="s">
        <v>1941</v>
      </c>
      <c r="AO64" s="3" t="s">
        <v>1853</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0"/>
        <v>10063</v>
      </c>
      <c r="B65" s="3" t="s">
        <v>1675</v>
      </c>
      <c r="C65" s="3" t="s">
        <v>1675</v>
      </c>
      <c r="D65" s="5" t="s">
        <v>1701</v>
      </c>
      <c r="E65" s="5" t="s">
        <v>1722</v>
      </c>
      <c r="F65" s="3">
        <v>0</v>
      </c>
      <c r="G65" s="3">
        <v>0</v>
      </c>
      <c r="H65" s="3">
        <v>0</v>
      </c>
      <c r="I65" s="3">
        <v>0</v>
      </c>
      <c r="J65" s="3">
        <v>0</v>
      </c>
      <c r="K65" s="3">
        <v>0</v>
      </c>
      <c r="L65" s="3">
        <v>0</v>
      </c>
      <c r="M65" s="3">
        <v>0</v>
      </c>
      <c r="N65" s="3">
        <v>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72</v>
      </c>
      <c r="AM65" s="3" t="s">
        <v>908</v>
      </c>
      <c r="AN65" s="3" t="s">
        <v>1941</v>
      </c>
      <c r="AO65" s="3" t="s">
        <v>1853</v>
      </c>
      <c r="AP65" s="3">
        <v>0</v>
      </c>
      <c r="AQ65" s="3">
        <v>0</v>
      </c>
      <c r="AR65">
        <v>0</v>
      </c>
      <c r="AS65">
        <v>500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0"/>
        <v>10064</v>
      </c>
      <c r="B66" s="3" t="s">
        <v>1653</v>
      </c>
      <c r="C66" s="3" t="s">
        <v>1676</v>
      </c>
      <c r="D66" s="5" t="s">
        <v>1680</v>
      </c>
      <c r="E66" s="5" t="s">
        <v>1678</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908</v>
      </c>
      <c r="AN66" s="3" t="s">
        <v>1941</v>
      </c>
      <c r="AO66" s="3" t="s">
        <v>1853</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0"/>
        <v>10065</v>
      </c>
      <c r="B67" s="3" t="s">
        <v>1653</v>
      </c>
      <c r="C67" s="3" t="s">
        <v>1683</v>
      </c>
      <c r="D67" s="5" t="s">
        <v>1681</v>
      </c>
      <c r="E67" s="5" t="s">
        <v>1688</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908</v>
      </c>
      <c r="AN67" s="3" t="s">
        <v>1941</v>
      </c>
      <c r="AO67" s="3" t="s">
        <v>1853</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si="0"/>
        <v>10066</v>
      </c>
      <c r="B68" s="3" t="s">
        <v>1684</v>
      </c>
      <c r="C68" s="3" t="s">
        <v>1684</v>
      </c>
      <c r="D68" s="5" t="s">
        <v>1693</v>
      </c>
      <c r="E68" s="5" t="s">
        <v>1723</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908</v>
      </c>
      <c r="AN68" s="3" t="s">
        <v>1941</v>
      </c>
      <c r="AO68" s="3" t="s">
        <v>1853</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s="9" customFormat="1" ht="15.75" customHeight="1" x14ac:dyDescent="0.2">
      <c r="A69" s="3">
        <f t="shared" si="0"/>
        <v>10067</v>
      </c>
      <c r="B69" s="7" t="s">
        <v>1685</v>
      </c>
      <c r="C69" s="7" t="s">
        <v>1685</v>
      </c>
      <c r="D69" s="8" t="s">
        <v>1694</v>
      </c>
      <c r="E69" s="8" t="s">
        <v>1780</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908</v>
      </c>
      <c r="AN69" s="7" t="s">
        <v>1941</v>
      </c>
      <c r="AO69" s="7" t="s">
        <v>1853</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row>
    <row r="70" spans="1:67" ht="15.75" customHeight="1" x14ac:dyDescent="0.2">
      <c r="A70" s="3">
        <f t="shared" si="0"/>
        <v>10068</v>
      </c>
      <c r="B70" s="3" t="s">
        <v>1686</v>
      </c>
      <c r="C70" s="3" t="s">
        <v>1686</v>
      </c>
      <c r="D70" s="5" t="s">
        <v>1705</v>
      </c>
      <c r="E70" s="5" t="s">
        <v>1779</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908</v>
      </c>
      <c r="AN70" s="3" t="s">
        <v>1941</v>
      </c>
      <c r="AO70" s="3" t="s">
        <v>1853</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row>
    <row r="71" spans="1:67" ht="15.75" customHeight="1" x14ac:dyDescent="0.2">
      <c r="A71" s="3">
        <f t="shared" si="0"/>
        <v>10069</v>
      </c>
      <c r="B71" s="3" t="s">
        <v>1653</v>
      </c>
      <c r="C71" s="3" t="s">
        <v>1687</v>
      </c>
      <c r="D71" s="5" t="s">
        <v>1682</v>
      </c>
      <c r="E71" s="5" t="s">
        <v>1689</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908</v>
      </c>
      <c r="AN71" s="3" t="s">
        <v>1941</v>
      </c>
      <c r="AO71" s="3" t="s">
        <v>1853</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row>
    <row r="72" spans="1:67" ht="15.75" customHeight="1" x14ac:dyDescent="0.2">
      <c r="A72" s="3">
        <f t="shared" si="0"/>
        <v>10070</v>
      </c>
      <c r="B72" s="3" t="s">
        <v>1715</v>
      </c>
      <c r="C72" s="3" t="s">
        <v>1695</v>
      </c>
      <c r="D72" s="5" t="s">
        <v>1716</v>
      </c>
      <c r="E72" s="5" t="s">
        <v>1725</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908</v>
      </c>
      <c r="AN72" s="3" t="s">
        <v>1941</v>
      </c>
      <c r="AO72" s="3" t="s">
        <v>1853</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row>
    <row r="73" spans="1:67" ht="15.75" customHeight="1" x14ac:dyDescent="0.2">
      <c r="A73" s="3">
        <f t="shared" si="0"/>
        <v>10071</v>
      </c>
      <c r="B73" s="3" t="s">
        <v>1714</v>
      </c>
      <c r="C73" s="3" t="s">
        <v>1696</v>
      </c>
      <c r="D73" s="5" t="s">
        <v>1690</v>
      </c>
      <c r="E73" s="5" t="s">
        <v>1724</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908</v>
      </c>
      <c r="AN73" s="3" t="s">
        <v>1941</v>
      </c>
      <c r="AO73" s="3" t="s">
        <v>1853</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row>
    <row r="74" spans="1:67" ht="15.75" customHeight="1" x14ac:dyDescent="0.2">
      <c r="A74" s="3">
        <f t="shared" si="0"/>
        <v>10072</v>
      </c>
      <c r="B74" s="3" t="s">
        <v>1708</v>
      </c>
      <c r="C74" s="3" t="s">
        <v>1708</v>
      </c>
      <c r="D74" s="5" t="s">
        <v>1691</v>
      </c>
      <c r="E74" s="5" t="s">
        <v>1776</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908</v>
      </c>
      <c r="AN74" s="3" t="s">
        <v>1941</v>
      </c>
      <c r="AO74" s="3" t="s">
        <v>1853</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row>
    <row r="75" spans="1:67" ht="15.75" customHeight="1" x14ac:dyDescent="0.2">
      <c r="A75" s="3">
        <f t="shared" si="0"/>
        <v>10073</v>
      </c>
      <c r="B75" s="3" t="s">
        <v>1709</v>
      </c>
      <c r="C75" s="3" t="s">
        <v>1709</v>
      </c>
      <c r="D75" s="5" t="s">
        <v>1692</v>
      </c>
      <c r="E75" s="5" t="s">
        <v>1777</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908</v>
      </c>
      <c r="AN75" s="3" t="s">
        <v>1941</v>
      </c>
      <c r="AO75" s="3" t="s">
        <v>1853</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row>
    <row r="76" spans="1:67" ht="15.75" customHeight="1" x14ac:dyDescent="0.2">
      <c r="A76" s="3">
        <f t="shared" si="0"/>
        <v>10074</v>
      </c>
      <c r="B76" s="3" t="s">
        <v>1710</v>
      </c>
      <c r="C76" s="3" t="s">
        <v>1710</v>
      </c>
      <c r="D76" s="5" t="s">
        <v>1711</v>
      </c>
      <c r="E76" s="5" t="s">
        <v>1778</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908</v>
      </c>
      <c r="AN76" s="3" t="s">
        <v>1941</v>
      </c>
      <c r="AO76" s="3" t="s">
        <v>1853</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row>
    <row r="77" spans="1:67" ht="15.75" customHeight="1" x14ac:dyDescent="0.2">
      <c r="A77" s="3">
        <f t="shared" si="0"/>
        <v>10075</v>
      </c>
      <c r="B77" s="3" t="s">
        <v>1703</v>
      </c>
      <c r="C77" s="3" t="s">
        <v>1703</v>
      </c>
      <c r="D77" s="5" t="s">
        <v>1697</v>
      </c>
      <c r="E77" s="5" t="s">
        <v>1726</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908</v>
      </c>
      <c r="AN77" s="3" t="s">
        <v>1941</v>
      </c>
      <c r="AO77" s="3" t="s">
        <v>1853</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row>
    <row r="78" spans="1:67" s="9" customFormat="1" ht="15.75" customHeight="1" x14ac:dyDescent="0.2">
      <c r="A78" s="3">
        <f t="shared" si="0"/>
        <v>10076</v>
      </c>
      <c r="B78" s="7" t="s">
        <v>1704</v>
      </c>
      <c r="C78" s="7" t="s">
        <v>1704</v>
      </c>
      <c r="D78" s="8" t="s">
        <v>1698</v>
      </c>
      <c r="E78" s="8" t="s">
        <v>1727</v>
      </c>
      <c r="F78" s="7">
        <v>0</v>
      </c>
      <c r="G78" s="7">
        <v>0</v>
      </c>
      <c r="H78" s="7">
        <v>0</v>
      </c>
      <c r="I78" s="7">
        <v>0</v>
      </c>
      <c r="J78" s="7">
        <v>0</v>
      </c>
      <c r="K78" s="7">
        <v>0</v>
      </c>
      <c r="L78" s="7">
        <v>0</v>
      </c>
      <c r="M78" s="7">
        <v>0</v>
      </c>
      <c r="N78" s="7">
        <v>0</v>
      </c>
      <c r="O78" s="7">
        <v>0</v>
      </c>
      <c r="P78" s="7">
        <v>0</v>
      </c>
      <c r="Q78" s="7">
        <v>0</v>
      </c>
      <c r="R78" s="7">
        <v>0</v>
      </c>
      <c r="S78" s="7">
        <v>0</v>
      </c>
      <c r="T78" s="7">
        <v>0</v>
      </c>
      <c r="U78" s="7">
        <v>0</v>
      </c>
      <c r="V78" s="7">
        <v>0</v>
      </c>
      <c r="W78" s="7">
        <v>0</v>
      </c>
      <c r="X78" s="7">
        <v>0</v>
      </c>
      <c r="Y78" s="7">
        <v>0</v>
      </c>
      <c r="Z78" s="7">
        <v>0</v>
      </c>
      <c r="AA78" s="7">
        <v>0</v>
      </c>
      <c r="AB78" s="7">
        <v>0</v>
      </c>
      <c r="AC78" s="7">
        <v>0</v>
      </c>
      <c r="AD78" s="7">
        <v>0</v>
      </c>
      <c r="AE78" s="7">
        <v>0</v>
      </c>
      <c r="AF78" s="7">
        <v>0</v>
      </c>
      <c r="AG78" s="7">
        <v>0</v>
      </c>
      <c r="AH78" s="7">
        <v>0</v>
      </c>
      <c r="AI78" s="7">
        <v>0</v>
      </c>
      <c r="AJ78" s="7">
        <v>0</v>
      </c>
      <c r="AK78" s="7">
        <v>0</v>
      </c>
      <c r="AL78" s="7" t="s">
        <v>72</v>
      </c>
      <c r="AM78" s="7" t="s">
        <v>908</v>
      </c>
      <c r="AN78" s="7" t="s">
        <v>1941</v>
      </c>
      <c r="AO78" s="7" t="s">
        <v>1853</v>
      </c>
      <c r="AP78" s="7">
        <v>0</v>
      </c>
      <c r="AQ78" s="7">
        <v>0</v>
      </c>
      <c r="AR78" s="9">
        <v>0</v>
      </c>
      <c r="AS78" s="9">
        <v>500</v>
      </c>
      <c r="AT78" s="10" t="s">
        <v>50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row>
    <row r="79" spans="1:67" ht="15.75" customHeight="1" x14ac:dyDescent="0.2">
      <c r="A79" s="3">
        <f t="shared" si="0"/>
        <v>10077</v>
      </c>
      <c r="B79" s="3" t="s">
        <v>1702</v>
      </c>
      <c r="C79" s="3" t="s">
        <v>1702</v>
      </c>
      <c r="D79" s="5" t="s">
        <v>1699</v>
      </c>
      <c r="E79" s="5" t="s">
        <v>1728</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908</v>
      </c>
      <c r="AN79" s="3" t="s">
        <v>1941</v>
      </c>
      <c r="AO79" s="3" t="s">
        <v>1853</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row>
    <row r="80" spans="1:67" s="9" customFormat="1" ht="15.75" customHeight="1" x14ac:dyDescent="0.2">
      <c r="A80" s="3">
        <f t="shared" si="0"/>
        <v>10078</v>
      </c>
      <c r="B80" s="7" t="s">
        <v>1732</v>
      </c>
      <c r="C80" s="7" t="s">
        <v>1732</v>
      </c>
      <c r="D80" s="8" t="s">
        <v>1735</v>
      </c>
      <c r="E80" s="8" t="s">
        <v>1817</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908</v>
      </c>
      <c r="AN80" s="7" t="s">
        <v>1941</v>
      </c>
      <c r="AO80" s="7" t="s">
        <v>1853</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row>
    <row r="81" spans="1:67" ht="15.75" customHeight="1" x14ac:dyDescent="0.2">
      <c r="A81" s="3">
        <f t="shared" si="0"/>
        <v>10079</v>
      </c>
      <c r="B81" s="3" t="s">
        <v>1733</v>
      </c>
      <c r="C81" s="3" t="s">
        <v>1733</v>
      </c>
      <c r="D81" s="5" t="s">
        <v>1731</v>
      </c>
      <c r="E81" s="5" t="s">
        <v>1818</v>
      </c>
      <c r="F81" s="3">
        <v>0</v>
      </c>
      <c r="G81" s="3">
        <v>0</v>
      </c>
      <c r="H81" s="3">
        <v>0</v>
      </c>
      <c r="I81" s="3">
        <v>0</v>
      </c>
      <c r="J81" s="3">
        <v>0</v>
      </c>
      <c r="K81" s="3">
        <v>0</v>
      </c>
      <c r="L81" s="3">
        <v>0</v>
      </c>
      <c r="M81" s="3">
        <v>0</v>
      </c>
      <c r="N81" s="3">
        <v>0</v>
      </c>
      <c r="O81" s="3">
        <v>0</v>
      </c>
      <c r="P81" s="3">
        <v>0</v>
      </c>
      <c r="Q81" s="3">
        <v>0</v>
      </c>
      <c r="R81" s="3">
        <v>0</v>
      </c>
      <c r="S81" s="3">
        <v>0</v>
      </c>
      <c r="T81" s="3">
        <v>0</v>
      </c>
      <c r="U81" s="3">
        <v>0</v>
      </c>
      <c r="V81" s="3">
        <v>0</v>
      </c>
      <c r="W81" s="3">
        <v>0</v>
      </c>
      <c r="X81" s="3">
        <v>0</v>
      </c>
      <c r="Y81" s="3">
        <v>0</v>
      </c>
      <c r="Z81" s="3">
        <v>0</v>
      </c>
      <c r="AA81" s="3">
        <v>0</v>
      </c>
      <c r="AB81" s="3">
        <v>0</v>
      </c>
      <c r="AC81" s="3">
        <v>0</v>
      </c>
      <c r="AD81" s="3">
        <v>0</v>
      </c>
      <c r="AE81" s="3">
        <v>0</v>
      </c>
      <c r="AF81" s="3">
        <v>0</v>
      </c>
      <c r="AG81" s="3">
        <v>0</v>
      </c>
      <c r="AH81" s="3">
        <v>0</v>
      </c>
      <c r="AI81" s="3">
        <v>0</v>
      </c>
      <c r="AJ81" s="3">
        <v>0</v>
      </c>
      <c r="AK81" s="3">
        <v>0</v>
      </c>
      <c r="AL81" s="3" t="s">
        <v>72</v>
      </c>
      <c r="AM81" s="3" t="s">
        <v>908</v>
      </c>
      <c r="AN81" s="3" t="s">
        <v>1941</v>
      </c>
      <c r="AO81" s="3" t="s">
        <v>1853</v>
      </c>
      <c r="AP81" s="3">
        <v>0</v>
      </c>
      <c r="AQ81" s="3">
        <v>0</v>
      </c>
      <c r="AR81">
        <v>0</v>
      </c>
      <c r="AS81">
        <v>500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row>
    <row r="82" spans="1:67" s="9" customFormat="1" ht="15.75" customHeight="1" x14ac:dyDescent="0.2">
      <c r="A82" s="3">
        <f t="shared" si="0"/>
        <v>10080</v>
      </c>
      <c r="B82" s="7" t="s">
        <v>1734</v>
      </c>
      <c r="C82" s="7" t="s">
        <v>1734</v>
      </c>
      <c r="D82" s="8" t="s">
        <v>1736</v>
      </c>
      <c r="E82" s="8" t="s">
        <v>1819</v>
      </c>
      <c r="F82" s="7">
        <v>0</v>
      </c>
      <c r="G82" s="7">
        <v>0</v>
      </c>
      <c r="H82" s="7">
        <v>0</v>
      </c>
      <c r="I82" s="7">
        <v>0</v>
      </c>
      <c r="J82" s="7">
        <v>0</v>
      </c>
      <c r="K82" s="7">
        <v>0</v>
      </c>
      <c r="L82" s="7">
        <v>0</v>
      </c>
      <c r="M82" s="7">
        <v>0</v>
      </c>
      <c r="N82" s="7">
        <v>0</v>
      </c>
      <c r="O82" s="7">
        <v>0</v>
      </c>
      <c r="P82" s="7">
        <v>0</v>
      </c>
      <c r="Q82" s="7">
        <v>0</v>
      </c>
      <c r="R82" s="7">
        <v>0</v>
      </c>
      <c r="S82" s="7">
        <v>0</v>
      </c>
      <c r="T82" s="7">
        <v>0</v>
      </c>
      <c r="U82" s="7">
        <v>0</v>
      </c>
      <c r="V82" s="7">
        <v>0</v>
      </c>
      <c r="W82" s="7">
        <v>0</v>
      </c>
      <c r="X82" s="7">
        <v>0</v>
      </c>
      <c r="Y82" s="7">
        <v>0</v>
      </c>
      <c r="Z82" s="7">
        <v>0</v>
      </c>
      <c r="AA82" s="7">
        <v>0</v>
      </c>
      <c r="AB82" s="7">
        <v>0</v>
      </c>
      <c r="AC82" s="7">
        <v>0</v>
      </c>
      <c r="AD82" s="7">
        <v>0</v>
      </c>
      <c r="AE82" s="7">
        <v>0</v>
      </c>
      <c r="AF82" s="7">
        <v>0</v>
      </c>
      <c r="AG82" s="7">
        <v>0</v>
      </c>
      <c r="AH82" s="7">
        <v>0</v>
      </c>
      <c r="AI82" s="7">
        <v>0</v>
      </c>
      <c r="AJ82" s="7">
        <v>0</v>
      </c>
      <c r="AK82" s="7">
        <v>0</v>
      </c>
      <c r="AL82" s="7" t="s">
        <v>72</v>
      </c>
      <c r="AM82" s="7" t="s">
        <v>908</v>
      </c>
      <c r="AN82" s="7" t="s">
        <v>1941</v>
      </c>
      <c r="AO82" s="7" t="s">
        <v>1853</v>
      </c>
      <c r="AP82" s="7">
        <v>0</v>
      </c>
      <c r="AQ82" s="7">
        <v>0</v>
      </c>
      <c r="AR82" s="9">
        <v>0</v>
      </c>
      <c r="AS82" s="9">
        <v>500</v>
      </c>
      <c r="AT82" s="10" t="s">
        <v>50</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1</v>
      </c>
      <c r="BJ82" s="9">
        <v>0</v>
      </c>
      <c r="BK82" s="9">
        <v>1</v>
      </c>
      <c r="BL82" s="9">
        <v>0</v>
      </c>
      <c r="BM82" s="9">
        <v>0</v>
      </c>
      <c r="BN82" s="9">
        <v>0</v>
      </c>
      <c r="BO82" s="9">
        <v>0</v>
      </c>
    </row>
    <row r="83" spans="1:67" s="9" customFormat="1" ht="15.75" customHeight="1" x14ac:dyDescent="0.2">
      <c r="A83" s="3">
        <f t="shared" si="0"/>
        <v>10081</v>
      </c>
      <c r="B83" s="7" t="s">
        <v>1743</v>
      </c>
      <c r="C83" s="7" t="s">
        <v>1743</v>
      </c>
      <c r="D83" s="8" t="s">
        <v>1737</v>
      </c>
      <c r="E83" s="8" t="s">
        <v>1740</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908</v>
      </c>
      <c r="AN83" s="7" t="s">
        <v>1941</v>
      </c>
      <c r="AO83" s="7" t="s">
        <v>1853</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row>
    <row r="84" spans="1:67" ht="15.75" customHeight="1" x14ac:dyDescent="0.2">
      <c r="A84" s="3">
        <f t="shared" si="0"/>
        <v>10082</v>
      </c>
      <c r="B84" s="3" t="s">
        <v>1744</v>
      </c>
      <c r="C84" s="3" t="s">
        <v>1744</v>
      </c>
      <c r="D84" s="5" t="s">
        <v>1738</v>
      </c>
      <c r="E84" s="5" t="s">
        <v>1741</v>
      </c>
      <c r="F84" s="3">
        <v>0</v>
      </c>
      <c r="G84" s="3">
        <v>0</v>
      </c>
      <c r="H84" s="3">
        <v>0</v>
      </c>
      <c r="I84" s="3">
        <v>0</v>
      </c>
      <c r="J84" s="3">
        <v>0</v>
      </c>
      <c r="K84" s="3">
        <v>0</v>
      </c>
      <c r="L84" s="3">
        <v>0</v>
      </c>
      <c r="M84" s="3">
        <v>0</v>
      </c>
      <c r="N84" s="3">
        <v>0</v>
      </c>
      <c r="O84" s="3">
        <v>0</v>
      </c>
      <c r="P84" s="3">
        <v>0</v>
      </c>
      <c r="Q84" s="3">
        <v>0</v>
      </c>
      <c r="R84" s="3">
        <v>0</v>
      </c>
      <c r="S84" s="3">
        <v>0</v>
      </c>
      <c r="T84" s="3">
        <v>0</v>
      </c>
      <c r="U84" s="3">
        <v>0</v>
      </c>
      <c r="V84" s="3">
        <v>0</v>
      </c>
      <c r="W84" s="3">
        <v>0</v>
      </c>
      <c r="X84" s="3">
        <v>0</v>
      </c>
      <c r="Y84" s="3">
        <v>0</v>
      </c>
      <c r="Z84" s="3">
        <v>0</v>
      </c>
      <c r="AA84" s="3">
        <v>0</v>
      </c>
      <c r="AB84" s="3">
        <v>0</v>
      </c>
      <c r="AC84" s="3">
        <v>0</v>
      </c>
      <c r="AD84" s="3">
        <v>0</v>
      </c>
      <c r="AE84" s="3">
        <v>0</v>
      </c>
      <c r="AF84" s="3">
        <v>0</v>
      </c>
      <c r="AG84" s="3">
        <v>0</v>
      </c>
      <c r="AH84" s="3">
        <v>0</v>
      </c>
      <c r="AI84" s="3">
        <v>0</v>
      </c>
      <c r="AJ84" s="3">
        <v>0</v>
      </c>
      <c r="AK84" s="3">
        <v>0</v>
      </c>
      <c r="AL84" s="3" t="s">
        <v>72</v>
      </c>
      <c r="AM84" s="3" t="s">
        <v>908</v>
      </c>
      <c r="AN84" s="3" t="s">
        <v>1941</v>
      </c>
      <c r="AO84" s="3" t="s">
        <v>1853</v>
      </c>
      <c r="AP84" s="3">
        <v>0</v>
      </c>
      <c r="AQ84" s="3">
        <v>0</v>
      </c>
      <c r="AR84">
        <v>0</v>
      </c>
      <c r="AS84">
        <v>500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row>
    <row r="85" spans="1:67" s="9" customFormat="1" ht="15.75" customHeight="1" x14ac:dyDescent="0.2">
      <c r="A85" s="3">
        <f t="shared" si="0"/>
        <v>10083</v>
      </c>
      <c r="B85" s="7" t="s">
        <v>1745</v>
      </c>
      <c r="C85" s="7" t="s">
        <v>1745</v>
      </c>
      <c r="D85" s="8" t="s">
        <v>1739</v>
      </c>
      <c r="E85" s="8" t="s">
        <v>1742</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908</v>
      </c>
      <c r="AN85" s="7" t="s">
        <v>1941</v>
      </c>
      <c r="AO85" s="7" t="s">
        <v>1853</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row>
    <row r="86" spans="1:67" s="9" customFormat="1" ht="15.75" customHeight="1" x14ac:dyDescent="0.2">
      <c r="A86" s="3">
        <f t="shared" si="0"/>
        <v>10084</v>
      </c>
      <c r="B86" s="7" t="s">
        <v>1752</v>
      </c>
      <c r="C86" s="7" t="s">
        <v>1752</v>
      </c>
      <c r="D86" s="8" t="s">
        <v>1748</v>
      </c>
      <c r="E86" s="8" t="s">
        <v>1750</v>
      </c>
      <c r="F86" s="7">
        <v>0</v>
      </c>
      <c r="G86" s="7">
        <v>0</v>
      </c>
      <c r="H86" s="7">
        <v>0</v>
      </c>
      <c r="I86" s="7">
        <v>0</v>
      </c>
      <c r="J86" s="7">
        <v>0</v>
      </c>
      <c r="K86" s="7">
        <v>0</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72</v>
      </c>
      <c r="AM86" s="7" t="s">
        <v>908</v>
      </c>
      <c r="AN86" s="7" t="s">
        <v>1941</v>
      </c>
      <c r="AO86" s="7" t="s">
        <v>1853</v>
      </c>
      <c r="AP86" s="7">
        <v>0</v>
      </c>
      <c r="AQ86" s="7">
        <v>0</v>
      </c>
      <c r="AR86" s="9">
        <v>0</v>
      </c>
      <c r="AS86" s="9">
        <v>500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1</v>
      </c>
      <c r="BJ86" s="9">
        <v>0</v>
      </c>
      <c r="BK86" s="9">
        <v>1</v>
      </c>
      <c r="BL86" s="9">
        <v>0</v>
      </c>
      <c r="BM86" s="9">
        <v>0</v>
      </c>
      <c r="BN86" s="9">
        <v>0</v>
      </c>
      <c r="BO86" s="9">
        <v>0</v>
      </c>
    </row>
    <row r="87" spans="1:67" s="9" customFormat="1" ht="15.75" customHeight="1" x14ac:dyDescent="0.2">
      <c r="A87" s="3">
        <f t="shared" si="0"/>
        <v>10085</v>
      </c>
      <c r="B87" s="7" t="s">
        <v>1753</v>
      </c>
      <c r="C87" s="7" t="s">
        <v>1753</v>
      </c>
      <c r="D87" s="8" t="s">
        <v>1749</v>
      </c>
      <c r="E87" s="8" t="s">
        <v>1751</v>
      </c>
      <c r="F87" s="7">
        <v>0</v>
      </c>
      <c r="G87" s="7">
        <v>0</v>
      </c>
      <c r="H87" s="7">
        <v>0</v>
      </c>
      <c r="I87" s="7">
        <v>0</v>
      </c>
      <c r="J87" s="7">
        <v>0</v>
      </c>
      <c r="K87" s="7">
        <v>0</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72</v>
      </c>
      <c r="AM87" s="7" t="s">
        <v>908</v>
      </c>
      <c r="AN87" s="7" t="s">
        <v>1941</v>
      </c>
      <c r="AO87" s="7" t="s">
        <v>1853</v>
      </c>
      <c r="AP87" s="7">
        <v>0</v>
      </c>
      <c r="AQ87" s="7">
        <v>0</v>
      </c>
      <c r="AR87" s="9">
        <v>0</v>
      </c>
      <c r="AS87" s="9">
        <v>500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1</v>
      </c>
      <c r="BJ87" s="9">
        <v>0</v>
      </c>
      <c r="BK87" s="9">
        <v>1</v>
      </c>
      <c r="BL87" s="9">
        <v>0</v>
      </c>
      <c r="BM87" s="9">
        <v>0</v>
      </c>
      <c r="BN87" s="9">
        <v>0</v>
      </c>
      <c r="BO87" s="9">
        <v>0</v>
      </c>
    </row>
    <row r="88" spans="1:67" ht="15.75" customHeight="1" x14ac:dyDescent="0.2">
      <c r="A88" s="3">
        <f t="shared" si="0"/>
        <v>10086</v>
      </c>
      <c r="B88" s="3" t="s">
        <v>1746</v>
      </c>
      <c r="C88" s="3" t="s">
        <v>1746</v>
      </c>
      <c r="D88" s="5" t="s">
        <v>1747</v>
      </c>
      <c r="E88" s="5" t="s">
        <v>1785</v>
      </c>
      <c r="F88" s="3">
        <v>0</v>
      </c>
      <c r="G88" s="3">
        <v>0</v>
      </c>
      <c r="H88" s="3">
        <v>0</v>
      </c>
      <c r="I88" s="3">
        <v>0</v>
      </c>
      <c r="J88" s="3">
        <v>0</v>
      </c>
      <c r="K88" s="3">
        <v>0</v>
      </c>
      <c r="L88" s="3">
        <v>0</v>
      </c>
      <c r="M88" s="3">
        <v>0</v>
      </c>
      <c r="N88" s="3">
        <v>0</v>
      </c>
      <c r="O88" s="3">
        <v>0</v>
      </c>
      <c r="P88" s="3">
        <v>0</v>
      </c>
      <c r="Q88" s="3">
        <v>0</v>
      </c>
      <c r="R88" s="3">
        <v>0</v>
      </c>
      <c r="S88" s="3">
        <v>0</v>
      </c>
      <c r="T88" s="3">
        <v>0</v>
      </c>
      <c r="U88" s="3">
        <v>0</v>
      </c>
      <c r="V88" s="3">
        <v>0</v>
      </c>
      <c r="W88" s="3">
        <v>0</v>
      </c>
      <c r="X88" s="3">
        <v>0</v>
      </c>
      <c r="Y88" s="3">
        <v>0</v>
      </c>
      <c r="Z88" s="3">
        <v>0</v>
      </c>
      <c r="AA88" s="3">
        <v>0</v>
      </c>
      <c r="AB88" s="3">
        <v>0</v>
      </c>
      <c r="AC88" s="3">
        <v>0</v>
      </c>
      <c r="AD88" s="3">
        <v>0</v>
      </c>
      <c r="AE88" s="3">
        <v>0</v>
      </c>
      <c r="AF88" s="3">
        <v>0</v>
      </c>
      <c r="AG88" s="3">
        <v>0</v>
      </c>
      <c r="AH88" s="3">
        <v>0</v>
      </c>
      <c r="AI88" s="3">
        <v>0</v>
      </c>
      <c r="AJ88" s="3">
        <v>0</v>
      </c>
      <c r="AK88" s="3">
        <v>0</v>
      </c>
      <c r="AL88" s="3" t="s">
        <v>72</v>
      </c>
      <c r="AM88" s="3" t="s">
        <v>908</v>
      </c>
      <c r="AN88" s="3" t="s">
        <v>1941</v>
      </c>
      <c r="AO88" s="3" t="s">
        <v>1853</v>
      </c>
      <c r="AP88" s="3">
        <v>0</v>
      </c>
      <c r="AQ88" s="3">
        <v>0</v>
      </c>
      <c r="AR88">
        <v>0</v>
      </c>
      <c r="AS88">
        <v>500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row>
    <row r="89" spans="1:67" ht="15.75" customHeight="1" x14ac:dyDescent="0.2">
      <c r="A89" s="3">
        <f t="shared" si="0"/>
        <v>10087</v>
      </c>
      <c r="B89" s="3" t="s">
        <v>1759</v>
      </c>
      <c r="C89" s="3" t="s">
        <v>1759</v>
      </c>
      <c r="D89" s="5" t="s">
        <v>1754</v>
      </c>
      <c r="E89" s="5" t="s">
        <v>1789</v>
      </c>
      <c r="F89" s="3">
        <v>0</v>
      </c>
      <c r="G89" s="3">
        <v>0</v>
      </c>
      <c r="H89" s="3">
        <v>0</v>
      </c>
      <c r="I89" s="3">
        <v>0</v>
      </c>
      <c r="J89" s="3">
        <v>0</v>
      </c>
      <c r="K89" s="3">
        <v>0</v>
      </c>
      <c r="L89" s="3">
        <v>0</v>
      </c>
      <c r="M89" s="3">
        <v>0</v>
      </c>
      <c r="N89" s="3">
        <v>0</v>
      </c>
      <c r="O89" s="3">
        <v>0</v>
      </c>
      <c r="P89" s="3">
        <v>0</v>
      </c>
      <c r="Q89" s="3">
        <v>0</v>
      </c>
      <c r="R89" s="3">
        <v>0</v>
      </c>
      <c r="S89" s="3">
        <v>0</v>
      </c>
      <c r="T89" s="3">
        <v>0</v>
      </c>
      <c r="U89" s="3">
        <v>0</v>
      </c>
      <c r="V89" s="3">
        <v>0</v>
      </c>
      <c r="W89" s="3">
        <v>0</v>
      </c>
      <c r="X89" s="3">
        <v>0</v>
      </c>
      <c r="Y89" s="3">
        <v>0</v>
      </c>
      <c r="Z89" s="3">
        <v>0</v>
      </c>
      <c r="AA89" s="3">
        <v>0</v>
      </c>
      <c r="AB89" s="3">
        <v>0</v>
      </c>
      <c r="AC89" s="3">
        <v>0</v>
      </c>
      <c r="AD89" s="3">
        <v>0</v>
      </c>
      <c r="AE89" s="3">
        <v>0</v>
      </c>
      <c r="AF89" s="3">
        <v>0</v>
      </c>
      <c r="AG89" s="3">
        <v>0</v>
      </c>
      <c r="AH89" s="3">
        <v>0</v>
      </c>
      <c r="AI89" s="3">
        <v>0</v>
      </c>
      <c r="AJ89" s="3">
        <v>0</v>
      </c>
      <c r="AK89" s="3">
        <v>0</v>
      </c>
      <c r="AL89" s="3" t="s">
        <v>72</v>
      </c>
      <c r="AM89" s="3" t="s">
        <v>908</v>
      </c>
      <c r="AN89" s="3" t="s">
        <v>1941</v>
      </c>
      <c r="AO89" s="3" t="s">
        <v>1853</v>
      </c>
      <c r="AP89" s="3">
        <v>0</v>
      </c>
      <c r="AQ89" s="3">
        <v>0</v>
      </c>
      <c r="AR89">
        <v>0</v>
      </c>
      <c r="AS89">
        <v>500</v>
      </c>
      <c r="AT89" s="6" t="s">
        <v>50</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row>
    <row r="90" spans="1:67" s="9" customFormat="1" ht="15.75" customHeight="1" x14ac:dyDescent="0.2">
      <c r="A90" s="3">
        <f t="shared" si="0"/>
        <v>10088</v>
      </c>
      <c r="B90" s="7" t="s">
        <v>1758</v>
      </c>
      <c r="C90" s="7" t="s">
        <v>1758</v>
      </c>
      <c r="D90" s="8" t="s">
        <v>1755</v>
      </c>
      <c r="E90" s="8" t="s">
        <v>1787</v>
      </c>
      <c r="F90" s="7">
        <v>0</v>
      </c>
      <c r="G90" s="7">
        <v>0</v>
      </c>
      <c r="H90" s="7">
        <v>0</v>
      </c>
      <c r="I90" s="7">
        <v>0</v>
      </c>
      <c r="J90" s="7">
        <v>0</v>
      </c>
      <c r="K90" s="7">
        <v>0</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72</v>
      </c>
      <c r="AM90" s="7" t="s">
        <v>908</v>
      </c>
      <c r="AN90" s="7" t="s">
        <v>1941</v>
      </c>
      <c r="AO90" s="7" t="s">
        <v>1853</v>
      </c>
      <c r="AP90" s="7">
        <v>0</v>
      </c>
      <c r="AQ90" s="7">
        <v>0</v>
      </c>
      <c r="AR90" s="9">
        <v>0</v>
      </c>
      <c r="AS90" s="9">
        <v>500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1</v>
      </c>
      <c r="BJ90" s="9">
        <v>0</v>
      </c>
      <c r="BK90" s="9">
        <v>1</v>
      </c>
      <c r="BL90" s="9">
        <v>0</v>
      </c>
      <c r="BM90" s="9">
        <v>0</v>
      </c>
      <c r="BN90" s="9">
        <v>0</v>
      </c>
      <c r="BO90" s="9">
        <v>0</v>
      </c>
    </row>
    <row r="91" spans="1:67" s="9" customFormat="1" ht="15.75" customHeight="1" x14ac:dyDescent="0.2">
      <c r="A91" s="3">
        <f t="shared" ref="A91:A160" si="1">ROW()+9998</f>
        <v>10089</v>
      </c>
      <c r="B91" s="7" t="s">
        <v>1757</v>
      </c>
      <c r="C91" s="7" t="s">
        <v>1757</v>
      </c>
      <c r="D91" s="8" t="s">
        <v>1756</v>
      </c>
      <c r="E91" s="8" t="s">
        <v>1788</v>
      </c>
      <c r="F91" s="7">
        <v>0</v>
      </c>
      <c r="G91" s="7">
        <v>0</v>
      </c>
      <c r="H91" s="7">
        <v>0</v>
      </c>
      <c r="I91" s="7">
        <v>0</v>
      </c>
      <c r="J91" s="7">
        <v>0</v>
      </c>
      <c r="K91" s="7">
        <v>0</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72</v>
      </c>
      <c r="AM91" s="7" t="s">
        <v>908</v>
      </c>
      <c r="AN91" s="7" t="s">
        <v>1941</v>
      </c>
      <c r="AO91" s="7" t="s">
        <v>1853</v>
      </c>
      <c r="AP91" s="7">
        <v>0</v>
      </c>
      <c r="AQ91" s="7">
        <v>0</v>
      </c>
      <c r="AR91" s="9">
        <v>0</v>
      </c>
      <c r="AS91" s="9">
        <v>500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1</v>
      </c>
      <c r="BJ91" s="9">
        <v>0</v>
      </c>
      <c r="BK91" s="9">
        <v>1</v>
      </c>
      <c r="BL91" s="9">
        <v>0</v>
      </c>
      <c r="BM91" s="9">
        <v>0</v>
      </c>
      <c r="BN91" s="9">
        <v>0</v>
      </c>
      <c r="BO91" s="9">
        <v>0</v>
      </c>
    </row>
    <row r="92" spans="1:67" ht="15.75" customHeight="1" x14ac:dyDescent="0.2">
      <c r="A92" s="3">
        <f t="shared" si="1"/>
        <v>10090</v>
      </c>
      <c r="B92" s="3" t="s">
        <v>1764</v>
      </c>
      <c r="C92" s="3" t="s">
        <v>1764</v>
      </c>
      <c r="D92" s="5" t="s">
        <v>1761</v>
      </c>
      <c r="E92" s="5" t="s">
        <v>1767</v>
      </c>
      <c r="F92" s="3">
        <v>0</v>
      </c>
      <c r="G92" s="3">
        <v>0</v>
      </c>
      <c r="H92" s="3">
        <v>0</v>
      </c>
      <c r="I92" s="3">
        <v>0</v>
      </c>
      <c r="J92" s="3">
        <v>0</v>
      </c>
      <c r="K92" s="3">
        <v>0</v>
      </c>
      <c r="L92" s="3">
        <v>0</v>
      </c>
      <c r="M92" s="3">
        <v>0</v>
      </c>
      <c r="N92" s="3">
        <v>0</v>
      </c>
      <c r="O92" s="3">
        <v>0</v>
      </c>
      <c r="P92" s="3">
        <v>0</v>
      </c>
      <c r="Q92" s="3">
        <v>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72</v>
      </c>
      <c r="AM92" s="3" t="s">
        <v>908</v>
      </c>
      <c r="AN92" s="3" t="s">
        <v>1941</v>
      </c>
      <c r="AO92" s="3" t="s">
        <v>1853</v>
      </c>
      <c r="AP92" s="3">
        <v>0</v>
      </c>
      <c r="AQ92" s="3">
        <v>0</v>
      </c>
      <c r="AR92">
        <v>0</v>
      </c>
      <c r="AS92">
        <v>500</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row>
    <row r="93" spans="1:67" ht="15.75" customHeight="1" x14ac:dyDescent="0.2">
      <c r="A93" s="3">
        <f t="shared" si="1"/>
        <v>10091</v>
      </c>
      <c r="B93" s="3" t="s">
        <v>1765</v>
      </c>
      <c r="C93" s="3" t="s">
        <v>1765</v>
      </c>
      <c r="D93" s="5" t="s">
        <v>1762</v>
      </c>
      <c r="E93" s="5" t="s">
        <v>1768</v>
      </c>
      <c r="F93" s="3">
        <v>0</v>
      </c>
      <c r="G93" s="3">
        <v>0</v>
      </c>
      <c r="H93" s="3">
        <v>0</v>
      </c>
      <c r="I93" s="3">
        <v>0</v>
      </c>
      <c r="J93" s="3">
        <v>0</v>
      </c>
      <c r="K93" s="3">
        <v>0</v>
      </c>
      <c r="L93" s="3">
        <v>0</v>
      </c>
      <c r="M93" s="3">
        <v>0</v>
      </c>
      <c r="N93" s="3">
        <v>0</v>
      </c>
      <c r="O93" s="3">
        <v>0</v>
      </c>
      <c r="P93" s="3">
        <v>0</v>
      </c>
      <c r="Q93" s="3">
        <v>0</v>
      </c>
      <c r="R93" s="3">
        <v>0</v>
      </c>
      <c r="S93" s="3">
        <v>0</v>
      </c>
      <c r="T93" s="3">
        <v>0</v>
      </c>
      <c r="U93" s="3">
        <v>0</v>
      </c>
      <c r="V93" s="3">
        <v>0</v>
      </c>
      <c r="W93" s="3">
        <v>0</v>
      </c>
      <c r="X93" s="3">
        <v>0</v>
      </c>
      <c r="Y93" s="3">
        <v>0</v>
      </c>
      <c r="Z93" s="3">
        <v>0</v>
      </c>
      <c r="AA93" s="3">
        <v>0</v>
      </c>
      <c r="AB93" s="3">
        <v>0</v>
      </c>
      <c r="AC93" s="3">
        <v>0</v>
      </c>
      <c r="AD93" s="3">
        <v>0</v>
      </c>
      <c r="AE93" s="3">
        <v>0</v>
      </c>
      <c r="AF93" s="3">
        <v>0</v>
      </c>
      <c r="AG93" s="3">
        <v>0</v>
      </c>
      <c r="AH93" s="3">
        <v>0</v>
      </c>
      <c r="AI93" s="3">
        <v>0</v>
      </c>
      <c r="AJ93" s="3">
        <v>0</v>
      </c>
      <c r="AK93" s="3">
        <v>0</v>
      </c>
      <c r="AL93" s="3" t="s">
        <v>72</v>
      </c>
      <c r="AM93" s="3" t="s">
        <v>908</v>
      </c>
      <c r="AN93" s="3" t="s">
        <v>1941</v>
      </c>
      <c r="AO93" s="3" t="s">
        <v>1853</v>
      </c>
      <c r="AP93" s="3">
        <v>0</v>
      </c>
      <c r="AQ93" s="3">
        <v>0</v>
      </c>
      <c r="AR93">
        <v>0</v>
      </c>
      <c r="AS93">
        <v>500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1</v>
      </c>
      <c r="BL93">
        <v>0</v>
      </c>
      <c r="BM93">
        <v>0</v>
      </c>
      <c r="BN93">
        <v>0</v>
      </c>
      <c r="BO93">
        <v>0</v>
      </c>
    </row>
    <row r="94" spans="1:67" s="9" customFormat="1" ht="15.75" customHeight="1" x14ac:dyDescent="0.2">
      <c r="A94" s="3">
        <f t="shared" si="1"/>
        <v>10092</v>
      </c>
      <c r="B94" s="7" t="s">
        <v>1766</v>
      </c>
      <c r="C94" s="7" t="s">
        <v>1766</v>
      </c>
      <c r="D94" s="8" t="s">
        <v>1763</v>
      </c>
      <c r="E94" s="8" t="s">
        <v>1769</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908</v>
      </c>
      <c r="AN94" s="7" t="s">
        <v>1941</v>
      </c>
      <c r="AO94" s="7" t="s">
        <v>1853</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row>
    <row r="95" spans="1:67" s="9" customFormat="1" ht="15.75" customHeight="1" x14ac:dyDescent="0.2">
      <c r="A95" s="3">
        <f t="shared" si="1"/>
        <v>10093</v>
      </c>
      <c r="B95" s="7" t="s">
        <v>1773</v>
      </c>
      <c r="C95" s="7" t="s">
        <v>1773</v>
      </c>
      <c r="D95" s="8" t="s">
        <v>1770</v>
      </c>
      <c r="E95" s="8" t="s">
        <v>1794</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908</v>
      </c>
      <c r="AN95" s="7" t="s">
        <v>1941</v>
      </c>
      <c r="AO95" s="7" t="s">
        <v>1853</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row>
    <row r="96" spans="1:67" s="9" customFormat="1" ht="15.75" customHeight="1" x14ac:dyDescent="0.2">
      <c r="A96" s="3">
        <f t="shared" si="1"/>
        <v>10094</v>
      </c>
      <c r="B96" s="7" t="s">
        <v>1774</v>
      </c>
      <c r="C96" s="7" t="s">
        <v>1774</v>
      </c>
      <c r="D96" s="8" t="s">
        <v>1771</v>
      </c>
      <c r="E96" s="8" t="s">
        <v>1792</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908</v>
      </c>
      <c r="AN96" s="7" t="s">
        <v>1941</v>
      </c>
      <c r="AO96" s="7" t="s">
        <v>1853</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row>
    <row r="97" spans="1:67" s="9" customFormat="1" ht="15.75" customHeight="1" x14ac:dyDescent="0.2">
      <c r="A97" s="3">
        <f t="shared" si="1"/>
        <v>10095</v>
      </c>
      <c r="B97" s="7" t="s">
        <v>1775</v>
      </c>
      <c r="C97" s="7" t="s">
        <v>1775</v>
      </c>
      <c r="D97" s="8" t="s">
        <v>1772</v>
      </c>
      <c r="E97" s="8" t="s">
        <v>1793</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908</v>
      </c>
      <c r="AN97" s="7" t="s">
        <v>1941</v>
      </c>
      <c r="AO97" s="7" t="s">
        <v>1853</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row>
    <row r="98" spans="1:67" s="9" customFormat="1" ht="15.75" customHeight="1" x14ac:dyDescent="0.2">
      <c r="A98" s="3">
        <f t="shared" si="1"/>
        <v>10096</v>
      </c>
      <c r="B98" s="7" t="s">
        <v>1796</v>
      </c>
      <c r="C98" s="7" t="s">
        <v>1781</v>
      </c>
      <c r="D98" s="8" t="s">
        <v>1801</v>
      </c>
      <c r="E98" s="8" t="s">
        <v>1799</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908</v>
      </c>
      <c r="AN98" s="7" t="s">
        <v>1941</v>
      </c>
      <c r="AO98" s="7" t="s">
        <v>1853</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row>
    <row r="99" spans="1:67" s="9" customFormat="1" ht="15.75" customHeight="1" x14ac:dyDescent="0.2">
      <c r="A99" s="3">
        <f t="shared" si="1"/>
        <v>10097</v>
      </c>
      <c r="B99" s="7" t="s">
        <v>1797</v>
      </c>
      <c r="C99" s="7" t="s">
        <v>1782</v>
      </c>
      <c r="D99" s="8" t="s">
        <v>1802</v>
      </c>
      <c r="E99" s="8" t="s">
        <v>1800</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908</v>
      </c>
      <c r="AN99" s="7" t="s">
        <v>1941</v>
      </c>
      <c r="AO99" s="7" t="s">
        <v>1853</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row>
    <row r="100" spans="1:67" s="9" customFormat="1" ht="15.75" customHeight="1" x14ac:dyDescent="0.2">
      <c r="A100" s="3">
        <f t="shared" si="1"/>
        <v>10098</v>
      </c>
      <c r="B100" s="7" t="s">
        <v>1798</v>
      </c>
      <c r="C100" s="7" t="s">
        <v>1783</v>
      </c>
      <c r="D100" s="8" t="s">
        <v>1803</v>
      </c>
      <c r="E100" s="8" t="s">
        <v>1791</v>
      </c>
      <c r="F100" s="7">
        <v>0</v>
      </c>
      <c r="G100" s="7">
        <v>0</v>
      </c>
      <c r="H100" s="7">
        <v>0</v>
      </c>
      <c r="I100" s="7">
        <v>0</v>
      </c>
      <c r="J100" s="7">
        <v>0</v>
      </c>
      <c r="K100" s="7">
        <v>0</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72</v>
      </c>
      <c r="AM100" s="7" t="s">
        <v>908</v>
      </c>
      <c r="AN100" s="7" t="s">
        <v>1941</v>
      </c>
      <c r="AO100" s="7" t="s">
        <v>1853</v>
      </c>
      <c r="AP100" s="7">
        <v>0</v>
      </c>
      <c r="AQ100" s="7">
        <v>0</v>
      </c>
      <c r="AR100" s="9">
        <v>0</v>
      </c>
      <c r="AS100" s="9">
        <v>500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1</v>
      </c>
      <c r="BJ100" s="9">
        <v>0</v>
      </c>
      <c r="BK100" s="9">
        <v>1</v>
      </c>
      <c r="BL100" s="9">
        <v>0</v>
      </c>
      <c r="BM100" s="9">
        <v>0</v>
      </c>
      <c r="BN100" s="9">
        <v>0</v>
      </c>
      <c r="BO100" s="9">
        <v>0</v>
      </c>
    </row>
    <row r="101" spans="1:67" ht="15.75" customHeight="1" x14ac:dyDescent="0.2">
      <c r="A101" s="3">
        <f t="shared" si="1"/>
        <v>10099</v>
      </c>
      <c r="B101" s="3" t="s">
        <v>1810</v>
      </c>
      <c r="C101" s="3" t="s">
        <v>1820</v>
      </c>
      <c r="D101" s="5" t="s">
        <v>1807</v>
      </c>
      <c r="E101" s="5" t="s">
        <v>1814</v>
      </c>
      <c r="F101" s="3">
        <v>0</v>
      </c>
      <c r="G101" s="3">
        <v>0</v>
      </c>
      <c r="H101" s="3">
        <v>0</v>
      </c>
      <c r="I101" s="3">
        <v>0</v>
      </c>
      <c r="J101" s="3">
        <v>0</v>
      </c>
      <c r="K101" s="3">
        <v>0</v>
      </c>
      <c r="L101" s="3">
        <v>0</v>
      </c>
      <c r="M101" s="3">
        <v>0</v>
      </c>
      <c r="N101" s="3">
        <v>0</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72</v>
      </c>
      <c r="AM101" s="3" t="s">
        <v>908</v>
      </c>
      <c r="AN101" s="3" t="s">
        <v>1941</v>
      </c>
      <c r="AO101" s="3" t="s">
        <v>1853</v>
      </c>
      <c r="AP101" s="3">
        <v>0</v>
      </c>
      <c r="AQ101" s="3">
        <v>0</v>
      </c>
      <c r="AR101">
        <v>0</v>
      </c>
      <c r="AS101">
        <v>500</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row>
    <row r="102" spans="1:67" ht="15.75" customHeight="1" x14ac:dyDescent="0.2">
      <c r="A102" s="3">
        <f t="shared" si="1"/>
        <v>10100</v>
      </c>
      <c r="B102" s="3" t="s">
        <v>1811</v>
      </c>
      <c r="C102" s="3" t="s">
        <v>1786</v>
      </c>
      <c r="D102" s="5" t="s">
        <v>1813</v>
      </c>
      <c r="E102" s="5" t="s">
        <v>1808</v>
      </c>
      <c r="F102" s="3">
        <v>0</v>
      </c>
      <c r="G102" s="3">
        <v>0</v>
      </c>
      <c r="H102" s="3">
        <v>0</v>
      </c>
      <c r="I102" s="3">
        <v>0</v>
      </c>
      <c r="J102" s="3">
        <v>0</v>
      </c>
      <c r="K102" s="3">
        <v>0</v>
      </c>
      <c r="L102" s="3">
        <v>0</v>
      </c>
      <c r="M102" s="3">
        <v>0</v>
      </c>
      <c r="N102" s="3">
        <v>0</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72</v>
      </c>
      <c r="AM102" s="3" t="s">
        <v>908</v>
      </c>
      <c r="AN102" s="3" t="s">
        <v>1941</v>
      </c>
      <c r="AO102" s="3" t="s">
        <v>1853</v>
      </c>
      <c r="AP102" s="3">
        <v>0</v>
      </c>
      <c r="AQ102" s="3">
        <v>0</v>
      </c>
      <c r="AR102">
        <v>0</v>
      </c>
      <c r="AS102">
        <v>500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row>
    <row r="103" spans="1:67" ht="15.75" customHeight="1" x14ac:dyDescent="0.2">
      <c r="A103" s="3">
        <f t="shared" si="1"/>
        <v>10101</v>
      </c>
      <c r="B103" s="3" t="s">
        <v>1815</v>
      </c>
      <c r="C103" s="3" t="s">
        <v>1790</v>
      </c>
      <c r="D103" s="5" t="s">
        <v>1816</v>
      </c>
      <c r="E103" s="5" t="s">
        <v>1809</v>
      </c>
      <c r="F103" s="3">
        <v>0</v>
      </c>
      <c r="G103" s="3">
        <v>0</v>
      </c>
      <c r="H103" s="3">
        <v>0</v>
      </c>
      <c r="I103" s="3">
        <v>0</v>
      </c>
      <c r="J103" s="3">
        <v>0</v>
      </c>
      <c r="K103" s="3">
        <v>0</v>
      </c>
      <c r="L103" s="3">
        <v>0</v>
      </c>
      <c r="M103" s="3">
        <v>0</v>
      </c>
      <c r="N103" s="3">
        <v>0</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72</v>
      </c>
      <c r="AM103" s="3" t="s">
        <v>908</v>
      </c>
      <c r="AN103" s="3" t="s">
        <v>1941</v>
      </c>
      <c r="AO103" s="3" t="s">
        <v>1853</v>
      </c>
      <c r="AP103" s="3">
        <v>0</v>
      </c>
      <c r="AQ103" s="3">
        <v>0</v>
      </c>
      <c r="AR103">
        <v>0</v>
      </c>
      <c r="AS103">
        <v>500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row>
    <row r="104" spans="1:67" ht="15.75" customHeight="1" x14ac:dyDescent="0.2">
      <c r="A104" s="3">
        <f t="shared" si="1"/>
        <v>10102</v>
      </c>
      <c r="B104" s="3" t="s">
        <v>1795</v>
      </c>
      <c r="C104" s="3" t="s">
        <v>1784</v>
      </c>
      <c r="D104" s="5" t="s">
        <v>1806</v>
      </c>
      <c r="E104" s="5" t="s">
        <v>1805</v>
      </c>
      <c r="F104" s="3">
        <v>0</v>
      </c>
      <c r="G104" s="3">
        <v>0</v>
      </c>
      <c r="H104" s="3">
        <v>0</v>
      </c>
      <c r="I104" s="3">
        <v>0</v>
      </c>
      <c r="J104" s="3">
        <v>0</v>
      </c>
      <c r="K104" s="3">
        <v>0</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72</v>
      </c>
      <c r="AM104" s="3" t="s">
        <v>908</v>
      </c>
      <c r="AN104" s="3" t="s">
        <v>1941</v>
      </c>
      <c r="AO104" s="3" t="s">
        <v>1853</v>
      </c>
      <c r="AP104" s="3">
        <v>0</v>
      </c>
      <c r="AQ104" s="3">
        <v>0</v>
      </c>
      <c r="AR104">
        <v>0</v>
      </c>
      <c r="AS104">
        <v>500</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row>
    <row r="105" spans="1:67" s="9" customFormat="1" ht="15.75" customHeight="1" x14ac:dyDescent="0.2">
      <c r="A105" s="3">
        <f t="shared" si="1"/>
        <v>10103</v>
      </c>
      <c r="B105" s="7" t="s">
        <v>1822</v>
      </c>
      <c r="C105" s="7" t="s">
        <v>1822</v>
      </c>
      <c r="D105" s="8" t="s">
        <v>1821</v>
      </c>
      <c r="E105" s="8" t="s">
        <v>1826</v>
      </c>
      <c r="F105" s="7">
        <v>0</v>
      </c>
      <c r="G105" s="7">
        <v>0</v>
      </c>
      <c r="H105" s="7">
        <v>0</v>
      </c>
      <c r="I105" s="7">
        <v>0</v>
      </c>
      <c r="J105" s="7">
        <v>0</v>
      </c>
      <c r="K105" s="7">
        <v>0</v>
      </c>
      <c r="L105" s="7">
        <v>0</v>
      </c>
      <c r="M105" s="7">
        <v>0</v>
      </c>
      <c r="N105" s="7">
        <v>0</v>
      </c>
      <c r="O105" s="7">
        <v>0</v>
      </c>
      <c r="P105" s="7">
        <v>0</v>
      </c>
      <c r="Q105" s="7">
        <v>0</v>
      </c>
      <c r="R105" s="7">
        <v>0</v>
      </c>
      <c r="S105" s="7">
        <v>0</v>
      </c>
      <c r="T105" s="7">
        <v>0</v>
      </c>
      <c r="U105" s="7">
        <v>0</v>
      </c>
      <c r="V105" s="7">
        <v>0</v>
      </c>
      <c r="W105" s="7">
        <v>0</v>
      </c>
      <c r="X105" s="7">
        <v>0</v>
      </c>
      <c r="Y105" s="7">
        <v>0</v>
      </c>
      <c r="Z105" s="7">
        <v>0</v>
      </c>
      <c r="AA105" s="7">
        <v>0</v>
      </c>
      <c r="AB105" s="7">
        <v>0</v>
      </c>
      <c r="AC105" s="7">
        <v>0</v>
      </c>
      <c r="AD105" s="7">
        <v>0</v>
      </c>
      <c r="AE105" s="7">
        <v>0</v>
      </c>
      <c r="AF105" s="7">
        <v>0</v>
      </c>
      <c r="AG105" s="7">
        <v>0</v>
      </c>
      <c r="AH105" s="7">
        <v>0</v>
      </c>
      <c r="AI105" s="7">
        <v>0</v>
      </c>
      <c r="AJ105" s="7">
        <v>0</v>
      </c>
      <c r="AK105" s="7">
        <v>0</v>
      </c>
      <c r="AL105" s="7" t="s">
        <v>72</v>
      </c>
      <c r="AM105" s="7" t="s">
        <v>908</v>
      </c>
      <c r="AN105" s="7" t="s">
        <v>1941</v>
      </c>
      <c r="AO105" s="7" t="s">
        <v>1853</v>
      </c>
      <c r="AP105" s="7">
        <v>0</v>
      </c>
      <c r="AQ105" s="7">
        <v>0</v>
      </c>
      <c r="AR105" s="9">
        <v>0</v>
      </c>
      <c r="AS105" s="9">
        <v>500</v>
      </c>
      <c r="AT105" s="10" t="s">
        <v>50</v>
      </c>
      <c r="AU105" s="10" t="s">
        <v>50</v>
      </c>
      <c r="AV105" s="10" t="s">
        <v>50</v>
      </c>
      <c r="AW105" s="10" t="s">
        <v>50</v>
      </c>
      <c r="AX105" s="10" t="s">
        <v>50</v>
      </c>
      <c r="AY105" s="10" t="s">
        <v>50</v>
      </c>
      <c r="AZ105" s="10" t="s">
        <v>50</v>
      </c>
      <c r="BA105" s="10" t="s">
        <v>50</v>
      </c>
      <c r="BB105" s="10" t="s">
        <v>50</v>
      </c>
      <c r="BC105" s="10" t="s">
        <v>50</v>
      </c>
      <c r="BD105" s="10" t="s">
        <v>50</v>
      </c>
      <c r="BE105" s="10" t="s">
        <v>50</v>
      </c>
      <c r="BF105" s="10" t="s">
        <v>50</v>
      </c>
      <c r="BG105" s="10" t="s">
        <v>50</v>
      </c>
      <c r="BH105" s="10" t="s">
        <v>50</v>
      </c>
      <c r="BI105" s="9">
        <v>1</v>
      </c>
      <c r="BJ105" s="9">
        <v>0</v>
      </c>
      <c r="BK105" s="9">
        <v>1</v>
      </c>
      <c r="BL105" s="9">
        <v>0</v>
      </c>
      <c r="BM105" s="9">
        <v>0</v>
      </c>
      <c r="BN105" s="9">
        <v>0</v>
      </c>
      <c r="BO105" s="9">
        <v>0</v>
      </c>
    </row>
    <row r="106" spans="1:67" s="9" customFormat="1" ht="15.75" customHeight="1" x14ac:dyDescent="0.2">
      <c r="A106" s="3">
        <f t="shared" si="1"/>
        <v>10104</v>
      </c>
      <c r="B106" s="7" t="s">
        <v>1823</v>
      </c>
      <c r="C106" s="7" t="s">
        <v>1823</v>
      </c>
      <c r="D106" s="8" t="s">
        <v>1824</v>
      </c>
      <c r="E106" s="8" t="s">
        <v>1825</v>
      </c>
      <c r="F106" s="7">
        <v>0</v>
      </c>
      <c r="G106" s="7">
        <v>0</v>
      </c>
      <c r="H106" s="7">
        <v>0</v>
      </c>
      <c r="I106" s="7">
        <v>0</v>
      </c>
      <c r="J106" s="7">
        <v>0</v>
      </c>
      <c r="K106" s="7">
        <v>0</v>
      </c>
      <c r="L106" s="7">
        <v>0</v>
      </c>
      <c r="M106" s="7">
        <v>0</v>
      </c>
      <c r="N106" s="7">
        <v>0</v>
      </c>
      <c r="O106" s="7">
        <v>0</v>
      </c>
      <c r="P106" s="7">
        <v>0</v>
      </c>
      <c r="Q106" s="7">
        <v>0</v>
      </c>
      <c r="R106" s="7">
        <v>0</v>
      </c>
      <c r="S106" s="7">
        <v>0</v>
      </c>
      <c r="T106" s="7">
        <v>0</v>
      </c>
      <c r="U106" s="7">
        <v>0</v>
      </c>
      <c r="V106" s="7">
        <v>0</v>
      </c>
      <c r="W106" s="7">
        <v>0</v>
      </c>
      <c r="X106" s="7">
        <v>0</v>
      </c>
      <c r="Y106" s="7">
        <v>0</v>
      </c>
      <c r="Z106" s="7">
        <v>0</v>
      </c>
      <c r="AA106" s="7">
        <v>0</v>
      </c>
      <c r="AB106" s="7">
        <v>0</v>
      </c>
      <c r="AC106" s="7">
        <v>0</v>
      </c>
      <c r="AD106" s="7">
        <v>0</v>
      </c>
      <c r="AE106" s="7">
        <v>0</v>
      </c>
      <c r="AF106" s="7">
        <v>0</v>
      </c>
      <c r="AG106" s="7">
        <v>0</v>
      </c>
      <c r="AH106" s="7">
        <v>0</v>
      </c>
      <c r="AI106" s="7">
        <v>0</v>
      </c>
      <c r="AJ106" s="7">
        <v>0</v>
      </c>
      <c r="AK106" s="7">
        <v>0</v>
      </c>
      <c r="AL106" s="7" t="s">
        <v>72</v>
      </c>
      <c r="AM106" s="7" t="s">
        <v>908</v>
      </c>
      <c r="AN106" s="7" t="s">
        <v>1941</v>
      </c>
      <c r="AO106" s="7" t="s">
        <v>1853</v>
      </c>
      <c r="AP106" s="7">
        <v>0</v>
      </c>
      <c r="AQ106" s="7">
        <v>0</v>
      </c>
      <c r="AR106" s="9">
        <v>0</v>
      </c>
      <c r="AS106" s="9">
        <v>500</v>
      </c>
      <c r="AT106" s="10" t="s">
        <v>50</v>
      </c>
      <c r="AU106" s="10" t="s">
        <v>50</v>
      </c>
      <c r="AV106" s="10" t="s">
        <v>50</v>
      </c>
      <c r="AW106" s="10" t="s">
        <v>50</v>
      </c>
      <c r="AX106" s="10" t="s">
        <v>50</v>
      </c>
      <c r="AY106" s="10" t="s">
        <v>50</v>
      </c>
      <c r="AZ106" s="10" t="s">
        <v>50</v>
      </c>
      <c r="BA106" s="10" t="s">
        <v>50</v>
      </c>
      <c r="BB106" s="10" t="s">
        <v>50</v>
      </c>
      <c r="BC106" s="10" t="s">
        <v>50</v>
      </c>
      <c r="BD106" s="10" t="s">
        <v>50</v>
      </c>
      <c r="BE106" s="10" t="s">
        <v>50</v>
      </c>
      <c r="BF106" s="10" t="s">
        <v>50</v>
      </c>
      <c r="BG106" s="10" t="s">
        <v>50</v>
      </c>
      <c r="BH106" s="10" t="s">
        <v>50</v>
      </c>
      <c r="BI106" s="9">
        <v>1</v>
      </c>
      <c r="BJ106" s="9">
        <v>0</v>
      </c>
      <c r="BK106" s="9">
        <v>1</v>
      </c>
      <c r="BL106" s="9">
        <v>0</v>
      </c>
      <c r="BM106" s="9">
        <v>0</v>
      </c>
      <c r="BN106" s="9">
        <v>0</v>
      </c>
      <c r="BO106" s="9">
        <v>0</v>
      </c>
    </row>
    <row r="107" spans="1:67" ht="15.75" customHeight="1" x14ac:dyDescent="0.2">
      <c r="A107" s="3">
        <f t="shared" si="1"/>
        <v>10105</v>
      </c>
      <c r="B107" s="3" t="s">
        <v>1432</v>
      </c>
      <c r="C107" s="3" t="s">
        <v>1432</v>
      </c>
      <c r="D107" s="5" t="s">
        <v>1430</v>
      </c>
      <c r="E107" s="5" t="s">
        <v>1431</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908</v>
      </c>
      <c r="AN107" s="3" t="s">
        <v>1941</v>
      </c>
      <c r="AO107" s="3" t="s">
        <v>1853</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row>
    <row r="108" spans="1:67" ht="15.75" customHeight="1" x14ac:dyDescent="0.2">
      <c r="A108" s="3">
        <f t="shared" si="1"/>
        <v>10106</v>
      </c>
      <c r="B108" s="3" t="s">
        <v>1645</v>
      </c>
      <c r="C108" s="3" t="s">
        <v>1645</v>
      </c>
      <c r="D108" s="5" t="s">
        <v>1646</v>
      </c>
      <c r="E108" s="5" t="s">
        <v>1804</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908</v>
      </c>
      <c r="AN108" s="3" t="s">
        <v>1941</v>
      </c>
      <c r="AO108" s="3" t="s">
        <v>1853</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row>
    <row r="109" spans="1:67" ht="15.75" customHeight="1" x14ac:dyDescent="0.2">
      <c r="A109" s="3">
        <f t="shared" si="1"/>
        <v>10107</v>
      </c>
      <c r="B109" s="3" t="s">
        <v>887</v>
      </c>
      <c r="C109" s="3" t="s">
        <v>887</v>
      </c>
      <c r="D109" s="5" t="s">
        <v>886</v>
      </c>
      <c r="E109" s="5" t="s">
        <v>1044</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908</v>
      </c>
      <c r="AN109" s="3" t="s">
        <v>1941</v>
      </c>
      <c r="AO109" s="3" t="s">
        <v>1853</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row>
    <row r="110" spans="1:67" ht="15.75" customHeight="1" x14ac:dyDescent="0.2">
      <c r="A110" s="3">
        <f t="shared" si="1"/>
        <v>10108</v>
      </c>
      <c r="B110" s="3" t="s">
        <v>941</v>
      </c>
      <c r="C110" s="3" t="s">
        <v>941</v>
      </c>
      <c r="D110" s="5" t="s">
        <v>1299</v>
      </c>
      <c r="E110" s="5" t="s">
        <v>1300</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908</v>
      </c>
      <c r="AN110" s="3" t="s">
        <v>1941</v>
      </c>
      <c r="AO110" s="3" t="s">
        <v>1853</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row>
    <row r="111" spans="1:67" ht="15.75" customHeight="1" x14ac:dyDescent="0.2">
      <c r="A111" s="3">
        <f t="shared" si="1"/>
        <v>10109</v>
      </c>
      <c r="B111" s="3" t="s">
        <v>1550</v>
      </c>
      <c r="C111" s="3" t="s">
        <v>1550</v>
      </c>
      <c r="D111" s="5" t="s">
        <v>1549</v>
      </c>
      <c r="E111" s="5" t="s">
        <v>1551</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908</v>
      </c>
      <c r="AN111" s="3" t="s">
        <v>1941</v>
      </c>
      <c r="AO111" s="3" t="s">
        <v>1853</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row>
    <row r="112" spans="1:67" ht="15.75" customHeight="1" x14ac:dyDescent="0.2">
      <c r="A112" s="3">
        <f t="shared" si="1"/>
        <v>10110</v>
      </c>
      <c r="B112" s="3" t="s">
        <v>1563</v>
      </c>
      <c r="C112" s="3" t="s">
        <v>1552</v>
      </c>
      <c r="D112" s="5" t="s">
        <v>1612</v>
      </c>
      <c r="E112" s="5" t="s">
        <v>1613</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1651</v>
      </c>
      <c r="AN112" s="3" t="s">
        <v>1944</v>
      </c>
      <c r="AO112" s="3" t="s">
        <v>1853</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row>
    <row r="113" spans="1:67" ht="15.75" customHeight="1" x14ac:dyDescent="0.2">
      <c r="A113" s="3">
        <f t="shared" si="1"/>
        <v>10111</v>
      </c>
      <c r="B113" s="3" t="s">
        <v>1563</v>
      </c>
      <c r="C113" s="3" t="s">
        <v>1553</v>
      </c>
      <c r="D113" s="5" t="s">
        <v>1616</v>
      </c>
      <c r="E113" s="5" t="s">
        <v>1559</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1651</v>
      </c>
      <c r="AN113" s="3" t="s">
        <v>1944</v>
      </c>
      <c r="AO113" s="3" t="s">
        <v>1853</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row>
    <row r="114" spans="1:67" ht="15.75" customHeight="1" x14ac:dyDescent="0.2">
      <c r="A114" s="3">
        <f t="shared" si="1"/>
        <v>10112</v>
      </c>
      <c r="B114" s="3" t="s">
        <v>1563</v>
      </c>
      <c r="C114" s="3" t="s">
        <v>1554</v>
      </c>
      <c r="D114" s="5" t="s">
        <v>1574</v>
      </c>
      <c r="E114" s="5" t="s">
        <v>1575</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1651</v>
      </c>
      <c r="AN114" s="3" t="s">
        <v>1944</v>
      </c>
      <c r="AO114" s="3" t="s">
        <v>1853</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row>
    <row r="115" spans="1:67" ht="15.75" customHeight="1" x14ac:dyDescent="0.2">
      <c r="A115" s="3">
        <f t="shared" si="1"/>
        <v>10113</v>
      </c>
      <c r="B115" s="3" t="s">
        <v>1563</v>
      </c>
      <c r="C115" s="3" t="s">
        <v>1555</v>
      </c>
      <c r="D115" s="5" t="s">
        <v>1573</v>
      </c>
      <c r="E115" s="5" t="s">
        <v>1561</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1651</v>
      </c>
      <c r="AN115" s="3" t="s">
        <v>1944</v>
      </c>
      <c r="AO115" s="3" t="s">
        <v>1853</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row>
    <row r="116" spans="1:67" ht="15.75" customHeight="1" x14ac:dyDescent="0.2">
      <c r="A116" s="3">
        <f t="shared" si="1"/>
        <v>10114</v>
      </c>
      <c r="B116" s="3" t="s">
        <v>1563</v>
      </c>
      <c r="C116" s="3" t="s">
        <v>1556</v>
      </c>
      <c r="D116" s="5" t="s">
        <v>1557</v>
      </c>
      <c r="E116" s="5" t="s">
        <v>1562</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1651</v>
      </c>
      <c r="AN116" s="3" t="s">
        <v>1944</v>
      </c>
      <c r="AO116" s="3" t="s">
        <v>1853</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row>
    <row r="117" spans="1:67" ht="15.75" customHeight="1" x14ac:dyDescent="0.2">
      <c r="A117" s="3">
        <f t="shared" si="1"/>
        <v>10115</v>
      </c>
      <c r="B117" s="3" t="s">
        <v>1563</v>
      </c>
      <c r="C117" s="3" t="s">
        <v>1567</v>
      </c>
      <c r="D117" s="5" t="s">
        <v>1568</v>
      </c>
      <c r="E117" s="5" t="s">
        <v>1560</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1651</v>
      </c>
      <c r="AN117" s="3" t="s">
        <v>1944</v>
      </c>
      <c r="AO117" s="3" t="s">
        <v>1853</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row>
    <row r="118" spans="1:67" ht="15.75" customHeight="1" x14ac:dyDescent="0.2">
      <c r="A118" s="3">
        <f t="shared" si="1"/>
        <v>10116</v>
      </c>
      <c r="B118" s="3" t="s">
        <v>1563</v>
      </c>
      <c r="C118" s="3" t="s">
        <v>1569</v>
      </c>
      <c r="D118" s="5" t="s">
        <v>1570</v>
      </c>
      <c r="E118" s="5" t="s">
        <v>1583</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1651</v>
      </c>
      <c r="AN118" s="3" t="s">
        <v>1944</v>
      </c>
      <c r="AO118" s="3" t="s">
        <v>1853</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row>
    <row r="119" spans="1:67" ht="15.75" customHeight="1" x14ac:dyDescent="0.2">
      <c r="A119" s="3">
        <f t="shared" si="1"/>
        <v>10117</v>
      </c>
      <c r="B119" s="3" t="s">
        <v>1563</v>
      </c>
      <c r="C119" s="3" t="s">
        <v>1571</v>
      </c>
      <c r="D119" s="5" t="s">
        <v>1572</v>
      </c>
      <c r="E119" s="5" t="s">
        <v>1582</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1651</v>
      </c>
      <c r="AN119" s="3" t="s">
        <v>1944</v>
      </c>
      <c r="AO119" s="3" t="s">
        <v>1853</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row>
    <row r="120" spans="1:67" ht="15.75" customHeight="1" x14ac:dyDescent="0.2">
      <c r="A120" s="3">
        <f t="shared" si="1"/>
        <v>10118</v>
      </c>
      <c r="B120" s="3" t="s">
        <v>1563</v>
      </c>
      <c r="C120" s="3" t="s">
        <v>1576</v>
      </c>
      <c r="D120" s="5" t="s">
        <v>1577</v>
      </c>
      <c r="E120" s="5" t="s">
        <v>1578</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1651</v>
      </c>
      <c r="AN120" s="3" t="s">
        <v>1944</v>
      </c>
      <c r="AO120" s="3" t="s">
        <v>1853</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row>
    <row r="121" spans="1:67" ht="15.75" customHeight="1" x14ac:dyDescent="0.2">
      <c r="A121" s="3">
        <f t="shared" si="1"/>
        <v>10119</v>
      </c>
      <c r="B121" s="3" t="s">
        <v>1563</v>
      </c>
      <c r="C121" s="3" t="s">
        <v>1579</v>
      </c>
      <c r="D121" s="5" t="s">
        <v>1580</v>
      </c>
      <c r="E121" s="5" t="s">
        <v>1581</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1651</v>
      </c>
      <c r="AN121" s="3" t="s">
        <v>1944</v>
      </c>
      <c r="AO121" s="3" t="s">
        <v>1853</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row>
    <row r="122" spans="1:67" ht="15.75" customHeight="1" x14ac:dyDescent="0.2">
      <c r="A122" s="3">
        <f t="shared" si="1"/>
        <v>10120</v>
      </c>
      <c r="B122" s="3" t="s">
        <v>1563</v>
      </c>
      <c r="C122" s="3" t="s">
        <v>1584</v>
      </c>
      <c r="D122" s="5" t="s">
        <v>1585</v>
      </c>
      <c r="E122" s="5" t="s">
        <v>1586</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1651</v>
      </c>
      <c r="AN122" s="3" t="s">
        <v>1944</v>
      </c>
      <c r="AO122" s="3" t="s">
        <v>1853</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row>
    <row r="123" spans="1:67" ht="15.75" customHeight="1" x14ac:dyDescent="0.2">
      <c r="A123" s="3">
        <f t="shared" si="1"/>
        <v>10121</v>
      </c>
      <c r="B123" s="3" t="s">
        <v>1563</v>
      </c>
      <c r="C123" s="3" t="s">
        <v>1587</v>
      </c>
      <c r="D123" s="5" t="s">
        <v>1615</v>
      </c>
      <c r="E123" s="5" t="s">
        <v>1588</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1651</v>
      </c>
      <c r="AN123" s="3" t="s">
        <v>1944</v>
      </c>
      <c r="AO123" s="3" t="s">
        <v>1853</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row>
    <row r="124" spans="1:67" ht="15.75" customHeight="1" x14ac:dyDescent="0.2">
      <c r="A124" s="3">
        <f t="shared" si="1"/>
        <v>10122</v>
      </c>
      <c r="B124" s="3" t="s">
        <v>1563</v>
      </c>
      <c r="C124" s="3" t="s">
        <v>1590</v>
      </c>
      <c r="D124" s="5" t="s">
        <v>1589</v>
      </c>
      <c r="E124" s="5" t="s">
        <v>1591</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1651</v>
      </c>
      <c r="AN124" s="3" t="s">
        <v>1944</v>
      </c>
      <c r="AO124" s="3" t="s">
        <v>1853</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row>
    <row r="125" spans="1:67" ht="15.75" customHeight="1" x14ac:dyDescent="0.2">
      <c r="A125" s="3">
        <f t="shared" si="1"/>
        <v>10123</v>
      </c>
      <c r="B125" s="3" t="s">
        <v>1563</v>
      </c>
      <c r="C125" s="3" t="s">
        <v>1592</v>
      </c>
      <c r="D125" s="5" t="s">
        <v>1610</v>
      </c>
      <c r="E125" s="5" t="s">
        <v>1614</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1651</v>
      </c>
      <c r="AN125" s="3" t="s">
        <v>1944</v>
      </c>
      <c r="AO125" s="3" t="s">
        <v>1853</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row>
    <row r="126" spans="1:67" ht="15.75" customHeight="1" x14ac:dyDescent="0.2">
      <c r="A126" s="3">
        <f t="shared" si="1"/>
        <v>10124</v>
      </c>
      <c r="B126" s="3" t="s">
        <v>1563</v>
      </c>
      <c r="C126" s="3" t="s">
        <v>1593</v>
      </c>
      <c r="D126" s="5" t="s">
        <v>1594</v>
      </c>
      <c r="E126" s="5" t="s">
        <v>1558</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1651</v>
      </c>
      <c r="AN126" s="3" t="s">
        <v>1944</v>
      </c>
      <c r="AO126" s="3" t="s">
        <v>1853</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row>
    <row r="127" spans="1:67" ht="15.75" customHeight="1" x14ac:dyDescent="0.2">
      <c r="A127" s="3">
        <f t="shared" si="1"/>
        <v>10125</v>
      </c>
      <c r="B127" s="3" t="s">
        <v>1563</v>
      </c>
      <c r="C127" s="3" t="s">
        <v>1618</v>
      </c>
      <c r="D127" s="5" t="s">
        <v>1619</v>
      </c>
      <c r="E127" s="5" t="s">
        <v>1620</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1651</v>
      </c>
      <c r="AN127" s="3" t="s">
        <v>1944</v>
      </c>
      <c r="AO127" s="3" t="s">
        <v>1853</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row>
    <row r="128" spans="1:67" ht="15.75" customHeight="1" x14ac:dyDescent="0.2">
      <c r="A128" s="3">
        <f t="shared" si="1"/>
        <v>10126</v>
      </c>
      <c r="B128" s="3" t="s">
        <v>1563</v>
      </c>
      <c r="C128" s="3" t="s">
        <v>1621</v>
      </c>
      <c r="D128" s="5" t="s">
        <v>1622</v>
      </c>
      <c r="E128" s="5" t="s">
        <v>1623</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1651</v>
      </c>
      <c r="AN128" s="3" t="s">
        <v>1944</v>
      </c>
      <c r="AO128" s="3" t="s">
        <v>1853</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row>
    <row r="129" spans="1:67" ht="15.75" customHeight="1" x14ac:dyDescent="0.2">
      <c r="A129" s="3">
        <f t="shared" si="1"/>
        <v>10127</v>
      </c>
      <c r="B129" s="3" t="s">
        <v>1563</v>
      </c>
      <c r="C129" s="3" t="s">
        <v>1624</v>
      </c>
      <c r="D129" s="5" t="s">
        <v>1625</v>
      </c>
      <c r="E129" s="5" t="s">
        <v>1626</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1651</v>
      </c>
      <c r="AN129" s="3" t="s">
        <v>1944</v>
      </c>
      <c r="AO129" s="3" t="s">
        <v>1853</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row>
    <row r="130" spans="1:67" ht="15.75" customHeight="1" x14ac:dyDescent="0.2">
      <c r="A130" s="3">
        <f t="shared" si="1"/>
        <v>10128</v>
      </c>
      <c r="B130" s="3" t="s">
        <v>1563</v>
      </c>
      <c r="C130" s="3" t="s">
        <v>1627</v>
      </c>
      <c r="D130" s="5" t="s">
        <v>1629</v>
      </c>
      <c r="E130" s="5" t="s">
        <v>1631</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1651</v>
      </c>
      <c r="AN130" s="3" t="s">
        <v>1944</v>
      </c>
      <c r="AO130" s="3" t="s">
        <v>1853</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row>
    <row r="131" spans="1:67" ht="15.75" customHeight="1" x14ac:dyDescent="0.2">
      <c r="A131" s="3">
        <f t="shared" si="1"/>
        <v>10129</v>
      </c>
      <c r="B131" s="3" t="s">
        <v>1563</v>
      </c>
      <c r="C131" s="3" t="s">
        <v>1628</v>
      </c>
      <c r="D131" s="5" t="s">
        <v>1630</v>
      </c>
      <c r="E131" s="5" t="s">
        <v>1632</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1651</v>
      </c>
      <c r="AN131" s="3" t="s">
        <v>1944</v>
      </c>
      <c r="AO131" s="3" t="s">
        <v>1853</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row>
    <row r="132" spans="1:67" ht="15.75" customHeight="1" x14ac:dyDescent="0.2">
      <c r="A132" s="3">
        <f t="shared" si="1"/>
        <v>10130</v>
      </c>
      <c r="B132" s="3" t="s">
        <v>1563</v>
      </c>
      <c r="C132" s="3" t="s">
        <v>1642</v>
      </c>
      <c r="D132" s="5" t="s">
        <v>1644</v>
      </c>
      <c r="E132" s="5" t="s">
        <v>1643</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1651</v>
      </c>
      <c r="AN132" s="3" t="s">
        <v>1944</v>
      </c>
      <c r="AO132" s="3" t="s">
        <v>1853</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row>
    <row r="133" spans="1:67" ht="15.75" customHeight="1" x14ac:dyDescent="0.2">
      <c r="A133" s="3">
        <f t="shared" si="1"/>
        <v>10131</v>
      </c>
      <c r="B133" s="3" t="s">
        <v>990</v>
      </c>
      <c r="C133" s="3" t="s">
        <v>990</v>
      </c>
      <c r="D133" s="5" t="s">
        <v>989</v>
      </c>
      <c r="E133" s="5" t="s">
        <v>1302</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908</v>
      </c>
      <c r="AN133" s="3" t="s">
        <v>1941</v>
      </c>
      <c r="AO133" s="3" t="s">
        <v>1853</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row>
    <row r="134" spans="1:67" ht="15.75" customHeight="1" x14ac:dyDescent="0.2">
      <c r="A134" s="3">
        <f t="shared" si="1"/>
        <v>10132</v>
      </c>
      <c r="B134" s="3" t="s">
        <v>1429</v>
      </c>
      <c r="C134" s="3" t="s">
        <v>1429</v>
      </c>
      <c r="D134" s="5" t="s">
        <v>1428</v>
      </c>
      <c r="E134" s="5" t="s">
        <v>1433</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908</v>
      </c>
      <c r="AN134" s="3" t="s">
        <v>1941</v>
      </c>
      <c r="AO134" s="3" t="s">
        <v>1853</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row>
    <row r="135" spans="1:67" ht="15.75" customHeight="1" x14ac:dyDescent="0.2">
      <c r="A135" s="3">
        <f t="shared" si="1"/>
        <v>10133</v>
      </c>
      <c r="B135" s="3" t="s">
        <v>1060</v>
      </c>
      <c r="C135" s="3" t="s">
        <v>1060</v>
      </c>
      <c r="D135" s="5" t="s">
        <v>1058</v>
      </c>
      <c r="E135" s="5" t="s">
        <v>1059</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908</v>
      </c>
      <c r="AN135" s="3" t="s">
        <v>1941</v>
      </c>
      <c r="AO135" s="3" t="s">
        <v>1853</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row>
    <row r="136" spans="1:67" s="18" customFormat="1" ht="15.75" customHeight="1" x14ac:dyDescent="0.2">
      <c r="A136" s="16">
        <f t="shared" si="1"/>
        <v>10134</v>
      </c>
      <c r="B136" s="16" t="s">
        <v>1060</v>
      </c>
      <c r="C136" s="16" t="s">
        <v>2628</v>
      </c>
      <c r="D136" s="17" t="s">
        <v>2626</v>
      </c>
      <c r="E136" s="17" t="s">
        <v>2627</v>
      </c>
      <c r="F136" s="16">
        <v>0</v>
      </c>
      <c r="G136" s="16">
        <v>0</v>
      </c>
      <c r="H136" s="16">
        <v>0</v>
      </c>
      <c r="I136" s="16">
        <v>0</v>
      </c>
      <c r="J136" s="16">
        <v>0</v>
      </c>
      <c r="K136" s="16">
        <v>0</v>
      </c>
      <c r="L136" s="16">
        <v>0</v>
      </c>
      <c r="M136" s="16">
        <v>0</v>
      </c>
      <c r="N136" s="16">
        <v>0</v>
      </c>
      <c r="O136" s="16">
        <v>0</v>
      </c>
      <c r="P136" s="16">
        <v>0</v>
      </c>
      <c r="Q136" s="16">
        <v>0</v>
      </c>
      <c r="R136" s="16">
        <v>0</v>
      </c>
      <c r="S136" s="16">
        <v>0</v>
      </c>
      <c r="T136" s="16">
        <v>0</v>
      </c>
      <c r="U136" s="16">
        <v>0</v>
      </c>
      <c r="V136" s="16">
        <v>0</v>
      </c>
      <c r="W136" s="16">
        <v>0</v>
      </c>
      <c r="X136" s="16">
        <v>0</v>
      </c>
      <c r="Y136" s="16">
        <v>0</v>
      </c>
      <c r="Z136" s="16">
        <v>0</v>
      </c>
      <c r="AA136" s="16">
        <v>0</v>
      </c>
      <c r="AB136" s="16">
        <v>0</v>
      </c>
      <c r="AC136" s="16">
        <v>0</v>
      </c>
      <c r="AD136" s="16">
        <v>0</v>
      </c>
      <c r="AE136" s="16">
        <v>0</v>
      </c>
      <c r="AF136" s="16">
        <v>0</v>
      </c>
      <c r="AG136" s="16">
        <v>0</v>
      </c>
      <c r="AH136" s="16">
        <v>0</v>
      </c>
      <c r="AI136" s="16">
        <v>0</v>
      </c>
      <c r="AJ136" s="16">
        <v>0</v>
      </c>
      <c r="AK136" s="16">
        <v>0</v>
      </c>
      <c r="AL136" s="16" t="s">
        <v>72</v>
      </c>
      <c r="AM136" s="16" t="s">
        <v>908</v>
      </c>
      <c r="AN136" s="16" t="s">
        <v>1941</v>
      </c>
      <c r="AO136" s="16" t="s">
        <v>50</v>
      </c>
      <c r="AP136" s="16">
        <v>0</v>
      </c>
      <c r="AQ136" s="16">
        <v>0</v>
      </c>
      <c r="AR136" s="18">
        <v>0</v>
      </c>
      <c r="AS136" s="18">
        <v>0</v>
      </c>
      <c r="AT136" s="19" t="s">
        <v>50</v>
      </c>
      <c r="AU136" s="19" t="s">
        <v>50</v>
      </c>
      <c r="AV136" s="19" t="s">
        <v>50</v>
      </c>
      <c r="AW136" s="19" t="s">
        <v>50</v>
      </c>
      <c r="AX136" s="19" t="s">
        <v>50</v>
      </c>
      <c r="AY136" s="19" t="s">
        <v>50</v>
      </c>
      <c r="AZ136" s="19" t="s">
        <v>50</v>
      </c>
      <c r="BA136" s="19" t="s">
        <v>50</v>
      </c>
      <c r="BB136" s="19" t="s">
        <v>50</v>
      </c>
      <c r="BC136" s="19" t="s">
        <v>50</v>
      </c>
      <c r="BD136" s="19" t="s">
        <v>50</v>
      </c>
      <c r="BE136" s="19" t="s">
        <v>50</v>
      </c>
      <c r="BF136" s="19" t="s">
        <v>50</v>
      </c>
      <c r="BG136" s="19" t="s">
        <v>50</v>
      </c>
      <c r="BH136" s="19" t="s">
        <v>50</v>
      </c>
      <c r="BI136" s="18">
        <v>1</v>
      </c>
      <c r="BJ136" s="18">
        <v>0</v>
      </c>
      <c r="BK136" s="18">
        <v>1</v>
      </c>
      <c r="BL136" s="18">
        <v>0</v>
      </c>
      <c r="BM136" s="18">
        <v>0</v>
      </c>
      <c r="BN136" s="18">
        <v>0</v>
      </c>
      <c r="BO136" s="18">
        <v>0</v>
      </c>
    </row>
    <row r="137" spans="1:67" s="18" customFormat="1" ht="15.75" customHeight="1" x14ac:dyDescent="0.2">
      <c r="A137" s="16">
        <f t="shared" si="1"/>
        <v>10135</v>
      </c>
      <c r="B137" s="16" t="s">
        <v>1060</v>
      </c>
      <c r="C137" s="16" t="s">
        <v>2411</v>
      </c>
      <c r="D137" s="17" t="s">
        <v>2409</v>
      </c>
      <c r="E137" s="17" t="s">
        <v>2410</v>
      </c>
      <c r="F137" s="16">
        <v>0</v>
      </c>
      <c r="G137" s="16">
        <v>0</v>
      </c>
      <c r="H137" s="16">
        <v>0</v>
      </c>
      <c r="I137" s="16">
        <v>0</v>
      </c>
      <c r="J137" s="16">
        <v>0</v>
      </c>
      <c r="K137" s="16">
        <v>0</v>
      </c>
      <c r="L137" s="16">
        <v>0</v>
      </c>
      <c r="M137" s="16">
        <v>0</v>
      </c>
      <c r="N137" s="16">
        <v>0</v>
      </c>
      <c r="O137" s="16">
        <v>0</v>
      </c>
      <c r="P137" s="16">
        <v>0</v>
      </c>
      <c r="Q137" s="16">
        <v>0</v>
      </c>
      <c r="R137" s="16">
        <v>0</v>
      </c>
      <c r="S137" s="16">
        <v>0</v>
      </c>
      <c r="T137" s="16">
        <v>0</v>
      </c>
      <c r="U137" s="16">
        <v>0</v>
      </c>
      <c r="V137" s="16">
        <v>0</v>
      </c>
      <c r="W137" s="16">
        <v>0</v>
      </c>
      <c r="X137" s="16">
        <v>0</v>
      </c>
      <c r="Y137" s="16">
        <v>0</v>
      </c>
      <c r="Z137" s="16">
        <v>0</v>
      </c>
      <c r="AA137" s="16">
        <v>0</v>
      </c>
      <c r="AB137" s="16">
        <v>0</v>
      </c>
      <c r="AC137" s="16">
        <v>0</v>
      </c>
      <c r="AD137" s="16">
        <v>0</v>
      </c>
      <c r="AE137" s="16">
        <v>0</v>
      </c>
      <c r="AF137" s="16">
        <v>0</v>
      </c>
      <c r="AG137" s="16">
        <v>0</v>
      </c>
      <c r="AH137" s="16">
        <v>0</v>
      </c>
      <c r="AI137" s="16">
        <v>0</v>
      </c>
      <c r="AJ137" s="16">
        <v>0</v>
      </c>
      <c r="AK137" s="16">
        <v>0</v>
      </c>
      <c r="AL137" s="16" t="s">
        <v>72</v>
      </c>
      <c r="AM137" s="16" t="s">
        <v>908</v>
      </c>
      <c r="AN137" s="16" t="s">
        <v>1941</v>
      </c>
      <c r="AO137" s="16" t="s">
        <v>50</v>
      </c>
      <c r="AP137" s="16">
        <v>0</v>
      </c>
      <c r="AQ137" s="16">
        <v>0</v>
      </c>
      <c r="AR137" s="18">
        <v>0</v>
      </c>
      <c r="AS137" s="18">
        <v>0</v>
      </c>
      <c r="AT137" s="19" t="s">
        <v>50</v>
      </c>
      <c r="AU137" s="19" t="s">
        <v>50</v>
      </c>
      <c r="AV137" s="19" t="s">
        <v>50</v>
      </c>
      <c r="AW137" s="19" t="s">
        <v>50</v>
      </c>
      <c r="AX137" s="19" t="s">
        <v>50</v>
      </c>
      <c r="AY137" s="19" t="s">
        <v>50</v>
      </c>
      <c r="AZ137" s="19" t="s">
        <v>50</v>
      </c>
      <c r="BA137" s="19" t="s">
        <v>50</v>
      </c>
      <c r="BB137" s="19" t="s">
        <v>50</v>
      </c>
      <c r="BC137" s="19" t="s">
        <v>50</v>
      </c>
      <c r="BD137" s="19" t="s">
        <v>50</v>
      </c>
      <c r="BE137" s="19" t="s">
        <v>50</v>
      </c>
      <c r="BF137" s="19" t="s">
        <v>50</v>
      </c>
      <c r="BG137" s="19" t="s">
        <v>50</v>
      </c>
      <c r="BH137" s="19" t="s">
        <v>50</v>
      </c>
      <c r="BI137" s="18">
        <v>1</v>
      </c>
      <c r="BJ137" s="18">
        <v>0</v>
      </c>
      <c r="BK137" s="18">
        <v>1</v>
      </c>
      <c r="BL137" s="18">
        <v>0</v>
      </c>
      <c r="BM137" s="18">
        <v>0</v>
      </c>
      <c r="BN137" s="18">
        <v>0</v>
      </c>
      <c r="BO137" s="18">
        <v>0</v>
      </c>
    </row>
    <row r="138" spans="1:67" s="18" customFormat="1" ht="15.75" customHeight="1" x14ac:dyDescent="0.2">
      <c r="A138" s="16">
        <f t="shared" si="1"/>
        <v>10136</v>
      </c>
      <c r="B138" s="16" t="s">
        <v>1060</v>
      </c>
      <c r="C138" s="16" t="s">
        <v>2438</v>
      </c>
      <c r="D138" s="17" t="s">
        <v>2412</v>
      </c>
      <c r="E138" s="17" t="s">
        <v>2413</v>
      </c>
      <c r="F138" s="16">
        <v>0</v>
      </c>
      <c r="G138" s="16">
        <v>0</v>
      </c>
      <c r="H138" s="16">
        <v>0</v>
      </c>
      <c r="I138" s="16">
        <v>0</v>
      </c>
      <c r="J138" s="16">
        <v>0</v>
      </c>
      <c r="K138" s="16">
        <v>0</v>
      </c>
      <c r="L138" s="16">
        <v>0</v>
      </c>
      <c r="M138" s="16">
        <v>0</v>
      </c>
      <c r="N138" s="16">
        <v>0</v>
      </c>
      <c r="O138" s="16">
        <v>0</v>
      </c>
      <c r="P138" s="16">
        <v>0</v>
      </c>
      <c r="Q138" s="16">
        <v>0</v>
      </c>
      <c r="R138" s="16">
        <v>0</v>
      </c>
      <c r="S138" s="16">
        <v>0</v>
      </c>
      <c r="T138" s="16">
        <v>0</v>
      </c>
      <c r="U138" s="16">
        <v>0</v>
      </c>
      <c r="V138" s="16">
        <v>0</v>
      </c>
      <c r="W138" s="16">
        <v>0</v>
      </c>
      <c r="X138" s="16">
        <v>0</v>
      </c>
      <c r="Y138" s="16">
        <v>0</v>
      </c>
      <c r="Z138" s="16">
        <v>0</v>
      </c>
      <c r="AA138" s="16">
        <v>0</v>
      </c>
      <c r="AB138" s="16">
        <v>0</v>
      </c>
      <c r="AC138" s="16">
        <v>0</v>
      </c>
      <c r="AD138" s="16">
        <v>0</v>
      </c>
      <c r="AE138" s="16">
        <v>0</v>
      </c>
      <c r="AF138" s="16">
        <v>0</v>
      </c>
      <c r="AG138" s="16">
        <v>0</v>
      </c>
      <c r="AH138" s="16">
        <v>0</v>
      </c>
      <c r="AI138" s="16">
        <v>0</v>
      </c>
      <c r="AJ138" s="16">
        <v>0</v>
      </c>
      <c r="AK138" s="16">
        <v>0</v>
      </c>
      <c r="AL138" s="16" t="s">
        <v>72</v>
      </c>
      <c r="AM138" s="16" t="s">
        <v>908</v>
      </c>
      <c r="AN138" s="16" t="s">
        <v>1941</v>
      </c>
      <c r="AO138" s="16" t="s">
        <v>50</v>
      </c>
      <c r="AP138" s="16">
        <v>0</v>
      </c>
      <c r="AQ138" s="16">
        <v>0</v>
      </c>
      <c r="AR138" s="18">
        <v>0</v>
      </c>
      <c r="AS138" s="18">
        <v>0</v>
      </c>
      <c r="AT138" s="19" t="s">
        <v>50</v>
      </c>
      <c r="AU138" s="19" t="s">
        <v>50</v>
      </c>
      <c r="AV138" s="19" t="s">
        <v>50</v>
      </c>
      <c r="AW138" s="19" t="s">
        <v>50</v>
      </c>
      <c r="AX138" s="19" t="s">
        <v>50</v>
      </c>
      <c r="AY138" s="19" t="s">
        <v>50</v>
      </c>
      <c r="AZ138" s="19" t="s">
        <v>50</v>
      </c>
      <c r="BA138" s="19" t="s">
        <v>50</v>
      </c>
      <c r="BB138" s="19" t="s">
        <v>50</v>
      </c>
      <c r="BC138" s="19" t="s">
        <v>50</v>
      </c>
      <c r="BD138" s="19" t="s">
        <v>50</v>
      </c>
      <c r="BE138" s="19" t="s">
        <v>50</v>
      </c>
      <c r="BF138" s="19" t="s">
        <v>50</v>
      </c>
      <c r="BG138" s="19" t="s">
        <v>50</v>
      </c>
      <c r="BH138" s="19" t="s">
        <v>50</v>
      </c>
      <c r="BI138" s="18">
        <v>1</v>
      </c>
      <c r="BJ138" s="18">
        <v>0</v>
      </c>
      <c r="BK138" s="18">
        <v>1</v>
      </c>
      <c r="BL138" s="18">
        <v>0</v>
      </c>
      <c r="BM138" s="18">
        <v>0</v>
      </c>
      <c r="BN138" s="18">
        <v>0</v>
      </c>
      <c r="BO138" s="18">
        <v>0</v>
      </c>
    </row>
    <row r="139" spans="1:67" ht="15.75" customHeight="1" x14ac:dyDescent="0.2">
      <c r="A139" s="3">
        <f t="shared" si="1"/>
        <v>10137</v>
      </c>
      <c r="B139" s="3" t="s">
        <v>610</v>
      </c>
      <c r="C139" s="3" t="s">
        <v>606</v>
      </c>
      <c r="D139" s="5" t="s">
        <v>607</v>
      </c>
      <c r="E139" s="5" t="s">
        <v>608</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609</v>
      </c>
      <c r="AN139" s="3" t="s">
        <v>1945</v>
      </c>
      <c r="AO139" s="3" t="s">
        <v>1853</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row>
    <row r="140" spans="1:67" ht="15.75" customHeight="1" x14ac:dyDescent="0.2">
      <c r="A140" s="3">
        <f t="shared" si="1"/>
        <v>10138</v>
      </c>
      <c r="B140" s="3" t="s">
        <v>1000</v>
      </c>
      <c r="C140" s="3" t="s">
        <v>999</v>
      </c>
      <c r="D140" s="5" t="s">
        <v>997</v>
      </c>
      <c r="E140" s="5" t="s">
        <v>998</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609</v>
      </c>
      <c r="AN140" s="3" t="s">
        <v>1945</v>
      </c>
      <c r="AO140" s="3" t="s">
        <v>1853</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row>
    <row r="141" spans="1:67" ht="15.75" customHeight="1" x14ac:dyDescent="0.2">
      <c r="A141" s="3">
        <f t="shared" si="1"/>
        <v>10139</v>
      </c>
      <c r="B141" s="3" t="s">
        <v>1650</v>
      </c>
      <c r="C141" s="3" t="s">
        <v>1647</v>
      </c>
      <c r="D141" s="5" t="s">
        <v>1648</v>
      </c>
      <c r="E141" s="5" t="s">
        <v>1649</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609</v>
      </c>
      <c r="AN141" s="3" t="s">
        <v>1945</v>
      </c>
      <c r="AO141" s="3" t="s">
        <v>1853</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row>
    <row r="142" spans="1:67" ht="15.75" customHeight="1" x14ac:dyDescent="0.2">
      <c r="A142" s="3">
        <f t="shared" si="1"/>
        <v>10140</v>
      </c>
      <c r="B142" s="3" t="s">
        <v>699</v>
      </c>
      <c r="C142" s="3" t="s">
        <v>699</v>
      </c>
      <c r="D142" s="5" t="s">
        <v>906</v>
      </c>
      <c r="E142" s="5" t="s">
        <v>889</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860</v>
      </c>
      <c r="AN142" s="3" t="s">
        <v>1946</v>
      </c>
      <c r="AO142" s="3" t="s">
        <v>1853</v>
      </c>
      <c r="AP142" s="3">
        <v>0</v>
      </c>
      <c r="AQ142" s="3">
        <v>0</v>
      </c>
      <c r="AR142">
        <v>0</v>
      </c>
      <c r="AS142">
        <v>30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row>
    <row r="143" spans="1:67" ht="15.75" customHeight="1" x14ac:dyDescent="0.2">
      <c r="A143" s="3">
        <f t="shared" si="1"/>
        <v>10141</v>
      </c>
      <c r="B143" s="3" t="s">
        <v>1334</v>
      </c>
      <c r="C143" s="3" t="s">
        <v>1334</v>
      </c>
      <c r="D143" s="5" t="s">
        <v>1335</v>
      </c>
      <c r="E143" s="5" t="s">
        <v>1336</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860</v>
      </c>
      <c r="AN143" s="3" t="s">
        <v>1946</v>
      </c>
      <c r="AO143" s="3" t="s">
        <v>1853</v>
      </c>
      <c r="AP143" s="3">
        <v>0</v>
      </c>
      <c r="AQ143" s="3">
        <v>0</v>
      </c>
      <c r="AR143">
        <v>0</v>
      </c>
      <c r="AS143">
        <v>30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2</v>
      </c>
      <c r="BL143">
        <v>0</v>
      </c>
      <c r="BM143">
        <v>0</v>
      </c>
      <c r="BN143">
        <v>0</v>
      </c>
      <c r="BO143">
        <v>0</v>
      </c>
    </row>
    <row r="144" spans="1:67" ht="15.75" customHeight="1" x14ac:dyDescent="0.2">
      <c r="A144" s="3">
        <f t="shared" si="1"/>
        <v>10142</v>
      </c>
      <c r="B144" s="3" t="s">
        <v>1339</v>
      </c>
      <c r="C144" s="3" t="s">
        <v>1339</v>
      </c>
      <c r="D144" s="5" t="s">
        <v>1337</v>
      </c>
      <c r="E144" s="5" t="s">
        <v>1338</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860</v>
      </c>
      <c r="AN144" s="3" t="s">
        <v>1946</v>
      </c>
      <c r="AO144" s="3" t="s">
        <v>1853</v>
      </c>
      <c r="AP144" s="3">
        <v>0</v>
      </c>
      <c r="AQ144" s="3">
        <v>0</v>
      </c>
      <c r="AR144">
        <v>0</v>
      </c>
      <c r="AS144">
        <v>50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3</v>
      </c>
      <c r="BL144">
        <v>0</v>
      </c>
      <c r="BM144">
        <v>0</v>
      </c>
      <c r="BN144">
        <v>0</v>
      </c>
      <c r="BO144">
        <v>0</v>
      </c>
    </row>
    <row r="145" spans="1:67" ht="15.75" customHeight="1" x14ac:dyDescent="0.2">
      <c r="A145" s="3">
        <f t="shared" si="1"/>
        <v>10143</v>
      </c>
      <c r="B145" s="3" t="s">
        <v>2436</v>
      </c>
      <c r="C145" s="3" t="s">
        <v>2436</v>
      </c>
      <c r="D145" s="5" t="s">
        <v>2606</v>
      </c>
      <c r="E145" s="5" t="s">
        <v>2437</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860</v>
      </c>
      <c r="AN145" s="3" t="s">
        <v>1946</v>
      </c>
      <c r="AO145" s="3" t="s">
        <v>50</v>
      </c>
      <c r="AP145" s="3">
        <v>0</v>
      </c>
      <c r="AQ145" s="3">
        <v>0</v>
      </c>
      <c r="AR145">
        <v>0</v>
      </c>
      <c r="AS145">
        <v>50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3</v>
      </c>
      <c r="BL145">
        <v>0</v>
      </c>
      <c r="BM145">
        <v>0</v>
      </c>
      <c r="BN145">
        <v>0</v>
      </c>
      <c r="BO145">
        <v>0</v>
      </c>
    </row>
    <row r="146" spans="1:67" ht="15.75" customHeight="1" x14ac:dyDescent="0.2">
      <c r="A146" s="3">
        <f t="shared" si="1"/>
        <v>10144</v>
      </c>
      <c r="B146" s="3" t="s">
        <v>894</v>
      </c>
      <c r="C146" s="3" t="s">
        <v>894</v>
      </c>
      <c r="D146" s="5" t="s">
        <v>895</v>
      </c>
      <c r="E146" s="5" t="s">
        <v>896</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860</v>
      </c>
      <c r="AN146" s="3" t="s">
        <v>1946</v>
      </c>
      <c r="AO146" s="3" t="s">
        <v>1853</v>
      </c>
      <c r="AP146" s="3">
        <v>0</v>
      </c>
      <c r="AQ146" s="3">
        <v>0</v>
      </c>
      <c r="AR146">
        <v>0</v>
      </c>
      <c r="AS146">
        <v>1000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row>
    <row r="147" spans="1:67" s="18" customFormat="1" ht="15.75" customHeight="1" x14ac:dyDescent="0.2">
      <c r="A147" s="16">
        <f t="shared" si="1"/>
        <v>10145</v>
      </c>
      <c r="B147" s="16" t="s">
        <v>894</v>
      </c>
      <c r="C147" s="16" t="s">
        <v>897</v>
      </c>
      <c r="D147" s="17" t="s">
        <v>898</v>
      </c>
      <c r="E147" s="17" t="s">
        <v>899</v>
      </c>
      <c r="F147" s="16">
        <v>0</v>
      </c>
      <c r="G147" s="16">
        <v>0</v>
      </c>
      <c r="H147" s="16">
        <v>0</v>
      </c>
      <c r="I147" s="16">
        <v>0</v>
      </c>
      <c r="J147" s="16">
        <v>0</v>
      </c>
      <c r="K147" s="16">
        <v>0</v>
      </c>
      <c r="L147" s="16">
        <v>0</v>
      </c>
      <c r="M147" s="16">
        <v>0</v>
      </c>
      <c r="N147" s="16">
        <v>0</v>
      </c>
      <c r="O147" s="16">
        <v>0</v>
      </c>
      <c r="P147" s="16">
        <v>0</v>
      </c>
      <c r="Q147" s="16">
        <v>0</v>
      </c>
      <c r="R147" s="16">
        <v>0</v>
      </c>
      <c r="S147" s="16">
        <v>0</v>
      </c>
      <c r="T147" s="16">
        <v>0</v>
      </c>
      <c r="U147" s="16">
        <v>0</v>
      </c>
      <c r="V147" s="16">
        <v>0</v>
      </c>
      <c r="W147" s="16">
        <v>0</v>
      </c>
      <c r="X147" s="16">
        <v>0</v>
      </c>
      <c r="Y147" s="16">
        <v>0</v>
      </c>
      <c r="Z147" s="16">
        <v>0</v>
      </c>
      <c r="AA147" s="16">
        <v>0</v>
      </c>
      <c r="AB147" s="16">
        <v>0</v>
      </c>
      <c r="AC147" s="16">
        <v>0</v>
      </c>
      <c r="AD147" s="16">
        <v>0</v>
      </c>
      <c r="AE147" s="16">
        <v>0</v>
      </c>
      <c r="AF147" s="16">
        <v>0</v>
      </c>
      <c r="AG147" s="16">
        <v>0</v>
      </c>
      <c r="AH147" s="16">
        <v>0</v>
      </c>
      <c r="AI147" s="16">
        <v>0</v>
      </c>
      <c r="AJ147" s="16">
        <v>0</v>
      </c>
      <c r="AK147" s="16">
        <v>0</v>
      </c>
      <c r="AL147" s="16" t="s">
        <v>72</v>
      </c>
      <c r="AM147" s="16" t="s">
        <v>860</v>
      </c>
      <c r="AN147" s="16" t="s">
        <v>1946</v>
      </c>
      <c r="AO147" s="16" t="s">
        <v>1853</v>
      </c>
      <c r="AP147" s="16">
        <v>0</v>
      </c>
      <c r="AQ147" s="16">
        <v>0</v>
      </c>
      <c r="AR147" s="18">
        <v>0</v>
      </c>
      <c r="AS147" s="18">
        <v>2000</v>
      </c>
      <c r="AT147" s="19" t="s">
        <v>50</v>
      </c>
      <c r="AU147" s="19" t="s">
        <v>50</v>
      </c>
      <c r="AV147" s="19" t="s">
        <v>50</v>
      </c>
      <c r="AW147" s="19" t="s">
        <v>50</v>
      </c>
      <c r="AX147" s="19" t="s">
        <v>50</v>
      </c>
      <c r="AY147" s="19" t="s">
        <v>50</v>
      </c>
      <c r="AZ147" s="19" t="s">
        <v>50</v>
      </c>
      <c r="BA147" s="19" t="s">
        <v>50</v>
      </c>
      <c r="BB147" s="19" t="s">
        <v>50</v>
      </c>
      <c r="BC147" s="19" t="s">
        <v>50</v>
      </c>
      <c r="BD147" s="19" t="s">
        <v>50</v>
      </c>
      <c r="BE147" s="19" t="s">
        <v>50</v>
      </c>
      <c r="BF147" s="19" t="s">
        <v>50</v>
      </c>
      <c r="BG147" s="19" t="s">
        <v>50</v>
      </c>
      <c r="BH147" s="19" t="s">
        <v>50</v>
      </c>
      <c r="BI147" s="18">
        <v>1</v>
      </c>
      <c r="BJ147" s="18">
        <v>0</v>
      </c>
      <c r="BK147" s="18">
        <v>1</v>
      </c>
      <c r="BL147" s="18">
        <v>0</v>
      </c>
      <c r="BM147" s="18">
        <v>0</v>
      </c>
      <c r="BN147" s="18">
        <v>0</v>
      </c>
      <c r="BO147" s="18">
        <v>0</v>
      </c>
    </row>
    <row r="148" spans="1:67" s="18" customFormat="1" ht="15.75" customHeight="1" x14ac:dyDescent="0.2">
      <c r="A148" s="16">
        <f t="shared" si="1"/>
        <v>10146</v>
      </c>
      <c r="B148" s="16" t="s">
        <v>894</v>
      </c>
      <c r="C148" s="16" t="s">
        <v>900</v>
      </c>
      <c r="D148" s="17" t="s">
        <v>901</v>
      </c>
      <c r="E148" s="17" t="s">
        <v>902</v>
      </c>
      <c r="F148" s="16">
        <v>0</v>
      </c>
      <c r="G148" s="16">
        <v>0</v>
      </c>
      <c r="H148" s="16">
        <v>0</v>
      </c>
      <c r="I148" s="16">
        <v>0</v>
      </c>
      <c r="J148" s="16">
        <v>0</v>
      </c>
      <c r="K148" s="16">
        <v>0</v>
      </c>
      <c r="L148" s="16">
        <v>0</v>
      </c>
      <c r="M148" s="16">
        <v>0</v>
      </c>
      <c r="N148" s="16">
        <v>0</v>
      </c>
      <c r="O148" s="16">
        <v>0</v>
      </c>
      <c r="P148" s="16">
        <v>0</v>
      </c>
      <c r="Q148" s="16">
        <v>0</v>
      </c>
      <c r="R148" s="16">
        <v>0</v>
      </c>
      <c r="S148" s="16">
        <v>0</v>
      </c>
      <c r="T148" s="16">
        <v>0</v>
      </c>
      <c r="U148" s="16">
        <v>0</v>
      </c>
      <c r="V148" s="16">
        <v>0</v>
      </c>
      <c r="W148" s="16">
        <v>0</v>
      </c>
      <c r="X148" s="16">
        <v>0</v>
      </c>
      <c r="Y148" s="16">
        <v>0</v>
      </c>
      <c r="Z148" s="16">
        <v>0</v>
      </c>
      <c r="AA148" s="16">
        <v>0</v>
      </c>
      <c r="AB148" s="16">
        <v>0</v>
      </c>
      <c r="AC148" s="16">
        <v>0</v>
      </c>
      <c r="AD148" s="16">
        <v>0</v>
      </c>
      <c r="AE148" s="16">
        <v>0</v>
      </c>
      <c r="AF148" s="16">
        <v>0</v>
      </c>
      <c r="AG148" s="16">
        <v>0</v>
      </c>
      <c r="AH148" s="16">
        <v>0</v>
      </c>
      <c r="AI148" s="16">
        <v>0</v>
      </c>
      <c r="AJ148" s="16">
        <v>0</v>
      </c>
      <c r="AK148" s="16">
        <v>0</v>
      </c>
      <c r="AL148" s="16" t="s">
        <v>72</v>
      </c>
      <c r="AM148" s="16" t="s">
        <v>860</v>
      </c>
      <c r="AN148" s="16" t="s">
        <v>1946</v>
      </c>
      <c r="AO148" s="16" t="s">
        <v>1853</v>
      </c>
      <c r="AP148" s="16">
        <v>0</v>
      </c>
      <c r="AQ148" s="16">
        <v>0</v>
      </c>
      <c r="AR148" s="18">
        <v>0</v>
      </c>
      <c r="AS148" s="18">
        <v>10000</v>
      </c>
      <c r="AT148" s="19" t="s">
        <v>50</v>
      </c>
      <c r="AU148" s="19" t="s">
        <v>50</v>
      </c>
      <c r="AV148" s="19" t="s">
        <v>50</v>
      </c>
      <c r="AW148" s="19" t="s">
        <v>50</v>
      </c>
      <c r="AX148" s="19" t="s">
        <v>50</v>
      </c>
      <c r="AY148" s="19" t="s">
        <v>50</v>
      </c>
      <c r="AZ148" s="19" t="s">
        <v>50</v>
      </c>
      <c r="BA148" s="19" t="s">
        <v>50</v>
      </c>
      <c r="BB148" s="19" t="s">
        <v>50</v>
      </c>
      <c r="BC148" s="19" t="s">
        <v>50</v>
      </c>
      <c r="BD148" s="19" t="s">
        <v>50</v>
      </c>
      <c r="BE148" s="19" t="s">
        <v>50</v>
      </c>
      <c r="BF148" s="19" t="s">
        <v>50</v>
      </c>
      <c r="BG148" s="19" t="s">
        <v>50</v>
      </c>
      <c r="BH148" s="19" t="s">
        <v>50</v>
      </c>
      <c r="BI148" s="18">
        <v>1</v>
      </c>
      <c r="BJ148" s="18">
        <v>0</v>
      </c>
      <c r="BK148" s="18">
        <v>1</v>
      </c>
      <c r="BL148" s="18">
        <v>0</v>
      </c>
      <c r="BM148" s="18">
        <v>0</v>
      </c>
      <c r="BN148" s="18">
        <v>0</v>
      </c>
      <c r="BO148" s="18">
        <v>0</v>
      </c>
    </row>
    <row r="149" spans="1:67" s="18" customFormat="1" ht="15.75" customHeight="1" x14ac:dyDescent="0.2">
      <c r="A149" s="16">
        <f t="shared" si="1"/>
        <v>10147</v>
      </c>
      <c r="B149" s="16" t="s">
        <v>894</v>
      </c>
      <c r="C149" s="16" t="s">
        <v>903</v>
      </c>
      <c r="D149" s="17" t="s">
        <v>904</v>
      </c>
      <c r="E149" s="17" t="s">
        <v>905</v>
      </c>
      <c r="F149" s="16">
        <v>0</v>
      </c>
      <c r="G149" s="16">
        <v>0</v>
      </c>
      <c r="H149" s="16">
        <v>0</v>
      </c>
      <c r="I149" s="16">
        <v>0</v>
      </c>
      <c r="J149" s="16">
        <v>0</v>
      </c>
      <c r="K149" s="16">
        <v>0</v>
      </c>
      <c r="L149" s="16">
        <v>0</v>
      </c>
      <c r="M149" s="16">
        <v>0</v>
      </c>
      <c r="N149" s="16">
        <v>0</v>
      </c>
      <c r="O149" s="16">
        <v>0</v>
      </c>
      <c r="P149" s="16">
        <v>0</v>
      </c>
      <c r="Q149" s="16">
        <v>0</v>
      </c>
      <c r="R149" s="16">
        <v>0</v>
      </c>
      <c r="S149" s="16">
        <v>0</v>
      </c>
      <c r="T149" s="16">
        <v>0</v>
      </c>
      <c r="U149" s="16">
        <v>0</v>
      </c>
      <c r="V149" s="16">
        <v>0</v>
      </c>
      <c r="W149" s="16">
        <v>0</v>
      </c>
      <c r="X149" s="16">
        <v>0</v>
      </c>
      <c r="Y149" s="16">
        <v>0</v>
      </c>
      <c r="Z149" s="16">
        <v>0</v>
      </c>
      <c r="AA149" s="16">
        <v>0</v>
      </c>
      <c r="AB149" s="16">
        <v>0</v>
      </c>
      <c r="AC149" s="16">
        <v>0</v>
      </c>
      <c r="AD149" s="16">
        <v>0</v>
      </c>
      <c r="AE149" s="16">
        <v>0</v>
      </c>
      <c r="AF149" s="16">
        <v>0</v>
      </c>
      <c r="AG149" s="16">
        <v>0</v>
      </c>
      <c r="AH149" s="16">
        <v>0</v>
      </c>
      <c r="AI149" s="16">
        <v>0</v>
      </c>
      <c r="AJ149" s="16">
        <v>0</v>
      </c>
      <c r="AK149" s="16">
        <v>0</v>
      </c>
      <c r="AL149" s="16" t="s">
        <v>72</v>
      </c>
      <c r="AM149" s="16" t="s">
        <v>860</v>
      </c>
      <c r="AN149" s="16" t="s">
        <v>1946</v>
      </c>
      <c r="AO149" s="16" t="s">
        <v>1853</v>
      </c>
      <c r="AP149" s="16">
        <v>0</v>
      </c>
      <c r="AQ149" s="16">
        <v>0</v>
      </c>
      <c r="AR149" s="18">
        <v>0</v>
      </c>
      <c r="AS149" s="18">
        <v>50000</v>
      </c>
      <c r="AT149" s="19" t="s">
        <v>50</v>
      </c>
      <c r="AU149" s="19" t="s">
        <v>50</v>
      </c>
      <c r="AV149" s="19" t="s">
        <v>50</v>
      </c>
      <c r="AW149" s="19" t="s">
        <v>50</v>
      </c>
      <c r="AX149" s="19" t="s">
        <v>50</v>
      </c>
      <c r="AY149" s="19" t="s">
        <v>50</v>
      </c>
      <c r="AZ149" s="19" t="s">
        <v>50</v>
      </c>
      <c r="BA149" s="19" t="s">
        <v>50</v>
      </c>
      <c r="BB149" s="19" t="s">
        <v>50</v>
      </c>
      <c r="BC149" s="19" t="s">
        <v>50</v>
      </c>
      <c r="BD149" s="19" t="s">
        <v>50</v>
      </c>
      <c r="BE149" s="19" t="s">
        <v>50</v>
      </c>
      <c r="BF149" s="19" t="s">
        <v>50</v>
      </c>
      <c r="BG149" s="19" t="s">
        <v>50</v>
      </c>
      <c r="BH149" s="19" t="s">
        <v>50</v>
      </c>
      <c r="BI149" s="18">
        <v>1</v>
      </c>
      <c r="BJ149" s="18">
        <v>0</v>
      </c>
      <c r="BK149" s="18">
        <v>1</v>
      </c>
      <c r="BL149" s="18">
        <v>0</v>
      </c>
      <c r="BM149" s="18">
        <v>0</v>
      </c>
      <c r="BN149" s="18">
        <v>0</v>
      </c>
      <c r="BO149" s="18">
        <v>0</v>
      </c>
    </row>
    <row r="150" spans="1:67" ht="15.75" customHeight="1" x14ac:dyDescent="0.2">
      <c r="A150" s="3">
        <f t="shared" si="1"/>
        <v>10148</v>
      </c>
      <c r="B150" s="3" t="s">
        <v>912</v>
      </c>
      <c r="C150" s="3" t="s">
        <v>912</v>
      </c>
      <c r="D150" s="5" t="s">
        <v>911</v>
      </c>
      <c r="E150" s="5" t="s">
        <v>1303</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860</v>
      </c>
      <c r="AN150" s="3" t="s">
        <v>1946</v>
      </c>
      <c r="AO150" s="3" t="s">
        <v>1853</v>
      </c>
      <c r="AP150" s="3">
        <v>0</v>
      </c>
      <c r="AQ150" s="3">
        <v>0</v>
      </c>
      <c r="AR150">
        <v>0</v>
      </c>
      <c r="AS150">
        <v>200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row>
    <row r="151" spans="1:67" ht="15.75" customHeight="1" x14ac:dyDescent="0.2">
      <c r="A151" s="3">
        <f t="shared" si="1"/>
        <v>10149</v>
      </c>
      <c r="B151" s="3" t="s">
        <v>1026</v>
      </c>
      <c r="C151" s="3" t="s">
        <v>1026</v>
      </c>
      <c r="D151" s="5" t="s">
        <v>1027</v>
      </c>
      <c r="E151" s="5" t="s">
        <v>1812</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860</v>
      </c>
      <c r="AN151" s="3" t="s">
        <v>1946</v>
      </c>
      <c r="AO151" s="3" t="s">
        <v>1853</v>
      </c>
      <c r="AP151" s="3">
        <v>0</v>
      </c>
      <c r="AQ151" s="3">
        <v>0</v>
      </c>
      <c r="AR151">
        <v>0</v>
      </c>
      <c r="AS151">
        <v>1200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row>
    <row r="152" spans="1:67" ht="15.75" customHeight="1" x14ac:dyDescent="0.2">
      <c r="A152" s="3">
        <f t="shared" si="1"/>
        <v>10150</v>
      </c>
      <c r="B152" s="3" t="s">
        <v>1029</v>
      </c>
      <c r="C152" s="3" t="s">
        <v>1029</v>
      </c>
      <c r="D152" s="5" t="s">
        <v>1028</v>
      </c>
      <c r="E152" s="5" t="s">
        <v>1304</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860</v>
      </c>
      <c r="AN152" s="3" t="s">
        <v>1946</v>
      </c>
      <c r="AO152" s="3" t="s">
        <v>1853</v>
      </c>
      <c r="AP152" s="3">
        <v>0</v>
      </c>
      <c r="AQ152" s="3">
        <v>0</v>
      </c>
      <c r="AR152">
        <v>0</v>
      </c>
      <c r="AS152">
        <v>1200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row>
    <row r="153" spans="1:67" ht="15.75" customHeight="1" x14ac:dyDescent="0.2">
      <c r="A153" s="3">
        <f t="shared" si="1"/>
        <v>10151</v>
      </c>
      <c r="B153" s="3" t="s">
        <v>1029</v>
      </c>
      <c r="C153" s="3" t="s">
        <v>1054</v>
      </c>
      <c r="D153" s="5" t="s">
        <v>1053</v>
      </c>
      <c r="E153" s="5" t="s">
        <v>1301</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860</v>
      </c>
      <c r="AN153" s="3" t="s">
        <v>1946</v>
      </c>
      <c r="AO153" s="3" t="s">
        <v>1853</v>
      </c>
      <c r="AP153" s="3">
        <v>0</v>
      </c>
      <c r="AQ153" s="3">
        <v>0</v>
      </c>
      <c r="AR153">
        <v>0</v>
      </c>
      <c r="AS153">
        <v>1200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row>
    <row r="154" spans="1:67" ht="15.75" customHeight="1" x14ac:dyDescent="0.2">
      <c r="A154" s="3">
        <f t="shared" si="1"/>
        <v>10152</v>
      </c>
      <c r="B154" s="3" t="s">
        <v>2619</v>
      </c>
      <c r="C154" s="3" t="s">
        <v>2619</v>
      </c>
      <c r="D154" s="5" t="s">
        <v>2617</v>
      </c>
      <c r="E154" s="5" t="s">
        <v>2618</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860</v>
      </c>
      <c r="AN154" s="3" t="s">
        <v>1946</v>
      </c>
      <c r="AO154" s="3" t="s">
        <v>50</v>
      </c>
      <c r="AP154" s="3">
        <v>0</v>
      </c>
      <c r="AQ154" s="3">
        <v>0</v>
      </c>
      <c r="AR154">
        <v>0</v>
      </c>
      <c r="AS154">
        <v>200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row>
    <row r="155" spans="1:67" ht="15.75" customHeight="1" x14ac:dyDescent="0.2">
      <c r="A155" s="3">
        <f t="shared" si="1"/>
        <v>10153</v>
      </c>
      <c r="B155" s="3" t="s">
        <v>2622</v>
      </c>
      <c r="C155" s="3" t="s">
        <v>2622</v>
      </c>
      <c r="D155" s="5" t="s">
        <v>2620</v>
      </c>
      <c r="E155" s="5" t="s">
        <v>2621</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860</v>
      </c>
      <c r="AN155" s="3" t="s">
        <v>1946</v>
      </c>
      <c r="AO155" s="3" t="s">
        <v>50</v>
      </c>
      <c r="AP155" s="3">
        <v>0</v>
      </c>
      <c r="AQ155" s="3">
        <v>0</v>
      </c>
      <c r="AR155">
        <v>0</v>
      </c>
      <c r="AS155">
        <v>200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row>
    <row r="156" spans="1:67" ht="15.75" customHeight="1" x14ac:dyDescent="0.2">
      <c r="A156" s="3">
        <f t="shared" si="1"/>
        <v>10154</v>
      </c>
      <c r="B156" s="3" t="s">
        <v>3400</v>
      </c>
      <c r="C156" s="3" t="s">
        <v>3400</v>
      </c>
      <c r="D156" s="5" t="s">
        <v>3398</v>
      </c>
      <c r="E156" s="5" t="s">
        <v>3399</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860</v>
      </c>
      <c r="AN156" s="3" t="s">
        <v>1946</v>
      </c>
      <c r="AO156" s="3" t="s">
        <v>50</v>
      </c>
      <c r="AP156" s="3">
        <v>0</v>
      </c>
      <c r="AQ156" s="3">
        <v>0</v>
      </c>
      <c r="AR156">
        <v>0</v>
      </c>
      <c r="AS156">
        <v>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row>
    <row r="157" spans="1:67" ht="15.75" customHeight="1" x14ac:dyDescent="0.2">
      <c r="A157" s="3">
        <f t="shared" si="1"/>
        <v>10155</v>
      </c>
      <c r="B157" s="3" t="s">
        <v>2622</v>
      </c>
      <c r="C157" s="3" t="s">
        <v>3146</v>
      </c>
      <c r="D157" s="5" t="s">
        <v>3144</v>
      </c>
      <c r="E157" s="5" t="s">
        <v>3145</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860</v>
      </c>
      <c r="AN157" s="3" t="s">
        <v>1946</v>
      </c>
      <c r="AO157" s="3" t="s">
        <v>50</v>
      </c>
      <c r="AP157" s="3">
        <v>0</v>
      </c>
      <c r="AQ157" s="3">
        <v>0</v>
      </c>
      <c r="AR157">
        <v>0</v>
      </c>
      <c r="AS157">
        <v>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row>
    <row r="158" spans="1:67" s="18" customFormat="1" ht="15.75" customHeight="1" x14ac:dyDescent="0.2">
      <c r="A158" s="16">
        <f t="shared" si="1"/>
        <v>10156</v>
      </c>
      <c r="B158" s="16" t="s">
        <v>2622</v>
      </c>
      <c r="C158" s="16" t="s">
        <v>3478</v>
      </c>
      <c r="D158" s="17" t="s">
        <v>3477</v>
      </c>
      <c r="E158" s="17" t="s">
        <v>3479</v>
      </c>
      <c r="F158" s="16">
        <v>0</v>
      </c>
      <c r="G158" s="16">
        <v>0</v>
      </c>
      <c r="H158" s="16">
        <v>0</v>
      </c>
      <c r="I158" s="16">
        <v>0</v>
      </c>
      <c r="J158" s="16">
        <v>0</v>
      </c>
      <c r="K158" s="16">
        <v>0</v>
      </c>
      <c r="L158" s="16">
        <v>0</v>
      </c>
      <c r="M158" s="16">
        <v>0</v>
      </c>
      <c r="N158" s="16">
        <v>0</v>
      </c>
      <c r="O158" s="16">
        <v>0</v>
      </c>
      <c r="P158" s="16">
        <v>0</v>
      </c>
      <c r="Q158" s="16">
        <v>0</v>
      </c>
      <c r="R158" s="16">
        <v>0</v>
      </c>
      <c r="S158" s="16">
        <v>0</v>
      </c>
      <c r="T158" s="16">
        <v>0</v>
      </c>
      <c r="U158" s="16">
        <v>0</v>
      </c>
      <c r="V158" s="16">
        <v>0</v>
      </c>
      <c r="W158" s="16">
        <v>0</v>
      </c>
      <c r="X158" s="16">
        <v>0</v>
      </c>
      <c r="Y158" s="16">
        <v>0</v>
      </c>
      <c r="Z158" s="16">
        <v>0</v>
      </c>
      <c r="AA158" s="16">
        <v>0</v>
      </c>
      <c r="AB158" s="16">
        <v>0</v>
      </c>
      <c r="AC158" s="16">
        <v>0</v>
      </c>
      <c r="AD158" s="16">
        <v>0</v>
      </c>
      <c r="AE158" s="16">
        <v>0</v>
      </c>
      <c r="AF158" s="16">
        <v>0</v>
      </c>
      <c r="AG158" s="16">
        <v>0</v>
      </c>
      <c r="AH158" s="16">
        <v>0</v>
      </c>
      <c r="AI158" s="16">
        <v>0</v>
      </c>
      <c r="AJ158" s="16">
        <v>0</v>
      </c>
      <c r="AK158" s="16">
        <v>0</v>
      </c>
      <c r="AL158" s="16" t="s">
        <v>72</v>
      </c>
      <c r="AM158" s="16" t="s">
        <v>2393</v>
      </c>
      <c r="AN158" s="16" t="s">
        <v>2394</v>
      </c>
      <c r="AO158" s="16" t="s">
        <v>50</v>
      </c>
      <c r="AP158" s="16">
        <v>0</v>
      </c>
      <c r="AQ158" s="16">
        <v>0</v>
      </c>
      <c r="AR158" s="18">
        <v>0</v>
      </c>
      <c r="AS158" s="18">
        <v>200</v>
      </c>
      <c r="AT158" s="19" t="s">
        <v>50</v>
      </c>
      <c r="AU158" s="19" t="s">
        <v>50</v>
      </c>
      <c r="AV158" s="19" t="s">
        <v>50</v>
      </c>
      <c r="AW158" s="19" t="s">
        <v>50</v>
      </c>
      <c r="AX158" s="19" t="s">
        <v>50</v>
      </c>
      <c r="AY158" s="19" t="s">
        <v>50</v>
      </c>
      <c r="AZ158" s="19" t="s">
        <v>50</v>
      </c>
      <c r="BA158" s="19" t="s">
        <v>50</v>
      </c>
      <c r="BB158" s="19" t="s">
        <v>50</v>
      </c>
      <c r="BC158" s="19" t="s">
        <v>50</v>
      </c>
      <c r="BD158" s="19" t="s">
        <v>50</v>
      </c>
      <c r="BE158" s="19" t="s">
        <v>50</v>
      </c>
      <c r="BF158" s="19" t="s">
        <v>50</v>
      </c>
      <c r="BG158" s="19" t="s">
        <v>50</v>
      </c>
      <c r="BH158" s="19" t="s">
        <v>50</v>
      </c>
      <c r="BI158" s="18">
        <v>1</v>
      </c>
      <c r="BJ158" s="18">
        <v>0</v>
      </c>
      <c r="BK158" s="18">
        <v>1</v>
      </c>
      <c r="BL158" s="18">
        <v>0</v>
      </c>
      <c r="BM158" s="18">
        <v>0</v>
      </c>
      <c r="BN158" s="18">
        <v>0</v>
      </c>
      <c r="BO158" s="18">
        <v>0</v>
      </c>
    </row>
    <row r="159" spans="1:67" ht="15.75" customHeight="1" x14ac:dyDescent="0.2">
      <c r="A159" s="3">
        <f t="shared" si="1"/>
        <v>10157</v>
      </c>
      <c r="B159" s="3" t="s">
        <v>2391</v>
      </c>
      <c r="C159" s="3" t="s">
        <v>2391</v>
      </c>
      <c r="D159" s="5" t="s">
        <v>2390</v>
      </c>
      <c r="E159" s="5" t="s">
        <v>2392</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2393</v>
      </c>
      <c r="AN159" s="3" t="s">
        <v>2394</v>
      </c>
      <c r="AO159" s="3" t="s">
        <v>50</v>
      </c>
      <c r="AP159" s="3">
        <v>0</v>
      </c>
      <c r="AQ159" s="3">
        <v>0</v>
      </c>
      <c r="AR159">
        <v>0</v>
      </c>
      <c r="AS159">
        <v>1200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row>
    <row r="160" spans="1:67" ht="15.75" customHeight="1" x14ac:dyDescent="0.2">
      <c r="A160" s="3">
        <f t="shared" si="1"/>
        <v>10158</v>
      </c>
      <c r="B160" s="3" t="s">
        <v>1029</v>
      </c>
      <c r="C160" s="3" t="s">
        <v>1913</v>
      </c>
      <c r="D160" s="5" t="s">
        <v>1914</v>
      </c>
      <c r="E160" s="5" t="s">
        <v>1915</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1916</v>
      </c>
      <c r="AN160" s="3" t="s">
        <v>1947</v>
      </c>
      <c r="AO160" s="3" t="s">
        <v>50</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0</v>
      </c>
      <c r="BJ160">
        <v>0</v>
      </c>
      <c r="BK160">
        <v>1</v>
      </c>
      <c r="BL160">
        <v>0</v>
      </c>
      <c r="BM160">
        <v>0</v>
      </c>
      <c r="BN160">
        <v>0</v>
      </c>
      <c r="BO160">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2024-11-25T00:35:39Z</dcterms:modified>
</cp:coreProperties>
</file>