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447CB3B4-5B30-454C-8C3C-D370242444DF}" xr6:coauthVersionLast="47" xr6:coauthVersionMax="47" xr10:uidLastSave="{00000000-0000-0000-0000-000000000000}"/>
  <bookViews>
    <workbookView xWindow="2190" yWindow="1080"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43" i="1" l="1"/>
  <c r="A29" i="1"/>
  <c r="A78" i="1"/>
  <c r="A76" i="1"/>
  <c r="A18" i="3"/>
  <c r="A384" i="2"/>
  <c r="A29" i="3"/>
  <c r="A30" i="3"/>
  <c r="A97" i="3"/>
  <c r="A96" i="3"/>
  <c r="A95" i="3"/>
  <c r="A94" i="3"/>
  <c r="A23" i="3"/>
  <c r="A22" i="3"/>
  <c r="A28" i="1"/>
  <c r="A30" i="1"/>
  <c r="A40" i="1"/>
  <c r="A103" i="3"/>
  <c r="A102" i="3"/>
  <c r="A101" i="3"/>
  <c r="A100" i="3"/>
  <c r="A99" i="3"/>
  <c r="A98" i="3"/>
  <c r="A93" i="3"/>
  <c r="A92" i="3"/>
  <c r="A91" i="3"/>
  <c r="A111" i="4"/>
  <c r="A48" i="4"/>
  <c r="A61" i="1"/>
  <c r="A20" i="4"/>
  <c r="A296" i="1"/>
  <c r="A295" i="1"/>
  <c r="A185" i="2"/>
  <c r="A137" i="1"/>
  <c r="A320" i="2"/>
  <c r="A36" i="3"/>
  <c r="A245" i="1"/>
  <c r="A276" i="2"/>
  <c r="A275" i="2"/>
  <c r="A274" i="2"/>
  <c r="A273" i="2"/>
  <c r="A272" i="2"/>
  <c r="A271" i="2"/>
  <c r="A270" i="2"/>
  <c r="A269" i="2"/>
  <c r="A268" i="2"/>
  <c r="A267" i="2"/>
  <c r="A266" i="2"/>
  <c r="A265" i="2"/>
  <c r="A161" i="4"/>
  <c r="A185" i="1"/>
  <c r="A118" i="1"/>
  <c r="A117" i="1"/>
  <c r="A278" i="1"/>
  <c r="A25" i="2"/>
  <c r="A74" i="1"/>
  <c r="A244" i="1"/>
  <c r="A186" i="1"/>
  <c r="A46" i="4"/>
  <c r="A8" i="4"/>
  <c r="A9" i="1"/>
  <c r="A4" i="1"/>
  <c r="A139" i="1"/>
  <c r="A138" i="1"/>
  <c r="A289" i="1"/>
  <c r="A294" i="1"/>
  <c r="A293" i="1"/>
  <c r="A292" i="1"/>
  <c r="A291" i="1"/>
  <c r="A290" i="1"/>
  <c r="A288" i="1"/>
  <c r="A287" i="1"/>
  <c r="A350" i="2"/>
  <c r="A246" i="1"/>
  <c r="A112" i="2"/>
  <c r="A159" i="4"/>
  <c r="A47" i="4"/>
  <c r="A127" i="1"/>
  <c r="A66" i="1"/>
  <c r="A204" i="2"/>
  <c r="A222" i="1"/>
  <c r="A206" i="2"/>
  <c r="A205" i="2"/>
  <c r="A203" i="2"/>
  <c r="A202" i="2"/>
  <c r="A218" i="2"/>
  <c r="A7" i="4"/>
  <c r="A195" i="1"/>
  <c r="A6" i="4"/>
  <c r="A221" i="2"/>
  <c r="A220" i="2"/>
  <c r="A219" i="2"/>
  <c r="A217" i="2"/>
  <c r="A212" i="1"/>
  <c r="A214" i="1"/>
  <c r="A211" i="1"/>
  <c r="A210" i="1"/>
  <c r="A176" i="1"/>
  <c r="A17" i="3"/>
  <c r="A215" i="2"/>
  <c r="A214" i="2"/>
  <c r="A213" i="2"/>
  <c r="A212" i="2"/>
  <c r="A211" i="2"/>
  <c r="A210" i="2"/>
  <c r="A209" i="2"/>
  <c r="A171" i="1"/>
  <c r="A172" i="1"/>
  <c r="A170" i="1"/>
  <c r="A221" i="1"/>
  <c r="A213" i="1"/>
  <c r="A208" i="2"/>
  <c r="A218" i="1"/>
  <c r="A184" i="1"/>
  <c r="A262" i="1"/>
  <c r="A217" i="1"/>
  <c r="A261" i="1"/>
  <c r="A10" i="4"/>
  <c r="A54" i="3"/>
  <c r="A169" i="1"/>
  <c r="A219" i="1"/>
  <c r="A271" i="1"/>
  <c r="A198" i="2"/>
  <c r="A197" i="2"/>
  <c r="A116" i="1"/>
  <c r="A283" i="1"/>
  <c r="A35" i="3"/>
  <c r="A34" i="3"/>
  <c r="A33" i="3"/>
  <c r="A363" i="2"/>
  <c r="A365" i="2"/>
  <c r="A369" i="2"/>
  <c r="A370" i="2"/>
  <c r="A367" i="2"/>
  <c r="A368" i="2"/>
  <c r="A366" i="2"/>
  <c r="A364" i="2"/>
  <c r="A80" i="3"/>
  <c r="A81" i="3"/>
  <c r="A79" i="3"/>
  <c r="A78" i="3"/>
  <c r="A77" i="3"/>
  <c r="A76" i="3"/>
  <c r="A75" i="3"/>
  <c r="A74" i="3"/>
  <c r="A72" i="3"/>
  <c r="A73" i="3"/>
  <c r="A71" i="3"/>
  <c r="A160" i="4"/>
  <c r="A75" i="2"/>
  <c r="A74" i="2"/>
  <c r="A73" i="2"/>
  <c r="A347" i="2"/>
  <c r="A346" i="2"/>
  <c r="A345" i="2"/>
  <c r="A344" i="2"/>
  <c r="A343" i="2"/>
  <c r="A342" i="2"/>
  <c r="A50" i="2"/>
  <c r="A49" i="2"/>
  <c r="A48" i="2"/>
  <c r="A47" i="2"/>
  <c r="A46" i="2"/>
  <c r="A87" i="3"/>
  <c r="A86" i="3"/>
  <c r="A60" i="2"/>
  <c r="A61" i="2"/>
  <c r="A59" i="2"/>
  <c r="A90" i="3"/>
  <c r="A89" i="3"/>
  <c r="A88" i="3"/>
  <c r="A85" i="3"/>
  <c r="A84" i="3"/>
  <c r="A83" i="3"/>
  <c r="A82" i="3"/>
  <c r="A12" i="3"/>
  <c r="A11" i="3"/>
  <c r="A10" i="3"/>
  <c r="A9" i="3"/>
  <c r="A223" i="2"/>
  <c r="A222" i="2"/>
  <c r="A200" i="2"/>
  <c r="A199" i="2"/>
  <c r="A386" i="2"/>
  <c r="A282" i="1"/>
  <c r="A184" i="2"/>
  <c r="A181" i="2"/>
  <c r="A286" i="1"/>
  <c r="A117" i="2"/>
  <c r="A129" i="1"/>
  <c r="A275" i="1"/>
  <c r="A274" i="1"/>
  <c r="A57" i="2"/>
  <c r="A56" i="2"/>
  <c r="A55" i="2"/>
  <c r="A307" i="1"/>
  <c r="A264" i="1"/>
  <c r="A207" i="1"/>
  <c r="A315" i="2"/>
  <c r="A268" i="1"/>
  <c r="A267" i="1"/>
  <c r="A272" i="1"/>
  <c r="A273" i="1"/>
  <c r="A120" i="2"/>
  <c r="A266" i="1"/>
  <c r="A265" i="1"/>
  <c r="A220" i="1"/>
  <c r="A270" i="1"/>
  <c r="A161" i="2"/>
  <c r="A269" i="1"/>
  <c r="A140" i="1"/>
  <c r="A136" i="1"/>
  <c r="A196" i="2"/>
  <c r="A195" i="2"/>
  <c r="A192" i="2"/>
  <c r="A193" i="2"/>
  <c r="A264" i="2"/>
  <c r="A258" i="2"/>
  <c r="A252" i="2"/>
  <c r="A242" i="1"/>
  <c r="A236" i="1"/>
  <c r="A230" i="1"/>
  <c r="A194" i="2"/>
  <c r="A285" i="1"/>
  <c r="A284" i="1"/>
  <c r="A281" i="1"/>
  <c r="A122" i="2"/>
  <c r="A54" i="2"/>
  <c r="A191" i="2"/>
  <c r="A56" i="1"/>
  <c r="A258" i="1"/>
  <c r="A182" i="1"/>
  <c r="A255" i="1"/>
  <c r="A256" i="1"/>
  <c r="A52" i="2"/>
  <c r="A183" i="1"/>
  <c r="A263" i="1"/>
  <c r="A257" i="1"/>
  <c r="A254" i="1"/>
  <c r="A202" i="1"/>
  <c r="A253" i="1"/>
  <c r="A286" i="2"/>
  <c r="A288" i="2"/>
  <c r="A204" i="1"/>
  <c r="A203" i="1"/>
  <c r="A53" i="2"/>
  <c r="A181" i="1"/>
  <c r="A32" i="3"/>
  <c r="A121" i="2"/>
  <c r="A73" i="1"/>
  <c r="A72" i="1"/>
  <c r="A243" i="1"/>
  <c r="A300" i="2"/>
  <c r="A156" i="2"/>
  <c r="A164" i="2"/>
  <c r="A163" i="2"/>
  <c r="A162" i="2"/>
  <c r="A160" i="2"/>
  <c r="A159" i="2"/>
  <c r="A119" i="2"/>
  <c r="A28" i="3"/>
  <c r="A361" i="2"/>
  <c r="A360" i="2"/>
  <c r="A358" i="2"/>
  <c r="A359" i="2"/>
  <c r="A357" i="2"/>
  <c r="A353" i="2"/>
  <c r="A356" i="2"/>
  <c r="A355" i="2"/>
  <c r="A354" i="2"/>
  <c r="A352" i="2"/>
  <c r="A190" i="1"/>
  <c r="A191" i="1"/>
  <c r="A192" i="1"/>
  <c r="A193" i="1"/>
  <c r="A194" i="1"/>
  <c r="A189" i="1"/>
  <c r="A188" i="1"/>
  <c r="A126" i="1"/>
  <c r="A362" i="2"/>
  <c r="A351" i="2"/>
  <c r="A65" i="1"/>
  <c r="A42" i="4"/>
  <c r="A41" i="4"/>
  <c r="A139" i="4"/>
  <c r="A34" i="4"/>
  <c r="A158" i="4"/>
  <c r="A157" i="4"/>
  <c r="A133" i="1"/>
  <c r="A40" i="4"/>
  <c r="A39" i="4"/>
  <c r="A38" i="4"/>
  <c r="A58" i="3"/>
  <c r="A70" i="3"/>
  <c r="A59" i="3"/>
  <c r="A173" i="1"/>
  <c r="A158" i="2"/>
  <c r="A26" i="1"/>
  <c r="A63" i="3"/>
  <c r="A39" i="1"/>
  <c r="A38" i="1"/>
  <c r="A37" i="1"/>
  <c r="A36" i="1"/>
  <c r="A35" i="1"/>
  <c r="A25" i="1"/>
  <c r="A24" i="1"/>
  <c r="A23" i="1"/>
  <c r="A27" i="1"/>
  <c r="A22" i="1"/>
  <c r="A21" i="1"/>
  <c r="A148" i="4"/>
  <c r="A89" i="1"/>
  <c r="A135" i="1"/>
  <c r="A104" i="1"/>
  <c r="A107" i="1"/>
  <c r="A112" i="1"/>
  <c r="A132" i="1"/>
  <c r="A87" i="1"/>
  <c r="A125" i="1"/>
  <c r="A141" i="4"/>
  <c r="A140" i="4"/>
  <c r="A124" i="1"/>
  <c r="A162" i="4"/>
  <c r="A37" i="2"/>
  <c r="A302" i="2"/>
  <c r="A280" i="2"/>
  <c r="A301" i="2"/>
  <c r="A322" i="2"/>
  <c r="A115" i="2"/>
  <c r="A143" i="2"/>
  <c r="A147" i="2"/>
  <c r="A148" i="2"/>
  <c r="A149" i="2"/>
  <c r="A381" i="2"/>
  <c r="A129" i="2"/>
  <c r="A132" i="2"/>
  <c r="A63" i="2"/>
  <c r="A113" i="2"/>
  <c r="A76" i="2"/>
  <c r="A123" i="2"/>
  <c r="A133" i="2"/>
  <c r="A139" i="2"/>
  <c r="A169" i="2"/>
  <c r="A165" i="2"/>
  <c r="A216" i="2"/>
  <c r="A111" i="1"/>
  <c r="A113" i="1"/>
  <c r="A114" i="1"/>
  <c r="A207" i="2"/>
  <c r="A289" i="2"/>
  <c r="A282" i="2"/>
  <c r="A281" i="2"/>
  <c r="A215" i="1"/>
  <c r="A291" i="2"/>
  <c r="A371" i="2"/>
  <c r="A328" i="2"/>
  <c r="A324" i="2"/>
  <c r="A303" i="2"/>
  <c r="A186" i="2"/>
  <c r="A244" i="2"/>
  <c r="A30" i="4"/>
  <c r="A18" i="4"/>
  <c r="A14" i="4"/>
  <c r="A13" i="4"/>
  <c r="A33" i="4"/>
  <c r="A32" i="4"/>
  <c r="A31" i="4"/>
  <c r="A29" i="4"/>
  <c r="A34" i="1"/>
  <c r="A137" i="2"/>
  <c r="A69" i="3"/>
  <c r="A68" i="3"/>
  <c r="A67" i="3"/>
  <c r="A66" i="3"/>
  <c r="A65" i="3"/>
  <c r="A64" i="3"/>
  <c r="A62" i="3"/>
  <c r="A61" i="3"/>
  <c r="A60" i="3"/>
  <c r="A138" i="2"/>
  <c r="A150" i="1"/>
  <c r="A45" i="2"/>
  <c r="A44" i="2"/>
  <c r="A40" i="2"/>
  <c r="A43" i="2"/>
  <c r="A42" i="2"/>
  <c r="A41" i="2"/>
  <c r="A12" i="1"/>
  <c r="A8" i="1"/>
  <c r="A3" i="1"/>
  <c r="A18" i="1"/>
  <c r="A224" i="2"/>
  <c r="A71" i="1"/>
  <c r="A122" i="1"/>
  <c r="A121" i="1"/>
  <c r="A77" i="1"/>
  <c r="A263" i="2"/>
  <c r="A262" i="2"/>
  <c r="A261" i="2"/>
  <c r="A260" i="2"/>
  <c r="A259" i="2"/>
  <c r="A241" i="1"/>
  <c r="A240" i="1"/>
  <c r="A239" i="1"/>
  <c r="A238" i="1"/>
  <c r="A237" i="1"/>
  <c r="A257" i="2"/>
  <c r="A256" i="2"/>
  <c r="A255" i="2"/>
  <c r="A254" i="2"/>
  <c r="A253" i="2"/>
  <c r="A250" i="2"/>
  <c r="A251" i="2"/>
  <c r="A235" i="1"/>
  <c r="A234" i="1"/>
  <c r="A233" i="1"/>
  <c r="A232" i="1"/>
  <c r="A231" i="1"/>
  <c r="A229" i="1"/>
  <c r="A228" i="1"/>
  <c r="A23" i="4"/>
  <c r="A22" i="4"/>
  <c r="A247" i="2"/>
  <c r="A225" i="1"/>
  <c r="A248" i="2"/>
  <c r="A226" i="1"/>
  <c r="A136" i="2"/>
  <c r="A135" i="2"/>
  <c r="A317" i="2"/>
  <c r="A319" i="2"/>
  <c r="A321" i="2"/>
  <c r="A316" i="2"/>
  <c r="A318" i="2"/>
  <c r="A249" i="1"/>
  <c r="A248" i="1"/>
  <c r="A247" i="1"/>
  <c r="A249" i="2"/>
  <c r="A227" i="1"/>
  <c r="A21" i="4"/>
  <c r="A246" i="2"/>
  <c r="A224" i="1"/>
  <c r="A223" i="1"/>
  <c r="A70" i="1"/>
  <c r="A19" i="4"/>
  <c r="A69" i="1"/>
  <c r="A68" i="1"/>
  <c r="A33" i="1"/>
  <c r="A99" i="1"/>
  <c r="A98" i="1"/>
  <c r="A392" i="2"/>
  <c r="A391" i="2"/>
  <c r="A390" i="2"/>
  <c r="A389" i="2"/>
  <c r="A388" i="2"/>
  <c r="A387" i="2"/>
  <c r="A385"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4" i="3"/>
  <c r="A57" i="3"/>
  <c r="A56" i="3"/>
  <c r="A55"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2" i="1"/>
  <c r="A41" i="1"/>
  <c r="A31" i="1"/>
  <c r="A32" i="1"/>
  <c r="A93" i="1"/>
  <c r="A177" i="1"/>
  <c r="A252" i="1"/>
  <c r="A151" i="1"/>
  <c r="A167" i="1"/>
  <c r="A83" i="1"/>
  <c r="A109" i="1"/>
  <c r="A120" i="1"/>
  <c r="A92" i="1"/>
  <c r="A180" i="1"/>
  <c r="A168" i="1"/>
  <c r="A20" i="1"/>
  <c r="A19" i="1"/>
  <c r="A79" i="1"/>
  <c r="A130" i="1"/>
  <c r="A128" i="1"/>
  <c r="A134" i="1"/>
  <c r="A259" i="1"/>
  <c r="A205" i="1"/>
  <c r="A208" i="1"/>
  <c r="A166" i="1"/>
  <c r="A75" i="1"/>
  <c r="A165" i="1"/>
  <c r="A49" i="1"/>
  <c r="A48" i="1"/>
  <c r="A88" i="1"/>
  <c r="A147" i="1"/>
  <c r="A160" i="1"/>
  <c r="A163" i="1"/>
  <c r="A162" i="1"/>
  <c r="A161" i="1"/>
  <c r="A52" i="1"/>
  <c r="A260" i="1"/>
  <c r="A5" i="1"/>
  <c r="A277" i="1"/>
  <c r="A108" i="1"/>
  <c r="A280" i="1"/>
  <c r="A279" i="1"/>
  <c r="A64" i="1"/>
  <c r="A15" i="1"/>
  <c r="A276" i="1"/>
  <c r="A149" i="1"/>
  <c r="A148" i="1"/>
  <c r="A146" i="1"/>
  <c r="A141" i="1"/>
  <c r="A60" i="1"/>
  <c r="A96" i="1"/>
  <c r="A95" i="1"/>
  <c r="A94" i="1"/>
  <c r="A91" i="1"/>
  <c r="A187" i="1"/>
  <c r="A201" i="1"/>
  <c r="A142" i="1"/>
  <c r="A59" i="1"/>
  <c r="A155" i="1"/>
  <c r="A58" i="1"/>
  <c r="A55" i="1"/>
  <c r="A57" i="1"/>
  <c r="A145" i="1"/>
  <c r="A47" i="1"/>
  <c r="A106" i="1"/>
  <c r="A53" i="1"/>
  <c r="A144" i="1"/>
  <c r="A100" i="1"/>
  <c r="A164" i="1"/>
  <c r="A158" i="1"/>
  <c r="A157" i="1"/>
  <c r="A156" i="1"/>
  <c r="A159" i="1"/>
  <c r="A200" i="1"/>
  <c r="A143" i="1"/>
  <c r="A131" i="1"/>
  <c r="A154" i="1"/>
  <c r="A198" i="1"/>
  <c r="A197" i="1"/>
  <c r="A196" i="1"/>
  <c r="A153" i="1"/>
  <c r="A105" i="1"/>
  <c r="A110" i="1"/>
  <c r="A54" i="1"/>
  <c r="A103" i="1"/>
  <c r="A251" i="1"/>
  <c r="A63" i="1"/>
  <c r="A50" i="1"/>
  <c r="A175" i="1"/>
  <c r="A85" i="1"/>
  <c r="A250" i="1"/>
  <c r="A209" i="1"/>
  <c r="A216" i="1"/>
  <c r="A206" i="1"/>
  <c r="A179" i="1"/>
  <c r="A123" i="1"/>
  <c r="A178" i="1"/>
  <c r="A115" i="1"/>
  <c r="A152" i="1"/>
  <c r="A102" i="1"/>
  <c r="A101" i="1"/>
  <c r="A299" i="1"/>
  <c r="A80" i="1"/>
  <c r="A17" i="1"/>
  <c r="A16" i="1"/>
  <c r="A297" i="1"/>
  <c r="A174" i="1"/>
  <c r="A199" i="1"/>
  <c r="A84" i="1"/>
  <c r="A14" i="1"/>
  <c r="A46" i="1"/>
  <c r="A81" i="1"/>
  <c r="A10" i="1"/>
  <c r="A309" i="1"/>
  <c r="A62" i="1"/>
  <c r="A45" i="1"/>
  <c r="A306" i="1"/>
  <c r="A308" i="1"/>
  <c r="A67" i="1"/>
  <c r="A305" i="1"/>
  <c r="A304" i="1"/>
  <c r="A303" i="1"/>
  <c r="A301" i="1"/>
  <c r="A302" i="1"/>
  <c r="A298" i="1"/>
  <c r="A13" i="1"/>
  <c r="A82" i="1"/>
  <c r="A6" i="1"/>
  <c r="A86" i="1"/>
  <c r="A90" i="1"/>
  <c r="A97" i="1"/>
  <c r="A119" i="1"/>
  <c r="A2" i="1"/>
  <c r="A44" i="1"/>
  <c r="A7" i="1"/>
  <c r="A11" i="1"/>
  <c r="A51" i="1"/>
  <c r="A300" i="1"/>
</calcChain>
</file>

<file path=xl/sharedStrings.xml><?xml version="1.0" encoding="utf-8"?>
<sst xmlns="http://schemas.openxmlformats.org/spreadsheetml/2006/main" count="25356" uniqueCount="3660">
  <si>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</si>
  <si>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</si>
  <si>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</si>
  <si>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</si>
  <si>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</si>
  <si>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</si>
  <si>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</si>
  <si>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</si>
  <si>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</si>
  <si>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</si>
  <si>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</si>
  <si>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</si>
  <si>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</si>
  <si>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</si>
  <si>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</si>
  <si>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</si>
  <si>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</si>
  <si>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</si>
  <si>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</si>
  <si>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</si>
  <si>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</si>
  <si>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</si>
  <si>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</si>
  <si>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</si>
  <si>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</si>
  <si>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</si>
  <si>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</si>
  <si>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</si>
  <si>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</si>
  <si>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</si>
  <si>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</si>
  <si>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</si>
  <si>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</si>
  <si>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</si>
  <si>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</si>
  <si>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</si>
  <si>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</si>
  <si>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</si>
  <si>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</si>
  <si>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</si>
  <si>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</si>
  <si>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</si>
  <si>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</si>
  <si>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</si>
  <si>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</si>
  <si>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</si>
  <si>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</si>
  <si>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</si>
  <si>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</si>
  <si>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</si>
  <si>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</si>
  <si>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</si>
  <si>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</si>
  <si>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</si>
  <si>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</si>
  <si>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</si>
  <si>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</si>
  <si>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</si>
  <si>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</si>
  <si>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</si>
  <si>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</si>
  <si>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</si>
  <si>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</si>
  <si>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</si>
  <si>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</si>
  <si>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</si>
  <si>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</si>
  <si>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</si>
  <si>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</si>
  <si>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</si>
  <si>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</si>
  <si>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</si>
  <si>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</si>
  <si>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</si>
  <si>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</si>
  <si>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</si>
  <si>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</si>
  <si>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</si>
  <si>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</si>
  <si>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</si>
  <si>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</si>
  <si>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</si>
  <si>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</si>
  <si>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</si>
  <si>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</si>
  <si>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</si>
  <si>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</si>
  <si>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</si>
  <si>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</si>
  <si>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</si>
  <si>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</si>
  <si>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</si>
  <si>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</si>
  <si>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</si>
  <si>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</si>
  <si>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</si>
  <si>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</si>
  <si>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</si>
  <si>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</si>
  <si>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</si>
  <si>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</si>
  <si>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</si>
  <si>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</si>
  <si>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</si>
  <si>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</si>
  <si>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</si>
  <si>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</si>
  <si>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</si>
  <si>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</si>
  <si>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</si>
  <si>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</si>
  <si>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</si>
  <si>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</si>
  <si>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</si>
  <si>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</si>
  <si>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</si>
  <si>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</si>
  <si>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</si>
  <si>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</si>
  <si>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</si>
  <si>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</si>
  <si>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</si>
  <si>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</si>
  <si>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</si>
  <si>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</si>
  <si>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</si>
  <si>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</si>
  <si>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</si>
  <si>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</si>
  <si>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</si>
  <si>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</si>
  <si>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</si>
  <si>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</si>
  <si>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</si>
  <si>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</si>
  <si>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</si>
  <si>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</si>
  <si>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</si>
  <si>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</si>
  <si>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</si>
  <si>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</si>
  <si>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</si>
  <si>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</si>
  <si>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</si>
  <si>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</si>
  <si>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</si>
  <si>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</si>
  <si>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</si>
  <si>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</si>
  <si>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</si>
  <si>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</si>
  <si>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</si>
  <si>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</si>
  <si>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</si>
  <si>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</si>
  <si>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</si>
  <si>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</si>
  <si>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</si>
  <si>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</si>
  <si>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</si>
  <si>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</si>
  <si>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</si>
  <si>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</si>
  <si>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</si>
  <si>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</si>
  <si>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</si>
  <si>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</si>
  <si>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</si>
  <si>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</si>
  <si>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</si>
  <si>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</si>
  <si>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</si>
  <si>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</si>
  <si>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</si>
  <si>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</si>
  <si>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</si>
  <si>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</si>
  <si>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</si>
  <si>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</si>
  <si>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</si>
  <si>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</si>
  <si>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</si>
  <si>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</si>
  <si>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</si>
  <si>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</si>
  <si>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</si>
  <si>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</si>
  <si>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</si>
  <si>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</si>
  <si>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</si>
  <si>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</si>
  <si>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</si>
  <si>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</si>
  <si>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</si>
  <si>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</si>
  <si>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</si>
  <si>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</si>
  <si>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</si>
  <si>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</si>
  <si>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</si>
  <si>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</si>
  <si>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</si>
  <si>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</si>
  <si>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</si>
  <si>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</si>
  <si>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</si>
  <si>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</si>
  <si>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</si>
  <si>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</si>
  <si>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</si>
  <si>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</si>
  <si>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</si>
  <si>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</si>
  <si>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</si>
  <si>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</si>
  <si>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</si>
  <si>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</si>
  <si>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</si>
  <si>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</si>
  <si>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</si>
  <si>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</si>
  <si>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</si>
  <si>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</si>
  <si>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</si>
  <si>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</si>
  <si>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</si>
  <si>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</si>
  <si>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</si>
  <si>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</si>
  <si>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</si>
  <si>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</si>
  <si>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</si>
  <si>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</si>
  <si>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</si>
  <si>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</si>
  <si>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</si>
  <si>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</si>
  <si>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</si>
  <si>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</si>
  <si>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</si>
  <si>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</si>
  <si>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</si>
  <si>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</si>
  <si>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</si>
  <si>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</si>
  <si>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</si>
  <si>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</si>
  <si>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</si>
  <si>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</si>
  <si>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</si>
  <si>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</si>
  <si>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</si>
  <si>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</si>
  <si>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</si>
  <si>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</si>
  <si>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</si>
  <si>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</si>
  <si>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</si>
  <si>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</si>
  <si>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</si>
  <si>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</si>
  <si>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</si>
  <si>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</si>
  <si>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</si>
  <si>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</si>
  <si>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</si>
  <si>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</si>
  <si>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</si>
  <si>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</si>
  <si>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</si>
  <si>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</si>
  <si>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</si>
  <si>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</si>
  <si>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</si>
  <si>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</si>
  <si>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</si>
  <si>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</si>
  <si>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</si>
  <si>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</si>
  <si>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</si>
  <si>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</si>
  <si>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</si>
  <si>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</si>
  <si>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</si>
  <si>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</si>
  <si>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</si>
  <si>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</si>
  <si>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</si>
  <si>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</si>
  <si>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</si>
  <si>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</si>
  <si>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</si>
  <si>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</si>
  <si>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</si>
  <si>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</si>
  <si>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</si>
  <si>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</si>
  <si>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</si>
  <si>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</si>
  <si>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</si>
  <si>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</si>
  <si>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</si>
  <si>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</si>
  <si>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</si>
  <si>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</si>
  <si>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</si>
  <si>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</si>
  <si>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</si>
  <si>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</si>
  <si>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</si>
  <si>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</si>
  <si>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</si>
  <si>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</si>
  <si>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</si>
  <si>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</si>
  <si>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</si>
  <si>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</si>
  <si>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</si>
  <si>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</si>
  <si>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</si>
  <si>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</si>
  <si>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</si>
  <si>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</si>
  <si>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</si>
  <si>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</si>
  <si>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</si>
  <si>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</si>
  <si>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</si>
  <si>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</si>
  <si>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</si>
  <si>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</si>
  <si>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</si>
  <si>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</si>
  <si>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</si>
  <si>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</si>
  <si>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</si>
  <si>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</si>
  <si>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</si>
  <si>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</si>
  <si>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</si>
  <si>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</si>
  <si>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</si>
  <si>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</si>
  <si>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</si>
  <si>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</si>
  <si>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</si>
  <si>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</si>
  <si>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</si>
  <si>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</si>
  <si>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</si>
  <si>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</si>
  <si>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</si>
  <si>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</si>
  <si>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</si>
  <si>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</si>
  <si>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</si>
  <si>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</si>
  <si>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</si>
  <si>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</si>
  <si>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</si>
  <si>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</si>
  <si>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</si>
  <si>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</si>
  <si>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</si>
  <si>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</si>
  <si>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</si>
  <si>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</si>
  <si>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</si>
  <si>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</si>
  <si>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</si>
  <si>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</si>
  <si>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</si>
  <si>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</si>
  <si>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</si>
  <si>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</si>
  <si>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</si>
  <si>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</si>
  <si>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</si>
  <si>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</si>
  <si>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</si>
  <si>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</si>
  <si>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</si>
  <si>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</si>
  <si>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</si>
  <si>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</si>
  <si>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</si>
  <si>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</si>
  <si>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</si>
  <si>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</si>
  <si>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</si>
  <si>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</si>
  <si>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</si>
  <si>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</si>
  <si>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</si>
  <si>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</si>
  <si>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</si>
  <si>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</si>
  <si>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</si>
  <si>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</si>
  <si>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</si>
  <si>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</si>
  <si>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</si>
  <si>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</si>
  <si>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</si>
  <si>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</si>
  <si>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</si>
  <si>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</si>
  <si>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</si>
  <si>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</si>
  <si>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</si>
  <si>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</si>
  <si>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</si>
  <si>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</si>
  <si>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</si>
  <si>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</si>
  <si>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</si>
  <si>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</si>
  <si>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</si>
  <si>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</si>
  <si>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</si>
  <si>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</si>
  <si>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</si>
  <si>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</si>
  <si>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</si>
  <si>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</si>
  <si>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</si>
  <si>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</si>
  <si>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</si>
  <si>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</si>
  <si>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</si>
  <si>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</si>
  <si>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</si>
  <si>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</si>
  <si>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</si>
  <si>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</si>
  <si>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</si>
  <si>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</si>
  <si>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</si>
  <si>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</si>
  <si>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</si>
  <si>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</si>
  <si>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</si>
  <si>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</si>
  <si>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</si>
  <si>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</si>
  <si>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</si>
  <si>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</si>
  <si>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</si>
  <si>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</si>
  <si>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</si>
  <si>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</si>
  <si>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</si>
  <si>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</si>
  <si>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</si>
  <si>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</si>
  <si>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</si>
  <si>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</si>
  <si>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</si>
  <si>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</si>
  <si>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</si>
  <si>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</si>
  <si>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</si>
  <si>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</si>
  <si>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</si>
  <si>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</si>
  <si>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</si>
  <si>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</si>
  <si>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</si>
  <si>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</si>
  <si>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</si>
  <si>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</si>
  <si>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</si>
  <si>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</si>
  <si>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</si>
  <si>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</si>
  <si>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</si>
  <si>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</si>
  <si>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</si>
  <si>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</si>
  <si>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</si>
  <si>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</si>
  <si>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</si>
  <si>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</si>
  <si>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</si>
  <si>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</si>
  <si>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</si>
  <si>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</si>
  <si>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</si>
  <si>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</si>
  <si>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</si>
  <si>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</si>
  <si>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</si>
  <si>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</si>
  <si>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</si>
  <si>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</si>
  <si>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</si>
  <si>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</si>
  <si>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</si>
  <si>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</si>
  <si>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</si>
  <si>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</si>
  <si>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</si>
  <si>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</si>
  <si>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</si>
  <si>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</si>
  <si>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</si>
  <si>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</si>
  <si>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</si>
  <si>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</si>
  <si>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</si>
  <si>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</si>
  <si>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</si>
  <si>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</si>
  <si>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</si>
  <si>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</si>
  <si>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</si>
  <si>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</si>
  <si>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</si>
  <si>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</si>
  <si>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</si>
  <si>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</si>
  <si>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</si>
  <si>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</si>
  <si>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</si>
  <si>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</si>
  <si>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</si>
  <si>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</si>
  <si>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</si>
  <si>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</si>
  <si>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</si>
  <si>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</si>
  <si>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</si>
  <si>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</si>
  <si>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</si>
  <si>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</si>
  <si>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</si>
  <si>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</si>
  <si>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</si>
  <si>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</si>
  <si>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</si>
  <si>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</si>
  <si>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</si>
  <si>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</si>
  <si>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</si>
  <si>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</si>
  <si>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</si>
  <si>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</si>
  <si>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</si>
  <si>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</si>
  <si>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</si>
  <si>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</si>
  <si>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</si>
  <si>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</si>
  <si>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</si>
  <si>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</si>
  <si>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</si>
  <si>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</si>
  <si>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</si>
  <si>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</si>
  <si>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</si>
  <si>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</si>
  <si>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</si>
  <si>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</si>
  <si>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</si>
  <si>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</si>
  <si>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</si>
  <si>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</si>
  <si>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</si>
  <si>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</si>
  <si>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</si>
  <si>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</si>
  <si>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</si>
  <si>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</si>
  <si>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</si>
  <si>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</si>
  <si>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</si>
  <si>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</si>
  <si>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</si>
  <si>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</si>
  <si>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</si>
  <si>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</si>
  <si>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</si>
  <si>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</si>
  <si>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</si>
  <si>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</si>
  <si>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</si>
  <si>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</si>
  <si>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</si>
  <si>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</si>
  <si>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</si>
  <si>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</si>
  <si>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</si>
  <si>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</si>
  <si>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</si>
  <si>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</si>
  <si>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</si>
  <si>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</si>
  <si>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</si>
  <si>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</si>
  <si>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</si>
  <si>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</si>
  <si>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</si>
  <si>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</si>
  <si>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</si>
  <si>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</si>
  <si>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</si>
  <si>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</si>
  <si>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</si>
  <si>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</si>
  <si>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</si>
  <si>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</si>
  <si>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</si>
  <si>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</si>
  <si>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</si>
  <si>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</si>
  <si>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</si>
  <si>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</si>
  <si>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</si>
  <si>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</si>
  <si>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</si>
  <si>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</si>
  <si>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</si>
  <si>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</si>
  <si>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</si>
  <si>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</si>
  <si>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</si>
  <si>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</si>
  <si>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</si>
  <si>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</si>
  <si>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</si>
  <si>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</si>
  <si>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</si>
  <si>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</si>
  <si>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</si>
  <si>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</si>
  <si>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</si>
  <si>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</si>
  <si>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</si>
  <si>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</si>
  <si>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</si>
  <si>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</si>
  <si>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</si>
  <si>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</si>
  <si>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</si>
  <si>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</si>
  <si>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</si>
  <si>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</si>
  <si>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</si>
  <si>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</si>
  <si>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</si>
  <si>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</si>
  <si>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</si>
  <si>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</si>
  <si>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</si>
  <si>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</si>
  <si>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</si>
  <si>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</si>
  <si>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</si>
  <si>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</si>
  <si>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</si>
  <si>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</si>
  <si>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</si>
  <si>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</si>
  <si>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</si>
  <si>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</si>
  <si>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</si>
  <si>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</si>
  <si>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</si>
  <si>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</si>
  <si>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</si>
  <si>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</si>
  <si>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</si>
  <si>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</si>
  <si>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</si>
  <si>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</si>
  <si>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</si>
  <si>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</si>
  <si>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</si>
  <si>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</si>
  <si>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</si>
  <si>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</si>
  <si>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</si>
  <si>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</si>
  <si>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</si>
  <si>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</si>
  <si>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</si>
  <si>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</si>
  <si>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</si>
  <si>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</si>
  <si>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</si>
  <si>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</si>
  <si>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</si>
  <si>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</si>
  <si>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</si>
  <si>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</si>
  <si>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</si>
  <si>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</si>
  <si>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</si>
  <si>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</si>
  <si>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</si>
  <si>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</si>
  <si>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</si>
  <si>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</si>
  <si>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</si>
  <si>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</si>
  <si>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</si>
  <si>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</si>
  <si>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</si>
  <si>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</si>
  <si>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</si>
  <si>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</si>
  <si>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</si>
  <si>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</si>
  <si>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</si>
  <si>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</si>
  <si>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</si>
  <si>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</si>
  <si>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</si>
  <si>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</si>
  <si>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</si>
  <si>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</si>
  <si>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</si>
  <si>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</si>
  <si>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</si>
  <si>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</si>
  <si>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</si>
  <si>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</si>
  <si>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</si>
  <si>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</si>
  <si>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</si>
  <si>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</si>
  <si>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</si>
  <si>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</si>
  <si>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</si>
  <si>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</si>
  <si>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</si>
  <si>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</si>
  <si>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</si>
  <si>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</si>
  <si>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</si>
  <si>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</si>
  <si>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</si>
  <si>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</si>
  <si>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</si>
  <si>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</si>
  <si>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</si>
  <si>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</si>
  <si>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</si>
  <si>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</si>
  <si>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</si>
  <si>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</si>
  <si>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</si>
  <si>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</si>
  <si>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</si>
  <si>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</si>
  <si>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</si>
  <si>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</si>
  <si>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</si>
  <si>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</si>
  <si>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</si>
  <si>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</si>
  <si>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</si>
  <si>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</si>
  <si>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</si>
  <si>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</si>
  <si>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</si>
  <si>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</si>
  <si>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</si>
  <si>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</si>
  <si>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</si>
  <si>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</si>
  <si>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</si>
  <si>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</si>
  <si>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</si>
  <si>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</si>
  <si>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</si>
  <si>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</si>
  <si>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</si>
  <si>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</si>
  <si>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</si>
  <si>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</si>
  <si>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</si>
  <si>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</si>
  <si>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</si>
  <si>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</si>
  <si>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</si>
  <si>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</si>
  <si>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</si>
  <si>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</si>
  <si>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</si>
  <si>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</si>
  <si>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</si>
  <si>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</si>
  <si>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</si>
  <si>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</si>
  <si>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</si>
  <si>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</si>
  <si>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</si>
  <si>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</si>
  <si>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</si>
  <si>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</si>
  <si>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</si>
  <si>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</si>
  <si>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</si>
  <si>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</si>
  <si>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</si>
  <si>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</si>
  <si>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</si>
  <si>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</si>
  <si>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</si>
  <si>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</si>
  <si>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</si>
  <si>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</si>
  <si>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</si>
  <si>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</si>
  <si>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</si>
  <si>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</si>
  <si>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</si>
  <si>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</si>
  <si>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</si>
  <si>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</si>
  <si>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</si>
  <si>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</si>
  <si>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</si>
  <si>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</si>
  <si>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</si>
  <si>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</si>
  <si>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</si>
  <si>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</si>
  <si>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</si>
  <si>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</si>
  <si>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</si>
  <si>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</si>
  <si>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</si>
  <si>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</si>
  <si>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</si>
  <si>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</si>
  <si>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</si>
  <si>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</si>
  <si>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</si>
  <si>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</si>
  <si>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</si>
  <si>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</si>
  <si>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</si>
  <si>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</si>
  <si>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</si>
  <si>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</si>
  <si>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</si>
  <si>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</si>
  <si>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</si>
  <si>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</si>
  <si>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</si>
  <si>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</si>
  <si>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</si>
  <si>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</si>
  <si>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</si>
  <si>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</si>
  <si>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</si>
  <si>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</si>
  <si>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</si>
  <si>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</si>
  <si>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</si>
  <si>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</si>
  <si>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</si>
  <si>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</si>
  <si>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</si>
  <si>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</si>
  <si>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</si>
  <si>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</si>
  <si>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</si>
  <si>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</si>
  <si>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</si>
  <si>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</si>
  <si>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</si>
  <si>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</si>
  <si>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</si>
  <si>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</si>
  <si>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</si>
  <si>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</si>
  <si>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</si>
  <si>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</si>
  <si>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</si>
  <si>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</si>
  <si>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</si>
  <si>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</si>
  <si>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</si>
  <si>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</si>
  <si>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</si>
  <si>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</si>
  <si>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</si>
  <si>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</si>
  <si>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</si>
  <si>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</si>
  <si>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</si>
  <si>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</si>
  <si>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</si>
  <si>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</si>
  <si>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</si>
  <si>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</si>
  <si>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</si>
  <si>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</si>
  <si>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</si>
  <si>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</si>
  <si>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</si>
  <si>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</si>
  <si>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</si>
  <si>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</si>
  <si>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</si>
  <si>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</si>
  <si>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</si>
  <si>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</si>
  <si>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</si>
  <si>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</si>
  <si>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</si>
  <si>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</si>
  <si>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</si>
  <si>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</si>
  <si>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</si>
  <si>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</si>
  <si>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</si>
  <si>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</si>
  <si>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</si>
  <si>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</si>
  <si>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</si>
  <si>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</si>
  <si>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</si>
  <si>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</si>
  <si>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</si>
  <si>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</si>
  <si>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</si>
  <si>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</si>
  <si>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</si>
  <si>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</si>
  <si>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</si>
  <si>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</si>
  <si>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</si>
  <si>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</si>
  <si>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</si>
  <si>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</si>
  <si>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</si>
  <si>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</si>
  <si>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</si>
  <si>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</si>
  <si>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</si>
  <si>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</si>
  <si>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</si>
  <si>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</si>
  <si>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</si>
  <si>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</si>
  <si>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</si>
  <si>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</si>
  <si>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</si>
  <si>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</si>
  <si>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</si>
  <si>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</si>
  <si>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</si>
  <si>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</si>
  <si>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</si>
  <si>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</si>
  <si>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</si>
  <si>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</si>
  <si>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</si>
  <si>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</si>
  <si>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</si>
  <si>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</si>
  <si>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</si>
  <si>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</si>
  <si>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</si>
  <si>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</si>
  <si>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</si>
  <si>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</si>
  <si>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</si>
  <si>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</si>
  <si>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</si>
  <si>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</si>
  <si>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</si>
  <si>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</si>
  <si>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</si>
  <si>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</si>
  <si>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</si>
  <si>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</si>
  <si>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</si>
  <si>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</si>
  <si>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</si>
  <si>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</si>
  <si>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</si>
  <si>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</si>
  <si>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</si>
  <si>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</si>
  <si>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</si>
  <si>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</si>
  <si>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</si>
  <si>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</si>
  <si>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</si>
  <si>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</si>
  <si>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</si>
  <si>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</si>
  <si>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</si>
  <si>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</si>
  <si>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</si>
  <si>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</si>
  <si>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</si>
  <si>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</si>
  <si>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</si>
  <si>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</si>
  <si>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</si>
  <si>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</si>
  <si>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</si>
  <si>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</si>
  <si>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</si>
  <si>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</si>
  <si>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</si>
  <si>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</si>
  <si>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</si>
  <si>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</si>
  <si>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</si>
  <si>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</si>
  <si>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</si>
  <si>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</si>
  <si>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</si>
  <si>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</si>
  <si>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</si>
  <si>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</si>
  <si>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</si>
  <si>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</si>
  <si>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</si>
  <si>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</si>
  <si>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</si>
  <si>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</si>
  <si>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</si>
  <si>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</si>
  <si>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</si>
  <si>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</si>
  <si>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</si>
  <si>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</si>
  <si>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</si>
  <si>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</si>
  <si>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</si>
  <si>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</si>
  <si>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</si>
  <si>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</si>
  <si>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</si>
  <si>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</si>
  <si>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</si>
  <si>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</si>
  <si>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</si>
  <si>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</si>
  <si>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</si>
  <si>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</si>
  <si>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</si>
  <si>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</si>
  <si>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</si>
  <si>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</si>
  <si>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</si>
  <si>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</si>
  <si>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</si>
  <si>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</si>
  <si>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</si>
  <si>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</si>
  <si>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</si>
  <si>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</si>
  <si>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</si>
  <si>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</si>
  <si>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</si>
  <si>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</si>
  <si>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</si>
  <si>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</si>
  <si>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</si>
  <si>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</si>
  <si>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</si>
  <si>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</si>
  <si>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</si>
  <si>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</si>
  <si>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</si>
  <si>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</si>
  <si>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</si>
  <si>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</si>
  <si>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</si>
  <si>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</si>
  <si>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</si>
  <si>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</si>
  <si>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</si>
  <si>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</si>
  <si>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</si>
  <si>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</si>
  <si>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</si>
  <si>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</si>
  <si>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</si>
  <si>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</si>
  <si>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</si>
  <si>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</si>
  <si>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</si>
  <si>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</si>
  <si>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</si>
  <si>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</si>
  <si>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</si>
  <si>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</si>
  <si>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</si>
  <si>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</si>
  <si>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</si>
  <si>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</si>
  <si>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</si>
  <si>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</si>
  <si>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</si>
  <si>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</si>
  <si>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</si>
  <si>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</si>
  <si>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</si>
  <si>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</si>
  <si>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</si>
  <si>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</si>
  <si>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</si>
  <si>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</si>
  <si>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</si>
  <si>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</si>
  <si>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</si>
  <si>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</si>
  <si>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</si>
  <si>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</si>
  <si>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</si>
  <si>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</si>
  <si>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</si>
  <si>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</si>
  <si>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</si>
  <si>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</si>
  <si>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</si>
  <si>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</si>
  <si>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</si>
  <si>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</si>
  <si>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</si>
  <si>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</si>
  <si>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</si>
  <si>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</si>
  <si>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</si>
  <si>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</si>
  <si>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</si>
  <si>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</si>
  <si>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</si>
  <si>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</si>
  <si>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</si>
  <si>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</si>
  <si>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</si>
  <si>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</si>
  <si>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</si>
  <si>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</si>
  <si>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</si>
  <si>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</si>
  <si>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</si>
  <si>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</si>
  <si>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</si>
  <si>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</si>
  <si>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</si>
  <si>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</si>
  <si>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</si>
  <si>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</si>
  <si>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</si>
  <si>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</si>
  <si>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</si>
  <si>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</si>
  <si>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</si>
  <si>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</si>
  <si>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</si>
  <si>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</si>
  <si>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</si>
  <si>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</si>
  <si>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</si>
  <si>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</si>
  <si>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</si>
  <si>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</si>
  <si>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</si>
  <si>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</si>
  <si>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</si>
  <si>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</si>
  <si>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</si>
  <si>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</si>
  <si>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</si>
  <si>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</si>
  <si>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</si>
  <si>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</si>
  <si>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</si>
  <si>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</si>
  <si>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</si>
  <si>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</si>
  <si>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</si>
  <si>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</si>
  <si>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</si>
  <si>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</si>
  <si>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</si>
  <si>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</si>
  <si>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</si>
  <si>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</si>
  <si>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</si>
  <si>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</si>
  <si>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</si>
  <si>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</si>
  <si>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</si>
  <si>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</si>
  <si>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</si>
  <si>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</si>
  <si>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</si>
  <si>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</si>
  <si>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</si>
  <si>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</si>
  <si>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</si>
  <si>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</si>
  <si>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</si>
  <si>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</si>
  <si>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</si>
  <si>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</si>
  <si>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</si>
  <si>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</si>
  <si>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</si>
  <si>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</si>
  <si>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</si>
  <si>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</si>
  <si>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</si>
  <si>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</si>
  <si>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</si>
  <si>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</si>
  <si>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</si>
  <si>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</si>
  <si>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</si>
  <si>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</si>
  <si>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</si>
  <si>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</si>
  <si>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</si>
  <si>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</si>
  <si>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</si>
  <si>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</si>
  <si>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</si>
  <si>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</si>
  <si>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</si>
  <si>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</si>
  <si>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</si>
  <si>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</si>
  <si>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</si>
  <si>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</si>
  <si>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</si>
  <si>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</si>
  <si>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</si>
  <si>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</si>
  <si>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</si>
  <si>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</si>
  <si>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</si>
  <si>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</si>
  <si>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</si>
  <si>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</si>
  <si>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</si>
  <si>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</si>
  <si>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</si>
  <si>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</si>
  <si>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</si>
  <si>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</si>
  <si>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</si>
  <si>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</si>
  <si>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</si>
  <si>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</si>
  <si>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</si>
  <si>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</si>
  <si>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</si>
  <si>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</si>
  <si>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</si>
  <si>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</si>
  <si>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</si>
  <si>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</si>
  <si>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</si>
  <si>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</si>
  <si>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</si>
  <si>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</si>
  <si>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</si>
  <si>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</si>
  <si>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</si>
  <si>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</si>
  <si>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</si>
  <si>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</si>
  <si>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</si>
  <si>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</si>
  <si>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</si>
  <si>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</si>
  <si>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</si>
  <si>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</si>
  <si>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</si>
  <si>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</si>
  <si>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</si>
  <si>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</si>
  <si>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</si>
  <si>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</si>
  <si>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</si>
  <si>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</si>
  <si>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</si>
  <si>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</si>
  <si>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</si>
  <si>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</si>
  <si>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</si>
  <si>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</si>
  <si>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</si>
  <si>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</si>
  <si>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</si>
  <si>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</si>
  <si>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</si>
  <si>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</si>
  <si>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</si>
  <si>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</si>
  <si>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</si>
  <si>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</si>
  <si>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</si>
  <si>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</si>
  <si>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</si>
  <si>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</si>
  <si>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</si>
  <si>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</si>
  <si>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</si>
  <si>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</si>
  <si>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</si>
  <si>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</si>
  <si>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</si>
  <si>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</si>
  <si>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</si>
  <si>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</si>
  <si>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</si>
  <si>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</si>
  <si>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</si>
  <si>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</si>
  <si>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</si>
  <si>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</si>
  <si>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</si>
  <si>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</si>
  <si>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</si>
  <si>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</si>
  <si>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</si>
  <si>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</si>
  <si>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</si>
  <si>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</si>
  <si>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</si>
  <si>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</si>
  <si>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</si>
  <si>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</si>
  <si>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</si>
  <si>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</si>
  <si>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</si>
  <si>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</si>
  <si>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</si>
  <si>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</si>
  <si>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</si>
  <si>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</si>
  <si>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</si>
  <si>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</si>
  <si>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</si>
  <si>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</si>
  <si>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</si>
  <si>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</si>
  <si>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</si>
  <si>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</si>
  <si>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</si>
  <si>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</si>
  <si>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</si>
  <si>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</si>
  <si>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</si>
  <si>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</si>
  <si>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</si>
  <si>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</si>
  <si>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</si>
  <si>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</si>
  <si>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</si>
  <si>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</si>
  <si>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</si>
  <si>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</si>
  <si>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</si>
  <si>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</si>
  <si>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</si>
  <si>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</si>
  <si>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</si>
  <si>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</si>
  <si>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</si>
  <si>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</si>
  <si>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</si>
  <si>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</si>
  <si>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</si>
  <si>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</si>
  <si>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</si>
  <si>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</si>
  <si>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</si>
  <si>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</si>
  <si>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</si>
  <si>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</si>
  <si>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</si>
  <si>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</si>
  <si>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</si>
  <si>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</si>
  <si>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</si>
  <si>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</si>
  <si>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</si>
  <si>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</si>
  <si>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</si>
  <si>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</si>
  <si>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</si>
  <si>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</si>
  <si>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</si>
  <si>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</si>
  <si>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</si>
  <si>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</si>
  <si>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</si>
  <si>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</si>
  <si>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</si>
  <si>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</si>
  <si>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</si>
  <si>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</si>
  <si>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</si>
  <si>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</si>
  <si>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</si>
  <si>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</si>
  <si>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</si>
  <si>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</si>
  <si>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</si>
  <si>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</si>
  <si>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</si>
  <si>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</si>
  <si>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</si>
  <si>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</si>
  <si>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</si>
  <si>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</si>
  <si>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</si>
  <si>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</si>
  <si>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</si>
  <si>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</si>
  <si>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</si>
  <si>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</si>
  <si>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</si>
  <si>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</si>
  <si>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</si>
  <si>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</si>
  <si>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</si>
  <si>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</si>
  <si>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</si>
  <si>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</si>
  <si>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</si>
  <si>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</si>
  <si>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</si>
  <si>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</si>
  <si>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</si>
  <si>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</si>
  <si>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</si>
  <si>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</si>
  <si>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</si>
  <si>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</si>
  <si>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</si>
  <si>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</si>
  <si>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</si>
  <si>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</si>
  <si>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</si>
  <si>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</si>
  <si>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</si>
  <si>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</si>
  <si>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</si>
  <si>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</si>
  <si>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</si>
  <si>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</si>
  <si>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</si>
  <si>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</si>
  <si>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</si>
  <si>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</si>
  <si>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</si>
  <si>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</si>
  <si>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</si>
  <si>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</si>
  <si>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</si>
  <si>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</si>
  <si>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</si>
  <si>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</si>
  <si>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</si>
  <si>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</si>
  <si>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</si>
  <si>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</si>
  <si>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</si>
  <si>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</si>
  <si>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</si>
  <si>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</si>
  <si>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</si>
  <si>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</si>
  <si>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</si>
  <si>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</si>
  <si>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</si>
  <si>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</si>
  <si>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</si>
  <si>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</si>
  <si>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</si>
  <si>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</si>
  <si>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</si>
  <si>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</si>
  <si>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</si>
  <si>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</si>
  <si>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</si>
  <si>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</si>
  <si>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</si>
  <si>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</si>
  <si>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</si>
  <si>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</si>
  <si>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</si>
  <si>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</si>
  <si>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</si>
  <si>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</si>
  <si>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</si>
  <si>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</si>
  <si>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</si>
  <si>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</si>
  <si>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</si>
  <si>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</si>
  <si>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</si>
  <si>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</si>
  <si>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</si>
  <si>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</si>
  <si>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</si>
  <si>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</si>
  <si>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</si>
  <si>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</si>
  <si>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</si>
  <si>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</si>
  <si>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</si>
  <si>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</si>
  <si>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</si>
  <si>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</si>
  <si>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</si>
  <si>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</si>
  <si>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</si>
  <si>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</si>
  <si>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</si>
  <si>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</si>
  <si>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</si>
  <si>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</si>
  <si>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</si>
  <si>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</si>
  <si>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</si>
  <si>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</si>
  <si>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</si>
  <si>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</si>
  <si>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</si>
  <si>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</si>
  <si>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</si>
  <si>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</si>
  <si>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</si>
  <si>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</si>
  <si>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</si>
  <si>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</si>
  <si>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</si>
  <si>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</si>
  <si>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</si>
  <si>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</si>
  <si>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</si>
  <si>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</si>
  <si>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</si>
  <si>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</si>
  <si>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</si>
  <si>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</si>
  <si>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</si>
  <si>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</si>
  <si>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</si>
  <si>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</si>
  <si>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</si>
  <si>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</si>
  <si>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</si>
  <si>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</si>
  <si>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</si>
  <si>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</si>
  <si>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</si>
  <si>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</si>
  <si>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</si>
  <si>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</si>
  <si>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</si>
  <si>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</si>
  <si>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</si>
  <si>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</si>
  <si>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</si>
  <si>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</si>
  <si>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</si>
  <si>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</si>
  <si>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</si>
  <si>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</si>
  <si>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</si>
  <si>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</si>
  <si>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</si>
  <si>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</si>
  <si>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</si>
  <si>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</si>
  <si>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</si>
  <si>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</si>
  <si>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</si>
  <si>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</si>
  <si>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</si>
  <si>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</si>
  <si>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</si>
  <si>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</si>
  <si>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</si>
  <si>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</si>
  <si>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</si>
  <si>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</si>
  <si>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</si>
  <si>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</si>
  <si>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</si>
  <si>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</si>
  <si>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</si>
  <si>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</si>
  <si>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</si>
  <si>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</si>
  <si>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</si>
  <si>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</si>
  <si>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</si>
  <si>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</si>
  <si>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</si>
  <si>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</si>
  <si>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</si>
  <si>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</si>
  <si>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</si>
  <si>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</si>
  <si>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</si>
  <si>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</si>
  <si>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</si>
  <si>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</si>
  <si>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</si>
  <si>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</si>
  <si>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</si>
  <si>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</si>
  <si>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</si>
  <si>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</si>
  <si>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</si>
  <si>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</si>
  <si>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</si>
  <si>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</si>
  <si>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</si>
  <si>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</si>
  <si>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</si>
  <si>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</si>
  <si>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</si>
  <si>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</si>
  <si>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</si>
  <si>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</si>
  <si>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</si>
  <si>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</si>
  <si>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</si>
  <si>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</si>
  <si>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</si>
  <si>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</si>
  <si>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</si>
  <si>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</si>
  <si>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</si>
  <si>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</si>
  <si>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</si>
  <si>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</si>
  <si>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</si>
  <si>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</si>
  <si>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</si>
  <si>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</si>
  <si>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</si>
  <si>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</si>
  <si>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</si>
  <si>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</si>
  <si>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</si>
  <si>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</si>
  <si>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</si>
  <si>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</si>
  <si>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</si>
  <si>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</si>
  <si>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</si>
  <si>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</si>
  <si>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</si>
  <si>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</si>
  <si>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</si>
  <si>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</si>
  <si>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</si>
  <si>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</si>
  <si>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</si>
  <si>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</si>
  <si>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</si>
  <si>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</si>
  <si>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</si>
  <si>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</si>
  <si>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</si>
  <si>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</si>
  <si>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</si>
  <si>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</si>
  <si>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</si>
  <si>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</si>
  <si>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</si>
  <si>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</si>
  <si>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</si>
  <si>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</si>
  <si>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</si>
  <si>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</si>
  <si>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</si>
  <si>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</si>
  <si>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</si>
  <si>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</si>
  <si>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</si>
  <si>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</si>
  <si>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</si>
  <si>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</si>
  <si>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</si>
  <si>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</si>
  <si>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</si>
  <si>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</si>
  <si>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</si>
  <si>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</si>
  <si>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</si>
  <si>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</si>
  <si>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</si>
  <si>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</si>
  <si>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</si>
  <si>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</si>
  <si>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</si>
  <si>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</si>
  <si>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</si>
  <si>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</si>
  <si>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</si>
  <si>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</si>
  <si>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</si>
  <si>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</si>
  <si>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</si>
  <si>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</si>
  <si>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</si>
  <si>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</si>
  <si>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</si>
  <si>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</si>
  <si>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</si>
  <si>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</si>
  <si>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</si>
  <si>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</si>
  <si>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</si>
  <si>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</si>
  <si>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</si>
  <si>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</si>
  <si>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</si>
  <si>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</si>
  <si>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</si>
  <si>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</si>
  <si>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</si>
  <si>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</si>
  <si>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</si>
  <si>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</si>
  <si>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</si>
  <si>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</si>
  <si>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</si>
  <si>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</si>
  <si>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</si>
  <si>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</si>
  <si>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</si>
  <si>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</si>
  <si>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</si>
  <si>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</si>
  <si>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</si>
  <si>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</si>
  <si>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</si>
  <si>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</si>
  <si>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</si>
  <si>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</si>
  <si>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</si>
  <si>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</si>
  <si>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</si>
  <si>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</si>
  <si>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</si>
  <si>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</si>
  <si>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</si>
  <si>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</si>
  <si>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</si>
  <si>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</si>
  <si>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</si>
  <si>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</si>
  <si>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</si>
  <si>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</si>
  <si>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</si>
  <si>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</si>
  <si>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</si>
  <si>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</si>
  <si>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</si>
  <si>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</si>
  <si>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</si>
  <si>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</si>
  <si>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</si>
  <si>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</si>
  <si>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</si>
  <si>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</si>
  <si>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</si>
  <si>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</si>
  <si>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</si>
  <si>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</si>
  <si>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</si>
  <si>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</si>
  <si>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</si>
  <si>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</si>
  <si>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</si>
  <si>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</si>
  <si>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</si>
  <si>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</si>
  <si>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</si>
  <si>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</si>
  <si>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</si>
  <si>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</si>
  <si>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</si>
  <si>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</si>
  <si>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</si>
  <si>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</si>
  <si>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</si>
  <si>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</si>
  <si>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</si>
  <si>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</si>
  <si>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</si>
  <si>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</si>
  <si>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</si>
  <si>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</si>
  <si>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</si>
  <si>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</si>
  <si>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</si>
  <si>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</si>
  <si>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</si>
  <si>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</si>
  <si>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</si>
  <si>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</si>
  <si>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</si>
  <si>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</si>
  <si>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</si>
  <si>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</si>
  <si>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</si>
  <si>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</si>
  <si>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</si>
  <si>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</si>
  <si>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</si>
  <si>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</si>
  <si>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</si>
  <si>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</si>
  <si>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</si>
  <si>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</si>
  <si>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</si>
  <si>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</si>
  <si>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</si>
  <si>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</si>
  <si>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</si>
  <si>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</si>
  <si>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</si>
  <si>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</si>
  <si>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</si>
  <si>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</si>
  <si>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</si>
  <si>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</si>
  <si>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</si>
  <si>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</si>
  <si>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</si>
  <si>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</si>
  <si>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</si>
  <si>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</si>
  <si>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</si>
  <si>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</si>
  <si>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</si>
  <si>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</si>
  <si>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</si>
  <si>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</si>
  <si>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</si>
  <si>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</si>
  <si>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</si>
  <si>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</si>
  <si>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</si>
  <si>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</si>
  <si>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</si>
  <si>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</si>
  <si>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</si>
  <si>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</si>
  <si>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</si>
  <si>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</si>
  <si>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</si>
  <si>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</si>
  <si>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</si>
  <si>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</si>
  <si>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</si>
  <si>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</si>
  <si>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</si>
  <si>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</si>
  <si>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</si>
  <si>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</si>
  <si>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</si>
  <si>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</si>
  <si>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</si>
  <si>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</si>
  <si>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</si>
  <si>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</si>
  <si>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</si>
  <si>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</si>
  <si>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</si>
  <si>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</si>
  <si>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</si>
  <si>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</si>
  <si>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</si>
  <si>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</si>
  <si>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</si>
  <si>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</si>
  <si>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</si>
  <si>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</si>
  <si>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</si>
  <si>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</si>
  <si>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</si>
  <si>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</si>
  <si>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</si>
  <si>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</si>
  <si>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</si>
  <si>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</si>
  <si>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</si>
  <si>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</si>
  <si>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</si>
  <si>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</si>
  <si>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</si>
  <si>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</si>
  <si>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</si>
  <si>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</si>
  <si>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</si>
  <si>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</si>
  <si>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</si>
  <si>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</si>
  <si>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</si>
  <si>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</si>
  <si>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</si>
  <si>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</si>
  <si>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</si>
  <si>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</si>
  <si>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</si>
  <si>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</si>
  <si>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</si>
  <si>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</si>
  <si>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</si>
  <si>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</si>
  <si>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</si>
  <si>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</si>
  <si>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</si>
  <si>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</si>
  <si>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</si>
  <si>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</si>
  <si>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</si>
  <si>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</si>
  <si>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</si>
  <si>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</si>
  <si>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</si>
  <si>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</si>
  <si>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</si>
  <si>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</si>
  <si>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</si>
  <si>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</si>
  <si>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</si>
  <si>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</si>
  <si>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</si>
  <si>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</si>
  <si>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</si>
  <si>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</si>
  <si>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</si>
  <si>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</si>
  <si>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</si>
  <si>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</si>
  <si>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</si>
  <si>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</si>
  <si>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</si>
  <si>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</si>
  <si>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</si>
  <si>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</si>
  <si>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</si>
  <si>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</si>
  <si>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</si>
  <si>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</si>
  <si>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</si>
  <si>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</si>
  <si>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</si>
  <si>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</si>
  <si>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</si>
  <si>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</si>
  <si>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</si>
  <si>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</si>
  <si>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</si>
  <si>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</si>
  <si>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</si>
  <si>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</si>
  <si>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</si>
  <si>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</si>
  <si>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</si>
  <si>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</si>
  <si>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</si>
  <si>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</si>
  <si>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</si>
  <si>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</si>
  <si>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</si>
  <si>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</si>
  <si>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</si>
  <si>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</si>
  <si>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</si>
  <si>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</si>
  <si>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</si>
  <si>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</si>
  <si>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</si>
  <si>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</si>
  <si>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</si>
  <si>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</si>
  <si>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</si>
  <si>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</si>
  <si>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</si>
  <si>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</si>
  <si>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</si>
  <si>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</si>
  <si>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</si>
  <si>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</si>
  <si>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</si>
  <si>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</si>
  <si>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</si>
  <si>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</si>
  <si>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</si>
  <si>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</si>
  <si>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</si>
  <si>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</si>
  <si>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</si>
  <si>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</si>
  <si>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</si>
  <si>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</si>
  <si>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</si>
  <si>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</si>
  <si>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</si>
  <si>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</si>
  <si>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</si>
  <si>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</si>
  <si>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</si>
  <si>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</si>
  <si>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</si>
  <si>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</si>
  <si>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</si>
  <si>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</si>
  <si>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</si>
  <si>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</si>
  <si>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</si>
  <si>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</si>
  <si>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</si>
  <si>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</si>
  <si>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</si>
  <si>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</si>
  <si>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</si>
  <si>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</si>
  <si>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</si>
  <si>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</si>
  <si>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</si>
  <si>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</si>
  <si>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</si>
  <si>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</si>
  <si>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</si>
  <si>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</si>
  <si>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</si>
  <si>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</si>
  <si>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</si>
  <si>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</si>
  <si>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</si>
  <si>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</si>
  <si>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</si>
  <si>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</si>
  <si>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</si>
  <si>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</si>
  <si>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</si>
  <si>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</si>
  <si>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</si>
  <si>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</si>
  <si>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</si>
  <si>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</si>
  <si>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</si>
  <si>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</si>
  <si>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</si>
  <si>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</si>
  <si>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</si>
  <si>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</si>
  <si>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</si>
  <si>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</si>
  <si>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</si>
  <si>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</si>
  <si>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</si>
  <si>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</si>
  <si>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</si>
  <si>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</si>
  <si>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</si>
  <si>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</si>
  <si>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</si>
  <si>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</si>
  <si>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</si>
  <si>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</si>
  <si>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</si>
  <si>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</si>
  <si>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</si>
  <si>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</si>
  <si>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</si>
  <si>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</si>
  <si>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</si>
  <si>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</si>
  <si>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</si>
  <si>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</si>
  <si>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</si>
  <si>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</si>
  <si>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</si>
  <si>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</si>
  <si>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</si>
  <si>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</si>
  <si>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</si>
  <si>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</si>
  <si>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</si>
  <si>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</si>
  <si>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</si>
  <si>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</si>
  <si>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</si>
  <si>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</si>
  <si>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</si>
  <si>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</si>
  <si>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</si>
  <si>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</si>
  <si>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</si>
  <si>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</si>
  <si>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</si>
  <si>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</si>
  <si>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</si>
  <si>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</si>
  <si>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</si>
  <si>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</si>
  <si>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</si>
  <si>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</si>
  <si>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</si>
  <si>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</si>
  <si>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</si>
  <si>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</si>
  <si>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</si>
  <si>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</si>
  <si>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</si>
  <si>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</si>
  <si>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</si>
  <si>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</si>
  <si>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</si>
  <si>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</si>
  <si>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</si>
  <si>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</si>
  <si>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</si>
  <si>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</si>
  <si>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</si>
  <si>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</si>
  <si>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</si>
  <si>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</si>
  <si>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</si>
  <si>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</si>
  <si>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</si>
  <si>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</si>
  <si>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</si>
  <si>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</si>
  <si>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</si>
  <si>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</si>
  <si>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</si>
  <si>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</si>
  <si>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</si>
  <si>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</si>
  <si>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</si>
  <si>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</si>
  <si>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</si>
  <si>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</si>
  <si>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</si>
  <si>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</si>
  <si>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</si>
  <si>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</si>
  <si>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</si>
  <si>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</si>
  <si>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</si>
  <si>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</si>
  <si>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</si>
  <si>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</si>
  <si>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</si>
  <si>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</si>
  <si>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</si>
  <si>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</si>
  <si>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</si>
  <si>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</si>
  <si>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</si>
  <si>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</si>
  <si>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</si>
  <si>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</si>
  <si>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</si>
  <si>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</si>
  <si>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</si>
  <si>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</si>
  <si>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</si>
  <si>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</si>
  <si>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</si>
  <si>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</si>
  <si>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</si>
  <si>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</si>
  <si>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</si>
  <si>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</si>
  <si>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</si>
  <si>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</si>
  <si>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</si>
  <si>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</si>
  <si>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</si>
  <si>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</si>
  <si>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</si>
  <si>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</si>
  <si>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</si>
  <si>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</si>
  <si>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</si>
  <si>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</si>
  <si>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</si>
  <si>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</si>
  <si>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</si>
  <si>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</si>
  <si>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</si>
  <si>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</si>
  <si>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</si>
  <si>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</si>
  <si>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</si>
  <si>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</si>
  <si>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</si>
  <si>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</si>
  <si>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</si>
  <si>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</si>
  <si>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</si>
  <si>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</si>
  <si>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</si>
  <si>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</si>
  <si>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</si>
  <si>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</si>
  <si>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</si>
  <si>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</si>
  <si>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</si>
  <si>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</si>
  <si>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</si>
  <si>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</si>
  <si>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</si>
  <si>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</si>
  <si>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</si>
  <si>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</si>
  <si>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</si>
  <si>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</si>
  <si>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</si>
  <si>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</si>
  <si>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</si>
  <si>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</si>
  <si>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</si>
  <si>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</si>
  <si>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</si>
  <si>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</si>
  <si>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</si>
  <si>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</si>
  <si>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</si>
  <si>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</si>
  <si>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</si>
  <si>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</si>
  <si>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</si>
  <si>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</si>
  <si>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</si>
  <si>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</si>
  <si>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</si>
  <si>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</si>
  <si>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</si>
  <si>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</si>
  <si>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</si>
  <si>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</si>
  <si>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</si>
  <si>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</si>
  <si>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</si>
  <si>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</si>
  <si>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</si>
  <si>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</si>
  <si>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</si>
  <si>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</si>
  <si>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</si>
  <si>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</si>
  <si>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</si>
  <si>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</si>
  <si>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</si>
  <si>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</si>
  <si>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</si>
  <si>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</si>
  <si>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</si>
  <si>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</si>
  <si>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</si>
  <si>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</si>
  <si>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</si>
  <si>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</si>
  <si>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</si>
  <si>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</si>
  <si>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</si>
  <si>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</si>
  <si>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</si>
  <si>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</si>
  <si>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</si>
  <si>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</si>
  <si>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</si>
  <si>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</si>
  <si>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</si>
  <si>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</si>
  <si>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</si>
  <si>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</si>
  <si>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</si>
  <si>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</si>
  <si>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</si>
  <si>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</si>
  <si>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</si>
  <si>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</si>
  <si>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</si>
  <si>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</si>
  <si>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</si>
  <si>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</si>
  <si>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</si>
  <si>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</si>
  <si>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</si>
  <si>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</si>
  <si>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</si>
  <si>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</si>
  <si>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</si>
  <si>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</si>
  <si>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</si>
  <si>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</si>
  <si>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</si>
  <si>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</si>
  <si>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</si>
  <si>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</si>
  <si>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</si>
  <si>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</si>
  <si>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</si>
  <si>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</si>
  <si>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</si>
  <si>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</si>
  <si>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</si>
  <si>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</si>
  <si>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</si>
  <si>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</si>
  <si>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</si>
  <si>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</si>
  <si>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</si>
  <si>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</si>
  <si>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</si>
  <si>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</si>
  <si>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</si>
  <si>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</si>
  <si>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</si>
  <si>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</si>
  <si>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</si>
  <si>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</si>
  <si>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</si>
  <si>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</si>
  <si>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</si>
  <si>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</si>
  <si>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</si>
  <si>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</si>
  <si>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</si>
  <si>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</si>
  <si>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</si>
  <si>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</si>
  <si>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</si>
  <si>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</si>
  <si>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</si>
  <si>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</si>
  <si>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</si>
  <si>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</si>
  <si>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</si>
  <si>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</si>
  <si>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</si>
  <si>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</si>
  <si>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</si>
  <si>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</si>
  <si>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</si>
  <si>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</si>
  <si>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</si>
  <si>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</si>
  <si>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</si>
  <si>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</si>
  <si>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</si>
  <si>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</si>
  <si>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</si>
  <si>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</si>
  <si>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</si>
  <si>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</si>
  <si>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</si>
  <si>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</si>
  <si>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</si>
  <si>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</si>
  <si>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</si>
  <si>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</si>
  <si>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</si>
  <si>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</si>
  <si>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</si>
  <si>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</si>
  <si>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</si>
  <si>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</si>
  <si>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</si>
  <si>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</si>
  <si>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</si>
  <si>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</si>
  <si>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</si>
  <si>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</si>
  <si>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</si>
  <si>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</si>
  <si>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</si>
  <si>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</si>
  <si>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</si>
  <si>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</si>
  <si>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</si>
  <si>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</si>
  <si>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</si>
  <si>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</si>
  <si>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</si>
  <si>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</si>
  <si>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</si>
  <si>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</si>
  <si>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</si>
  <si>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</si>
  <si>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</si>
  <si>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</si>
  <si>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</si>
  <si>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</si>
  <si>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</si>
  <si>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</si>
  <si>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</si>
  <si>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</si>
  <si>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</si>
  <si>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</si>
  <si>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</si>
  <si>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</si>
  <si>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</si>
  <si>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</si>
  <si>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</si>
  <si>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</si>
  <si>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</si>
  <si>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</si>
  <si>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</si>
  <si>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</si>
  <si>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</si>
  <si>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</si>
  <si>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</si>
  <si>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</si>
  <si>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</si>
  <si>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</si>
  <si>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</si>
  <si>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</si>
  <si>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</si>
  <si>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</si>
  <si>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</si>
  <si>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</si>
  <si>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</si>
  <si>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</si>
  <si>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</si>
  <si>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</si>
  <si>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</si>
  <si>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</si>
  <si>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</si>
  <si>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</si>
  <si>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</si>
  <si>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</si>
  <si>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</si>
  <si>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</si>
  <si>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</si>
  <si>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</si>
  <si>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</si>
  <si>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</si>
  <si>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</si>
  <si>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</si>
  <si>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</si>
  <si>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</si>
  <si>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</si>
  <si>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</si>
  <si>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</si>
  <si>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</si>
  <si>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</si>
  <si>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</si>
  <si>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</si>
  <si>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</si>
  <si>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</si>
  <si>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</si>
  <si>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</si>
  <si>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</si>
  <si>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</si>
  <si>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</si>
  <si>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</si>
  <si>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</si>
  <si>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</si>
  <si>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</si>
  <si>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</si>
  <si>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</si>
  <si>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</si>
  <si>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</si>
  <si>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</si>
  <si>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</si>
  <si>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</si>
  <si>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</si>
  <si>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</si>
  <si>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</si>
  <si>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</si>
  <si>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</si>
  <si>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</si>
  <si>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</si>
  <si>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</si>
  <si>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</si>
  <si>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</si>
  <si>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</si>
  <si>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</si>
  <si>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</si>
  <si>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</si>
  <si>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</si>
  <si>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</si>
  <si>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</si>
  <si>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</si>
  <si>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</si>
  <si>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</si>
  <si>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</si>
  <si>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</si>
  <si>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</si>
  <si>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</si>
  <si>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</si>
  <si>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</si>
  <si>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</si>
  <si>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</si>
  <si>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</si>
  <si>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</si>
  <si>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</si>
  <si>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</si>
  <si>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</si>
  <si>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</si>
  <si>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</si>
  <si>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</si>
  <si>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</si>
  <si>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</si>
  <si>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</si>
  <si>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</si>
  <si>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</si>
  <si>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</si>
  <si>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</si>
  <si>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</si>
  <si>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</si>
  <si>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</si>
  <si>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</si>
  <si>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</si>
  <si>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</si>
  <si>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</si>
  <si>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</si>
  <si>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</si>
  <si>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</si>
  <si>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</si>
  <si>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</si>
  <si>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</si>
  <si>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</si>
  <si>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</si>
  <si>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</si>
  <si>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</si>
  <si>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</si>
  <si>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</si>
  <si>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</si>
  <si>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</si>
  <si>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</si>
  <si>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</si>
  <si>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</si>
  <si>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</si>
  <si>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</si>
  <si>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</si>
  <si>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</si>
  <si>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</si>
  <si>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</si>
  <si>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</si>
  <si>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</si>
  <si>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</si>
  <si>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</si>
  <si>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</si>
  <si>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</si>
  <si>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</si>
  <si>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</si>
  <si>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</si>
  <si>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</si>
  <si>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</si>
  <si>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</si>
  <si>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</si>
  <si>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</si>
  <si>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</si>
  <si>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</si>
  <si>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</si>
  <si>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</si>
  <si>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</si>
  <si>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</si>
  <si>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</si>
  <si>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</si>
  <si>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</si>
  <si>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</si>
  <si>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</si>
  <si>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</si>
  <si>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</si>
  <si>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</si>
  <si>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</si>
  <si>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</si>
  <si>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</si>
  <si>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</si>
  <si>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</si>
  <si>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</si>
  <si>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</si>
  <si>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</si>
  <si>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</si>
  <si>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</si>
  <si>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</si>
  <si>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</si>
  <si>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</si>
  <si>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</si>
  <si>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</si>
  <si>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</si>
  <si>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</si>
  <si>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</si>
  <si>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</si>
  <si>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</si>
  <si>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</si>
  <si>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</si>
  <si>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</si>
  <si>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</si>
  <si>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</si>
  <si>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</si>
  <si>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</si>
  <si>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</si>
  <si>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</si>
  <si>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</si>
  <si>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</si>
  <si>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</si>
  <si>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</si>
  <si>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</si>
  <si>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</si>
  <si>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</si>
  <si>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</si>
  <si>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</si>
  <si>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</si>
  <si>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</si>
  <si>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</si>
  <si>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</si>
  <si>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</si>
  <si>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</si>
  <si>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</si>
  <si>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</si>
  <si>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</si>
  <si>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</si>
  <si>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</si>
  <si>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</si>
  <si>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</si>
  <si>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</si>
  <si>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</si>
  <si>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</si>
  <si>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</si>
  <si>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</si>
  <si>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</si>
  <si>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</si>
  <si>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</si>
  <si>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</si>
  <si>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</si>
  <si>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</si>
  <si>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</si>
  <si>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</si>
  <si>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</si>
  <si>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</si>
  <si>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</si>
  <si>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</si>
  <si>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</si>
  <si>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</si>
  <si>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</si>
  <si>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</si>
  <si>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</si>
  <si>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</si>
  <si>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</si>
  <si>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</si>
  <si>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</si>
  <si>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</si>
  <si>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</si>
  <si>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</si>
  <si>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</si>
  <si>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</si>
  <si>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</si>
  <si>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</si>
  <si>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</si>
  <si>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</si>
  <si>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</si>
  <si>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</si>
  <si>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</si>
  <si>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</si>
  <si>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</si>
  <si>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</si>
  <si>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</si>
  <si>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</si>
  <si>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</si>
  <si>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</si>
  <si>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</si>
  <si>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</si>
  <si>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</si>
  <si>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</si>
  <si>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</si>
  <si>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</si>
  <si>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</si>
  <si>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</si>
  <si>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</si>
  <si>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</si>
  <si>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</si>
  <si>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</si>
  <si>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</si>
  <si>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</si>
  <si>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</si>
  <si>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</si>
  <si>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</si>
  <si>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</si>
  <si>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</si>
  <si>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</si>
  <si>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</si>
  <si>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</si>
  <si>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</si>
  <si>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</si>
  <si>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</si>
  <si>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</si>
  <si>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</si>
  <si>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</si>
  <si>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</si>
  <si>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</si>
  <si>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</si>
  <si>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</si>
  <si>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</si>
  <si>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</si>
  <si>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</si>
  <si>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</si>
  <si>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</si>
  <si>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</si>
  <si>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</si>
  <si>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</si>
  <si>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</si>
  <si>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</si>
  <si>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</si>
  <si>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</si>
  <si>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</si>
  <si>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</si>
  <si>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</si>
  <si>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</si>
  <si>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</si>
  <si>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</si>
  <si>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</si>
  <si>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</si>
  <si>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</si>
  <si>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</si>
  <si>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</si>
  <si>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</si>
  <si>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</si>
  <si>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</si>
  <si>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</si>
  <si>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</si>
  <si>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</si>
  <si>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</si>
  <si>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</si>
  <si>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</si>
  <si>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</si>
  <si>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</si>
  <si>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</si>
  <si>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</si>
  <si>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</si>
  <si>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</si>
  <si>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</si>
  <si>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</si>
  <si>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</si>
  <si>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</si>
  <si>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</si>
  <si>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</si>
  <si>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</si>
  <si>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</si>
  <si>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</si>
  <si>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</si>
  <si>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</si>
  <si>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</si>
  <si>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</si>
  <si>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</si>
  <si>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</si>
  <si>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</si>
  <si>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</si>
  <si>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</si>
  <si>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</si>
  <si>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</si>
  <si>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</si>
  <si>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</si>
  <si>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</si>
  <si>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</si>
  <si>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</si>
  <si>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</si>
  <si>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</si>
  <si>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</si>
  <si>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</si>
  <si>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</si>
  <si>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</si>
  <si>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</si>
  <si>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</si>
  <si>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</si>
  <si>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</si>
  <si>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</si>
  <si>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</si>
  <si>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</si>
  <si>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</si>
  <si>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</si>
  <si>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</si>
  <si>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</si>
  <si>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</si>
  <si>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</si>
  <si>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</si>
  <si>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</si>
  <si>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</si>
  <si>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</si>
  <si>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</si>
  <si>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</si>
  <si>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</si>
  <si>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</si>
  <si>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</si>
  <si>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</si>
  <si>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</si>
  <si>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</si>
  <si>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</si>
  <si>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</si>
  <si>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</si>
  <si>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</si>
  <si>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</si>
  <si>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</si>
  <si>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</si>
  <si>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</si>
  <si>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</si>
  <si>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</si>
  <si>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</si>
  <si>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</si>
  <si>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</si>
  <si>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</si>
  <si>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</si>
  <si>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</si>
  <si>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</si>
  <si>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</si>
  <si>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</si>
  <si>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</si>
  <si>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</si>
  <si>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</si>
  <si>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</si>
  <si>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</si>
  <si>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</si>
  <si>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</si>
  <si>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</si>
  <si>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</si>
  <si>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</si>
  <si>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</si>
  <si>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</si>
  <si>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</si>
  <si>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</si>
  <si>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</si>
  <si>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</si>
  <si>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</si>
  <si>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</si>
  <si>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</si>
  <si>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</si>
  <si>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</si>
  <si>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</si>
  <si>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</si>
  <si>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</si>
  <si>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</si>
  <si>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</si>
  <si>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</si>
  <si>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</si>
  <si>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</si>
  <si>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</si>
  <si>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</si>
  <si>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</si>
  <si>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</si>
  <si>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</si>
  <si>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</si>
  <si>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</si>
  <si>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</si>
  <si>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</si>
  <si>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</si>
  <si>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</si>
  <si>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</si>
  <si>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</si>
  <si>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</si>
  <si>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</si>
  <si>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</si>
  <si>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</si>
  <si>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</si>
  <si>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</si>
  <si>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</si>
  <si>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</si>
  <si>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</si>
  <si>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</si>
  <si>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</si>
  <si>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</si>
  <si>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</si>
  <si>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</si>
  <si>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</si>
  <si>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</si>
  <si>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</si>
  <si>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</si>
  <si>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</si>
  <si>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</si>
  <si>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</si>
  <si>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</si>
  <si>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</si>
  <si>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</si>
  <si>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</si>
  <si>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</si>
  <si>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</si>
  <si>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</si>
  <si>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</si>
  <si>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</si>
  <si>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</si>
  <si>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</si>
  <si>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</si>
  <si>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</si>
  <si>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</si>
  <si>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</si>
  <si>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</si>
  <si>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</si>
  <si>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</si>
  <si>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</si>
  <si>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</si>
  <si>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</si>
  <si>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</si>
  <si>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</si>
  <si>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</si>
  <si>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</si>
  <si>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</si>
  <si>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</si>
  <si>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</si>
  <si>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</si>
  <si>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</si>
  <si>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</si>
  <si>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</si>
  <si>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</si>
  <si>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</si>
  <si>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</si>
  <si>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</si>
  <si>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</si>
  <si>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</si>
  <si>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</si>
  <si>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</si>
  <si>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</si>
  <si>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</si>
  <si>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</si>
  <si>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</si>
  <si>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</si>
  <si>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</si>
  <si>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</si>
  <si>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</si>
  <si>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</si>
  <si>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</si>
  <si>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</si>
  <si>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</si>
  <si>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</si>
  <si>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</si>
  <si>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</si>
  <si>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</si>
  <si>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</si>
  <si>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</si>
  <si>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</si>
  <si>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</si>
  <si>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</si>
  <si>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</si>
  <si>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</si>
  <si>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</si>
  <si>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</si>
  <si>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</si>
  <si>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</si>
  <si>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</si>
  <si>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</si>
  <si>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</si>
  <si>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</si>
  <si>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</si>
  <si>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</si>
  <si>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</si>
  <si>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</si>
  <si>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</si>
  <si>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</si>
  <si>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</si>
  <si>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</si>
  <si>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</si>
  <si>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</si>
  <si>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</si>
  <si>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</si>
  <si>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</si>
  <si>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</si>
  <si>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</si>
  <si>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</si>
  <si>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</si>
  <si>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</si>
  <si>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</si>
  <si>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</si>
  <si>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</si>
  <si>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</si>
  <si>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</si>
  <si>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</si>
  <si>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</si>
  <si>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</si>
  <si>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</si>
  <si>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</si>
  <si>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</si>
  <si>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</si>
  <si>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</si>
  <si>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</si>
  <si>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</si>
  <si>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</si>
  <si>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</si>
  <si>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</si>
  <si>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</si>
  <si>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</si>
  <si>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</si>
  <si>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</si>
  <si>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</si>
  <si>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</si>
  <si>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</si>
  <si>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</si>
  <si>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</si>
  <si>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</si>
  <si>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</si>
  <si>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</si>
  <si>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</si>
  <si>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</si>
  <si>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</si>
  <si>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</si>
  <si>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</si>
  <si>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</si>
  <si>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</si>
  <si>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</si>
  <si>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</si>
  <si>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</si>
  <si>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</si>
  <si>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</si>
  <si>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</si>
  <si>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</si>
  <si>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</si>
  <si>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</si>
  <si>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</si>
  <si>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</si>
  <si>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</si>
  <si>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</si>
  <si>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</si>
  <si>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</si>
  <si>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</si>
  <si>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</si>
  <si>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</si>
  <si>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</si>
  <si>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</si>
  <si>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</si>
  <si>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</si>
  <si>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</si>
  <si>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</si>
  <si>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</si>
  <si>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</si>
  <si>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</si>
  <si>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</si>
  <si>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</si>
  <si>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</si>
  <si>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</si>
  <si>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</si>
  <si>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</si>
  <si>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</si>
  <si>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</si>
  <si>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</si>
  <si>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</si>
  <si>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</si>
  <si>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</si>
  <si>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</si>
  <si>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</si>
  <si>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</si>
  <si>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</si>
  <si>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</si>
  <si>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</si>
  <si>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</si>
  <si>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</si>
  <si>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</si>
  <si>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</si>
  <si>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</si>
  <si>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</si>
  <si>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</si>
  <si>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</si>
  <si>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</si>
  <si>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</si>
  <si>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</si>
  <si>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</si>
  <si>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</si>
  <si>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</si>
  <si>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</si>
  <si>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</si>
  <si>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</si>
  <si>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</si>
  <si>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</si>
  <si>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</si>
  <si>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</si>
  <si>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</si>
  <si>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</si>
  <si>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</si>
  <si>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</si>
  <si>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</si>
  <si>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</si>
  <si>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</si>
  <si>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</si>
  <si>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</si>
  <si>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</si>
  <si>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</si>
  <si>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</si>
  <si>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</si>
  <si>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</si>
  <si>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</si>
  <si>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</si>
  <si>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</si>
  <si>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</si>
  <si>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</si>
  <si>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</si>
  <si>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</si>
  <si>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</si>
  <si>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</si>
  <si>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</si>
  <si>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</si>
  <si>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</si>
  <si>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</si>
  <si>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</si>
  <si>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</si>
  <si>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</si>
  <si>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</si>
  <si>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</si>
  <si>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</si>
  <si>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</si>
  <si>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</si>
  <si>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</si>
  <si>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</si>
  <si>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</si>
  <si>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</si>
  <si>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</si>
  <si>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</si>
  <si>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</si>
  <si>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</si>
  <si>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</si>
  <si>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</si>
  <si>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</si>
  <si>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</si>
  <si>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</si>
  <si>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</si>
  <si>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</si>
  <si>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</si>
  <si>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</si>
  <si>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</si>
  <si>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</si>
  <si>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</si>
  <si>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</si>
  <si>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</si>
  <si>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</si>
  <si>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</si>
  <si>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</si>
  <si>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</si>
  <si>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</si>
  <si>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</si>
  <si>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</si>
  <si>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</si>
  <si>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</si>
  <si>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</si>
  <si>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</si>
  <si>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</si>
  <si>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</si>
  <si>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</si>
  <si>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</si>
  <si>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</si>
  <si>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</si>
  <si>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</si>
  <si>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</si>
  <si>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</si>
  <si>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</si>
  <si>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</si>
  <si>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</si>
  <si>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</si>
  <si>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</si>
  <si>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</si>
  <si>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</si>
  <si>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</si>
  <si>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</si>
  <si>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</si>
  <si>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</si>
  <si>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</si>
  <si>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</si>
  <si>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</si>
  <si>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</si>
  <si>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</si>
  <si>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</si>
  <si>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</si>
  <si>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</si>
  <si>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</si>
  <si>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</si>
  <si>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</si>
  <si>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</si>
  <si>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</si>
  <si>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</si>
  <si>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</si>
  <si>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</si>
  <si>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</si>
  <si>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</si>
  <si>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</si>
  <si>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</si>
  <si>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</si>
  <si>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</si>
  <si>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</si>
  <si>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</si>
  <si>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</si>
  <si>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</si>
  <si>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</si>
  <si>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</si>
  <si>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</si>
  <si>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</si>
  <si>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</si>
  <si>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</si>
  <si>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</si>
  <si>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</si>
  <si>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</si>
  <si>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</si>
  <si>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</si>
  <si>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</si>
  <si>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</si>
  <si>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</si>
  <si>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</si>
  <si>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</si>
  <si>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</si>
  <si>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</si>
  <si>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</si>
  <si>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</si>
  <si>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</si>
  <si>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</si>
  <si>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</si>
  <si>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</si>
  <si>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</si>
  <si>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</si>
  <si>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</si>
  <si>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</si>
  <si>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</si>
  <si>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</si>
  <si>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</si>
  <si>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</si>
  <si>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</si>
  <si>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</si>
  <si>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</si>
  <si>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</si>
  <si>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</si>
  <si>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</si>
  <si>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</si>
  <si>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</si>
  <si>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</si>
  <si>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</si>
  <si>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</si>
  <si>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</si>
  <si>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</si>
  <si>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</si>
  <si>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</si>
  <si>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</si>
  <si>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</si>
  <si>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</si>
  <si>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</si>
  <si>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</si>
  <si>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</si>
  <si>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</si>
  <si>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</si>
  <si>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</si>
  <si>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</si>
  <si>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</si>
  <si>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</si>
  <si>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</si>
  <si>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</si>
  <si>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</si>
  <si>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</si>
  <si>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</si>
  <si>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</si>
  <si>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</si>
  <si>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</si>
  <si>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</si>
  <si>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</si>
  <si>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</si>
  <si>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</si>
  <si>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</si>
  <si>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</si>
  <si>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</si>
  <si>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</si>
  <si>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</si>
  <si>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</si>
  <si>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</si>
  <si>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</si>
  <si>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</si>
  <si>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</si>
  <si>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</si>
  <si>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</si>
  <si>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</si>
  <si>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</si>
  <si>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</si>
  <si>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</si>
  <si>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</si>
  <si>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</si>
  <si>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</si>
  <si>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</si>
  <si>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</si>
  <si>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</si>
  <si>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</si>
  <si>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</si>
  <si>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</si>
  <si>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</si>
  <si>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</si>
  <si>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</si>
  <si>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</si>
  <si>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</si>
  <si>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</si>
  <si>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</si>
  <si>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</si>
  <si>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</si>
  <si>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</si>
  <si>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</si>
  <si>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</si>
  <si>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</si>
  <si>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</si>
  <si>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</si>
  <si>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</si>
  <si>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</si>
  <si>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</si>
  <si>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</si>
  <si>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</si>
  <si>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</si>
  <si>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</si>
  <si>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</si>
  <si>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</si>
  <si>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</si>
  <si>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</si>
  <si>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</si>
  <si>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</si>
  <si>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</si>
  <si>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</si>
  <si>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</si>
  <si>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</si>
  <si>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</si>
  <si>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</si>
  <si>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</si>
  <si>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</si>
  <si>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</si>
  <si>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</si>
  <si>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</si>
  <si>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</si>
  <si>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</si>
  <si>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</si>
  <si>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</si>
  <si>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</si>
  <si>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</si>
  <si>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</si>
  <si>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</si>
  <si>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</si>
  <si>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</si>
  <si>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</si>
  <si>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</si>
  <si>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</si>
  <si>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</si>
  <si>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</si>
  <si>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</si>
  <si>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</si>
  <si>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</si>
  <si>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</si>
  <si>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</si>
  <si>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</si>
  <si>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</si>
  <si>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</si>
  <si>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</si>
  <si>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</si>
  <si>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</si>
  <si>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</si>
  <si>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</si>
  <si>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</si>
  <si>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</si>
  <si>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</si>
  <si>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</si>
  <si>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</si>
  <si>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</si>
  <si>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</si>
  <si>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</si>
  <si>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</si>
  <si>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</si>
  <si>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</si>
  <si>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</si>
  <si>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</si>
  <si>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</si>
  <si>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</si>
  <si>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</si>
  <si>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</si>
  <si>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</si>
  <si>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</si>
  <si>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</si>
  <si>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</si>
  <si>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</si>
  <si>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</si>
  <si>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</si>
  <si>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</si>
  <si>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</si>
  <si>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</si>
  <si>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</si>
  <si>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</si>
  <si>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</si>
  <si>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</si>
  <si>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</si>
  <si>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</si>
  <si>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</si>
  <si>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</si>
  <si>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</si>
  <si>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</si>
  <si>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</si>
  <si>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</si>
  <si>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</si>
  <si>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</si>
  <si>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</si>
  <si>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</si>
  <si>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</si>
  <si>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</si>
  <si>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</si>
  <si>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</si>
  <si>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</si>
  <si>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</si>
  <si>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</si>
  <si>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</si>
  <si>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</si>
  <si>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</si>
  <si>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</si>
  <si>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</si>
  <si>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</si>
  <si>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</si>
  <si>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</si>
  <si>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</si>
  <si>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</si>
  <si>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</si>
  <si>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</si>
  <si>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</si>
  <si>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</si>
  <si>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</si>
  <si>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</si>
  <si>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</si>
  <si>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</si>
  <si>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</si>
  <si>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</si>
  <si>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</si>
  <si>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</si>
  <si>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</si>
  <si>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</si>
  <si>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</si>
  <si>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</si>
  <si>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</si>
  <si>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</si>
  <si>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</si>
  <si>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</si>
  <si>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</si>
  <si>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</si>
  <si>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</si>
  <si>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</si>
  <si>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</si>
  <si>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</si>
  <si>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</si>
  <si>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</si>
  <si>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</si>
  <si>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</si>
  <si>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</si>
  <si>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</si>
  <si>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</si>
  <si>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</si>
  <si>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</si>
  <si>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</si>
  <si>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</si>
  <si>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</si>
  <si>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</si>
  <si>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</si>
  <si>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</si>
  <si>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</si>
  <si>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</si>
  <si>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</si>
  <si>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</si>
  <si>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</si>
  <si>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</si>
  <si>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</si>
  <si>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</si>
  <si>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</si>
  <si>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</si>
  <si>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</si>
  <si>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</si>
  <si>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</si>
  <si>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</si>
  <si>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</si>
  <si>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</si>
  <si>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</si>
  <si>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</si>
  <si>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</si>
  <si>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</si>
  <si>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</si>
  <si>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</si>
  <si>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</si>
  <si>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</si>
  <si>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</si>
  <si>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</si>
  <si>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</si>
  <si>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</si>
  <si>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</si>
  <si>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</si>
  <si>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</si>
  <si>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</si>
  <si>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</si>
  <si>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</si>
  <si>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</si>
  <si>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</si>
  <si>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</si>
  <si>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</si>
  <si>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</si>
  <si>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</si>
  <si>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</si>
  <si>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</si>
  <si>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</si>
  <si>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</si>
  <si>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</si>
  <si>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</si>
  <si>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</si>
  <si>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</si>
  <si>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</si>
  <si>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</si>
  <si>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</si>
  <si>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</si>
  <si>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</si>
  <si>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</si>
  <si>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</si>
  <si>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</si>
  <si>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</si>
  <si>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</si>
  <si>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</si>
  <si>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</si>
  <si>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</si>
  <si>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</si>
  <si>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</si>
  <si>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</si>
  <si>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</si>
  <si>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</si>
  <si>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</si>
  <si>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</si>
  <si>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</si>
  <si>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</si>
  <si>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</si>
  <si>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</si>
  <si>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</si>
  <si>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</si>
  <si>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</si>
  <si>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</si>
  <si>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</si>
  <si>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</si>
  <si>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</si>
  <si>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</si>
  <si>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</si>
  <si>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</si>
  <si>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</si>
  <si>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</si>
  <si>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</si>
  <si>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</si>
  <si>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</si>
  <si>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</si>
  <si>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</si>
  <si>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</si>
  <si>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</si>
  <si>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</si>
  <si>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</si>
  <si>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</si>
  <si>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</si>
  <si>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</si>
  <si>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</si>
  <si>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</si>
  <si>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</si>
  <si>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</si>
  <si>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</si>
  <si>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</si>
  <si>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</si>
  <si>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</si>
  <si>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</si>
  <si>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</si>
  <si>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</si>
  <si>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</si>
  <si>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</si>
  <si>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</si>
  <si>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</si>
  <si>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</si>
  <si>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</si>
  <si>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</si>
  <si>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</si>
  <si>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</si>
  <si>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</si>
  <si>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</si>
  <si>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</si>
  <si>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</si>
  <si>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</si>
  <si>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</si>
  <si>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</si>
  <si>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</si>
  <si>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</si>
  <si>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</si>
  <si>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</si>
  <si>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</si>
  <si>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</si>
  <si>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</si>
  <si>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</si>
  <si>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</si>
  <si>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</si>
  <si>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</si>
  <si>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</si>
  <si>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</si>
  <si>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</si>
  <si>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</si>
  <si>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</si>
  <si>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</si>
  <si>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</si>
  <si>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</si>
  <si>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</si>
  <si>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</si>
  <si>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</si>
  <si>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</si>
  <si>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</si>
  <si>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</si>
  <si>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</si>
  <si>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</si>
  <si>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</si>
  <si>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</si>
  <si>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</si>
  <si>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</si>
  <si>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</si>
  <si>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</si>
  <si>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</si>
  <si>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</si>
  <si>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</si>
  <si>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</si>
  <si>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</si>
  <si>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</si>
  <si>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</si>
  <si>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</si>
  <si>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</si>
  <si>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</si>
  <si>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</si>
  <si>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</si>
  <si>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</si>
  <si>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</si>
  <si>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トッピング用のくまの形のチョコレート。こっちはおにいさん。少し大きくガッシリ。</t>
    <rPh sb="5" eb="6">
      <t>ヨウ</t>
    </rPh>
    <rPh sb="10" eb="11">
      <t>カタチ</t>
    </rPh>
    <rPh sb="29" eb="30">
      <t>スコ</t>
    </rPh>
    <rPh sb="31" eb="32">
      <t>オオ</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</si>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</sst>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s>
  <borders count="1">
    <border>
      <left/>
      <right/>
      <top/>
      <bottom/>
      <diagonal/>
    </border>
  </borders>
  <cellStyleXfs count="1">
    <xf numFmtId="0" fontId="0" fillId="0" borderId="0"/>
  </cellStyleXfs>
  <cellXfs count="49">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4" fillId="8" borderId="0" xfId="0" applyFont="1" applyFill="1"/>
    <xf numFmtId="0" fontId="0" fillId="0" borderId="0" xfId="0" applyAlignment="1">
      <alignment vertical="center"/>
    </xf>
    <xf numFmtId="0" fontId="7" fillId="9"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U309"/>
  <sheetViews>
    <sheetView tabSelected="1" topLeftCell="U66" workbookViewId="0">
      <selection activeCell="AN71" sqref="AN71"/>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1938</v>
      </c>
      <c r="AO2" s="3" t="s">
        <v>1847</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si="0"/>
        <v>1</v>
      </c>
      <c r="B3" s="3" t="s">
        <v>55</v>
      </c>
      <c r="C3" s="3" t="s">
        <v>2211</v>
      </c>
      <c r="D3" s="5" t="s">
        <v>2207</v>
      </c>
      <c r="E3" s="5" t="s">
        <v>2208</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1938</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2</v>
      </c>
      <c r="B4" s="3" t="s">
        <v>3518</v>
      </c>
      <c r="C4" s="6" t="s">
        <v>3388</v>
      </c>
      <c r="D4" s="5" t="s">
        <v>3475</v>
      </c>
      <c r="E4" s="5" t="s">
        <v>3389</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1938</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row>
    <row r="5" spans="1:73" ht="15.75" customHeight="1" x14ac:dyDescent="0.2">
      <c r="A5" s="3">
        <f t="shared" si="0"/>
        <v>3</v>
      </c>
      <c r="B5" s="3" t="s">
        <v>1469</v>
      </c>
      <c r="C5" s="6" t="s">
        <v>1137</v>
      </c>
      <c r="D5" s="5" t="s">
        <v>1154</v>
      </c>
      <c r="E5" s="5" t="s">
        <v>1155</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1938</v>
      </c>
      <c r="AO5" s="3" t="s">
        <v>1847</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row>
    <row r="6" spans="1:73" ht="15.75" customHeight="1" x14ac:dyDescent="0.2">
      <c r="A6" s="3">
        <f t="shared" si="0"/>
        <v>4</v>
      </c>
      <c r="B6" s="3" t="s">
        <v>2607</v>
      </c>
      <c r="C6" s="3" t="s">
        <v>159</v>
      </c>
      <c r="D6" s="5" t="s">
        <v>991</v>
      </c>
      <c r="E6" s="5" t="s">
        <v>2243</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1938</v>
      </c>
      <c r="AO6" s="3" t="s">
        <v>1847</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1939</v>
      </c>
      <c r="AO7" s="3" t="s">
        <v>1847</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6</v>
      </c>
      <c r="B8" s="3" t="s">
        <v>57</v>
      </c>
      <c r="C8" s="3" t="s">
        <v>2212</v>
      </c>
      <c r="D8" s="5" t="s">
        <v>2209</v>
      </c>
      <c r="E8" s="5" t="s">
        <v>2210</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1939</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7</v>
      </c>
      <c r="B9" s="3" t="s">
        <v>3519</v>
      </c>
      <c r="C9" s="3" t="s">
        <v>3390</v>
      </c>
      <c r="D9" s="5" t="s">
        <v>3391</v>
      </c>
      <c r="E9" s="5" t="s">
        <v>3392</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1939</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3502</v>
      </c>
      <c r="AO10" s="3" t="s">
        <v>1847</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1940</v>
      </c>
      <c r="AO11" s="3" t="s">
        <v>1847</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v>
      </c>
      <c r="B12" s="3" t="s">
        <v>66</v>
      </c>
      <c r="C12" s="3" t="s">
        <v>2213</v>
      </c>
      <c r="D12" s="5" t="s">
        <v>2615</v>
      </c>
      <c r="E12" s="5" t="s">
        <v>2214</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1940</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1940</v>
      </c>
      <c r="AO13" s="7" t="s">
        <v>1847</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row>
    <row r="14" spans="1:73"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1940</v>
      </c>
      <c r="AO14" s="7" t="s">
        <v>1847</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row>
    <row r="15" spans="1:73"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1072</v>
      </c>
      <c r="AN15" s="3" t="s">
        <v>2945</v>
      </c>
      <c r="AO15" s="3" t="s">
        <v>1847</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1940</v>
      </c>
      <c r="AO16" s="3" t="s">
        <v>1847</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row>
    <row r="17" spans="1:73"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1940</v>
      </c>
      <c r="AO17" s="3" t="s">
        <v>1847</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row>
    <row r="18" spans="1:73" ht="15.75" customHeight="1" x14ac:dyDescent="0.2">
      <c r="A18" s="3">
        <f t="shared" si="0"/>
        <v>16</v>
      </c>
      <c r="B18" s="3" t="s">
        <v>2186</v>
      </c>
      <c r="C18" s="3" t="s">
        <v>2186</v>
      </c>
      <c r="D18" s="5" t="s">
        <v>2185</v>
      </c>
      <c r="E18" s="5" t="s">
        <v>2369</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1940</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2272</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row>
    <row r="19" spans="1:73" ht="15.75" customHeight="1" x14ac:dyDescent="0.2">
      <c r="A19" s="3">
        <f t="shared" si="0"/>
        <v>17</v>
      </c>
      <c r="B19" s="3" t="s">
        <v>1529</v>
      </c>
      <c r="C19" s="3" t="s">
        <v>1529</v>
      </c>
      <c r="D19" s="5" t="s">
        <v>1528</v>
      </c>
      <c r="E19" s="5" t="s">
        <v>1530</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1940</v>
      </c>
      <c r="AO19" s="3" t="s">
        <v>1847</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1533</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row>
    <row r="20" spans="1:73" ht="15.75" customHeight="1" x14ac:dyDescent="0.2">
      <c r="A20" s="3">
        <f t="shared" si="0"/>
        <v>18</v>
      </c>
      <c r="B20" s="3" t="s">
        <v>1532</v>
      </c>
      <c r="C20" s="3" t="s">
        <v>1532</v>
      </c>
      <c r="D20" s="5" t="s">
        <v>1531</v>
      </c>
      <c r="E20" s="5" t="s">
        <v>1535</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1940</v>
      </c>
      <c r="AO20" s="3" t="s">
        <v>1847</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1534</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row>
    <row r="21" spans="1:73" ht="15.75" customHeight="1" x14ac:dyDescent="0.2">
      <c r="A21" s="3">
        <f t="shared" si="0"/>
        <v>19</v>
      </c>
      <c r="B21" s="3" t="s">
        <v>2536</v>
      </c>
      <c r="C21" s="3" t="s">
        <v>2446</v>
      </c>
      <c r="D21" s="5" t="s">
        <v>2445</v>
      </c>
      <c r="E21" s="5" t="s">
        <v>2447</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1940</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row>
    <row r="22" spans="1:73" ht="15.75" customHeight="1" x14ac:dyDescent="0.2">
      <c r="A22" s="3">
        <f t="shared" si="0"/>
        <v>20</v>
      </c>
      <c r="B22" s="3" t="s">
        <v>2535</v>
      </c>
      <c r="C22" s="3" t="s">
        <v>2449</v>
      </c>
      <c r="D22" s="5" t="s">
        <v>2448</v>
      </c>
      <c r="E22" s="5" t="s">
        <v>2450</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1940</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row>
    <row r="23" spans="1:73" ht="15.75" customHeight="1" x14ac:dyDescent="0.2">
      <c r="A23" s="3">
        <f t="shared" si="0"/>
        <v>21</v>
      </c>
      <c r="B23" s="3" t="s">
        <v>2534</v>
      </c>
      <c r="C23" s="3" t="s">
        <v>2456</v>
      </c>
      <c r="D23" s="5" t="s">
        <v>2455</v>
      </c>
      <c r="E23" s="5" t="s">
        <v>2457</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1940</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22</v>
      </c>
      <c r="B24" s="3" t="s">
        <v>2537</v>
      </c>
      <c r="C24" s="3" t="s">
        <v>2460</v>
      </c>
      <c r="D24" s="5" t="s">
        <v>2458</v>
      </c>
      <c r="E24" s="5" t="s">
        <v>2459</v>
      </c>
      <c r="F24" s="3">
        <v>0</v>
      </c>
      <c r="G24" s="3">
        <v>0</v>
      </c>
      <c r="H24" s="3">
        <v>0</v>
      </c>
      <c r="I24" s="3">
        <v>50</v>
      </c>
      <c r="J24" s="3">
        <v>20</v>
      </c>
      <c r="K24" s="3">
        <v>0.95</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1940</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row>
    <row r="25" spans="1:73" ht="15.75" customHeight="1" x14ac:dyDescent="0.2">
      <c r="A25" s="3">
        <f t="shared" si="0"/>
        <v>23</v>
      </c>
      <c r="B25" s="3" t="s">
        <v>2538</v>
      </c>
      <c r="C25" s="3" t="s">
        <v>2463</v>
      </c>
      <c r="D25" s="5" t="s">
        <v>2461</v>
      </c>
      <c r="E25" s="5" t="s">
        <v>2462</v>
      </c>
      <c r="F25" s="3">
        <v>0</v>
      </c>
      <c r="G25" s="3">
        <v>0</v>
      </c>
      <c r="H25" s="3">
        <v>0</v>
      </c>
      <c r="I25" s="3">
        <v>50</v>
      </c>
      <c r="J25" s="3">
        <v>20</v>
      </c>
      <c r="K25" s="3">
        <v>0.95</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1940</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row>
    <row r="26" spans="1:73" ht="15.75" customHeight="1" x14ac:dyDescent="0.2">
      <c r="A26" s="3">
        <f t="shared" si="0"/>
        <v>24</v>
      </c>
      <c r="B26" s="3" t="s">
        <v>2540</v>
      </c>
      <c r="C26" s="3" t="s">
        <v>2479</v>
      </c>
      <c r="D26" s="5" t="s">
        <v>2480</v>
      </c>
      <c r="E26" s="5" t="s">
        <v>2481</v>
      </c>
      <c r="F26" s="3">
        <v>0</v>
      </c>
      <c r="G26" s="3">
        <v>0</v>
      </c>
      <c r="H26" s="3">
        <v>0</v>
      </c>
      <c r="I26" s="3">
        <v>50</v>
      </c>
      <c r="J26" s="3">
        <v>20</v>
      </c>
      <c r="K26" s="3">
        <v>0.95</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1940</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row>
    <row r="27" spans="1:73" ht="15.75" customHeight="1" x14ac:dyDescent="0.2">
      <c r="A27" s="3">
        <f t="shared" si="0"/>
        <v>25</v>
      </c>
      <c r="B27" s="3" t="s">
        <v>2541</v>
      </c>
      <c r="C27" s="3" t="s">
        <v>2452</v>
      </c>
      <c r="D27" s="5" t="s">
        <v>2451</v>
      </c>
      <c r="E27" s="5" t="s">
        <v>3558</v>
      </c>
      <c r="F27" s="3">
        <v>0</v>
      </c>
      <c r="G27" s="3">
        <v>0</v>
      </c>
      <c r="H27" s="3">
        <v>0</v>
      </c>
      <c r="I27" s="3">
        <v>50</v>
      </c>
      <c r="J27" s="3">
        <v>20</v>
      </c>
      <c r="K27" s="3">
        <v>0.95</v>
      </c>
      <c r="L27" s="3">
        <v>0</v>
      </c>
      <c r="M27" s="3">
        <v>5</v>
      </c>
      <c r="N27" s="3">
        <v>0</v>
      </c>
      <c r="O27" s="3">
        <v>3</v>
      </c>
      <c r="P27" s="3">
        <v>0</v>
      </c>
      <c r="Q27" s="3">
        <v>5</v>
      </c>
      <c r="R27" s="3">
        <v>15</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1940</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2489</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row>
    <row r="28" spans="1:73" ht="15.75" customHeight="1" x14ac:dyDescent="0.2">
      <c r="A28" s="3">
        <f t="shared" si="0"/>
        <v>26</v>
      </c>
      <c r="B28" s="3" t="s">
        <v>3566</v>
      </c>
      <c r="C28" s="3" t="s">
        <v>3566</v>
      </c>
      <c r="D28" s="5" t="s">
        <v>3565</v>
      </c>
      <c r="E28" s="5" t="s">
        <v>3567</v>
      </c>
      <c r="F28" s="3">
        <v>0</v>
      </c>
      <c r="G28" s="3">
        <v>0</v>
      </c>
      <c r="H28" s="3">
        <v>0</v>
      </c>
      <c r="I28" s="3">
        <v>50</v>
      </c>
      <c r="J28" s="3">
        <v>20</v>
      </c>
      <c r="K28" s="3">
        <v>0.95</v>
      </c>
      <c r="L28" s="3">
        <v>0</v>
      </c>
      <c r="M28" s="3">
        <v>3</v>
      </c>
      <c r="N28" s="3">
        <v>15</v>
      </c>
      <c r="O28" s="3">
        <v>0</v>
      </c>
      <c r="P28" s="3">
        <v>0</v>
      </c>
      <c r="Q28" s="3">
        <v>0</v>
      </c>
      <c r="R28" s="3">
        <v>10</v>
      </c>
      <c r="S28" s="3">
        <v>0</v>
      </c>
      <c r="T28" s="3">
        <v>0</v>
      </c>
      <c r="U28" s="3">
        <v>0</v>
      </c>
      <c r="V28" s="3">
        <v>0</v>
      </c>
      <c r="W28" s="3">
        <v>-3</v>
      </c>
      <c r="X28" s="3">
        <v>0</v>
      </c>
      <c r="Y28" s="3">
        <v>0</v>
      </c>
      <c r="Z28" s="3">
        <v>0</v>
      </c>
      <c r="AA28" s="3">
        <v>6</v>
      </c>
      <c r="AB28" s="3">
        <v>0</v>
      </c>
      <c r="AC28" s="3">
        <v>0</v>
      </c>
      <c r="AD28" s="3">
        <v>0</v>
      </c>
      <c r="AE28" s="3">
        <v>5</v>
      </c>
      <c r="AF28" s="3">
        <v>-10</v>
      </c>
      <c r="AG28" s="3">
        <v>0</v>
      </c>
      <c r="AH28" s="3">
        <v>0</v>
      </c>
      <c r="AI28" s="3">
        <v>0</v>
      </c>
      <c r="AJ28" s="3">
        <v>0</v>
      </c>
      <c r="AK28" s="3">
        <v>0</v>
      </c>
      <c r="AL28" s="3" t="s">
        <v>17</v>
      </c>
      <c r="AM28" s="3" t="s">
        <v>168</v>
      </c>
      <c r="AN28" s="3" t="s">
        <v>1940</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936</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row>
    <row r="29" spans="1:73" ht="15.75" customHeight="1" x14ac:dyDescent="0.2">
      <c r="A29" s="3">
        <f t="shared" si="0"/>
        <v>27</v>
      </c>
      <c r="B29" s="3" t="s">
        <v>324</v>
      </c>
      <c r="C29" s="3" t="s">
        <v>324</v>
      </c>
      <c r="D29" s="25" t="s">
        <v>913</v>
      </c>
      <c r="E29" s="4" t="s">
        <v>934</v>
      </c>
      <c r="F29" s="3">
        <v>0</v>
      </c>
      <c r="G29" s="3">
        <v>0</v>
      </c>
      <c r="H29" s="3">
        <v>0</v>
      </c>
      <c r="I29" s="3">
        <v>50</v>
      </c>
      <c r="J29" s="3">
        <v>20</v>
      </c>
      <c r="K29" s="3">
        <v>0.95</v>
      </c>
      <c r="L29" s="3">
        <v>0</v>
      </c>
      <c r="M29" s="3">
        <v>10</v>
      </c>
      <c r="N29" s="3">
        <v>10</v>
      </c>
      <c r="O29" s="3">
        <v>0</v>
      </c>
      <c r="P29" s="3">
        <v>10</v>
      </c>
      <c r="Q29" s="3">
        <v>10</v>
      </c>
      <c r="R29" s="3">
        <v>10</v>
      </c>
      <c r="S29" s="3">
        <v>0</v>
      </c>
      <c r="T29" s="3">
        <v>0</v>
      </c>
      <c r="U29" s="3">
        <v>0</v>
      </c>
      <c r="V29" s="3">
        <v>0</v>
      </c>
      <c r="W29" s="3">
        <v>0</v>
      </c>
      <c r="X29" s="3">
        <v>0</v>
      </c>
      <c r="Y29" s="3">
        <v>0</v>
      </c>
      <c r="Z29" s="3">
        <v>0</v>
      </c>
      <c r="AA29" s="3">
        <v>0</v>
      </c>
      <c r="AB29" s="3">
        <v>0</v>
      </c>
      <c r="AC29" s="3">
        <v>0</v>
      </c>
      <c r="AD29" s="3">
        <v>0</v>
      </c>
      <c r="AE29" s="3">
        <v>-10</v>
      </c>
      <c r="AF29" s="3">
        <v>10</v>
      </c>
      <c r="AG29" s="3">
        <v>5</v>
      </c>
      <c r="AH29" s="3">
        <v>0</v>
      </c>
      <c r="AI29" s="3">
        <v>5</v>
      </c>
      <c r="AJ29" s="3">
        <v>0</v>
      </c>
      <c r="AK29" s="3">
        <v>0</v>
      </c>
      <c r="AL29" s="3" t="s">
        <v>17</v>
      </c>
      <c r="AM29" s="3" t="s">
        <v>168</v>
      </c>
      <c r="AN29" s="3" t="s">
        <v>1940</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330</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row>
    <row r="30" spans="1:73" ht="15.75" customHeight="1" x14ac:dyDescent="0.2">
      <c r="A30" s="3">
        <f t="shared" si="0"/>
        <v>28</v>
      </c>
      <c r="B30" s="3" t="s">
        <v>2539</v>
      </c>
      <c r="C30" s="3" t="s">
        <v>2454</v>
      </c>
      <c r="D30" s="5" t="s">
        <v>2453</v>
      </c>
      <c r="E30" s="5" t="s">
        <v>3559</v>
      </c>
      <c r="F30" s="3">
        <v>0</v>
      </c>
      <c r="G30" s="3">
        <v>0</v>
      </c>
      <c r="H30" s="3">
        <v>0</v>
      </c>
      <c r="I30" s="3">
        <v>50</v>
      </c>
      <c r="J30" s="3">
        <v>20</v>
      </c>
      <c r="K30" s="3">
        <v>0.95</v>
      </c>
      <c r="L30" s="3">
        <v>0</v>
      </c>
      <c r="M30" s="3">
        <v>12</v>
      </c>
      <c r="N30" s="3">
        <v>0</v>
      </c>
      <c r="O30" s="3">
        <v>0</v>
      </c>
      <c r="P30" s="3">
        <v>15</v>
      </c>
      <c r="Q30" s="3">
        <v>-20</v>
      </c>
      <c r="R30" s="3">
        <v>-5</v>
      </c>
      <c r="S30" s="3">
        <v>30</v>
      </c>
      <c r="T30" s="3">
        <v>0</v>
      </c>
      <c r="U30" s="3">
        <v>0</v>
      </c>
      <c r="V30" s="3">
        <v>0</v>
      </c>
      <c r="W30" s="3">
        <v>-3</v>
      </c>
      <c r="X30" s="3">
        <v>0</v>
      </c>
      <c r="Y30" s="3">
        <v>0</v>
      </c>
      <c r="Z30" s="3">
        <v>0</v>
      </c>
      <c r="AA30" s="3">
        <v>0</v>
      </c>
      <c r="AB30" s="3">
        <v>0</v>
      </c>
      <c r="AC30" s="3">
        <v>0</v>
      </c>
      <c r="AD30" s="3">
        <v>0</v>
      </c>
      <c r="AE30" s="3">
        <v>0</v>
      </c>
      <c r="AF30" s="3">
        <v>0</v>
      </c>
      <c r="AG30" s="3">
        <v>0</v>
      </c>
      <c r="AH30" s="3">
        <v>0</v>
      </c>
      <c r="AI30" s="3">
        <v>0</v>
      </c>
      <c r="AJ30" s="3">
        <v>0</v>
      </c>
      <c r="AK30" s="3">
        <v>0</v>
      </c>
      <c r="AL30" s="3" t="s">
        <v>17</v>
      </c>
      <c r="AM30" s="3" t="s">
        <v>168</v>
      </c>
      <c r="AN30" s="3" t="s">
        <v>2945</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row>
    <row r="31" spans="1:73" ht="15.75" customHeight="1" x14ac:dyDescent="0.2">
      <c r="A31" s="3">
        <f t="shared" si="0"/>
        <v>29</v>
      </c>
      <c r="B31" s="3" t="s">
        <v>1916</v>
      </c>
      <c r="C31" s="3" t="s">
        <v>1916</v>
      </c>
      <c r="D31" s="5" t="s">
        <v>1917</v>
      </c>
      <c r="E31" s="5" t="s">
        <v>1918</v>
      </c>
      <c r="F31" s="3">
        <v>0</v>
      </c>
      <c r="G31" s="3">
        <v>0</v>
      </c>
      <c r="H31" s="3">
        <v>0</v>
      </c>
      <c r="I31" s="3">
        <v>50</v>
      </c>
      <c r="J31" s="3">
        <v>3</v>
      </c>
      <c r="K31" s="3">
        <v>0.98</v>
      </c>
      <c r="L31" s="3">
        <v>0</v>
      </c>
      <c r="M31" s="3">
        <v>10</v>
      </c>
      <c r="N31" s="3">
        <v>0</v>
      </c>
      <c r="O31" s="3">
        <v>0</v>
      </c>
      <c r="P31" s="3">
        <v>0</v>
      </c>
      <c r="Q31" s="3">
        <v>0</v>
      </c>
      <c r="R31" s="3">
        <v>10</v>
      </c>
      <c r="S31" s="3">
        <v>0</v>
      </c>
      <c r="T31" s="3">
        <v>0</v>
      </c>
      <c r="U31" s="3">
        <v>0</v>
      </c>
      <c r="V31" s="3">
        <v>0</v>
      </c>
      <c r="W31" s="3">
        <v>-3</v>
      </c>
      <c r="X31" s="3">
        <v>0</v>
      </c>
      <c r="Y31" s="3">
        <v>0</v>
      </c>
      <c r="Z31" s="3">
        <v>0</v>
      </c>
      <c r="AA31" s="3">
        <v>0</v>
      </c>
      <c r="AB31" s="3">
        <v>0</v>
      </c>
      <c r="AC31" s="3">
        <v>0</v>
      </c>
      <c r="AD31" s="3">
        <v>0</v>
      </c>
      <c r="AE31" s="3">
        <v>0</v>
      </c>
      <c r="AF31" s="3">
        <v>0</v>
      </c>
      <c r="AG31" s="3">
        <v>0</v>
      </c>
      <c r="AH31" s="3">
        <v>0</v>
      </c>
      <c r="AI31" s="3">
        <v>5</v>
      </c>
      <c r="AJ31" s="3">
        <v>0</v>
      </c>
      <c r="AK31" s="3">
        <v>0</v>
      </c>
      <c r="AL31" s="3" t="s">
        <v>17</v>
      </c>
      <c r="AM31" s="3" t="s">
        <v>168</v>
      </c>
      <c r="AN31" s="3" t="s">
        <v>2227</v>
      </c>
      <c r="AO31" s="3" t="s">
        <v>50</v>
      </c>
      <c r="AP31" s="3">
        <v>0</v>
      </c>
      <c r="AQ31" s="3">
        <v>0</v>
      </c>
      <c r="AR31">
        <v>0</v>
      </c>
      <c r="AS31">
        <v>1</v>
      </c>
      <c r="AT31" s="6" t="s">
        <v>50</v>
      </c>
      <c r="AU31" s="6" t="s">
        <v>50</v>
      </c>
      <c r="AV31" s="6" t="s">
        <v>50</v>
      </c>
      <c r="AW31" s="6" t="s">
        <v>50</v>
      </c>
      <c r="AX31" s="6" t="s">
        <v>50</v>
      </c>
      <c r="AY31" s="6" t="s">
        <v>50</v>
      </c>
      <c r="AZ31" s="6" t="s">
        <v>50</v>
      </c>
      <c r="BA31" s="6" t="s">
        <v>50</v>
      </c>
      <c r="BB31" s="6" t="s">
        <v>50</v>
      </c>
      <c r="BC31" s="6" t="s">
        <v>50</v>
      </c>
      <c r="BD31" s="6" t="s">
        <v>2267</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30</v>
      </c>
      <c r="B32" s="3" t="s">
        <v>1913</v>
      </c>
      <c r="C32" s="3" t="s">
        <v>1913</v>
      </c>
      <c r="D32" s="5" t="s">
        <v>1914</v>
      </c>
      <c r="E32" s="5" t="s">
        <v>1915</v>
      </c>
      <c r="F32" s="3">
        <v>0</v>
      </c>
      <c r="G32" s="3">
        <v>0</v>
      </c>
      <c r="H32" s="3">
        <v>0</v>
      </c>
      <c r="I32" s="3">
        <v>50</v>
      </c>
      <c r="J32" s="3">
        <v>30</v>
      </c>
      <c r="K32" s="3">
        <v>0.95</v>
      </c>
      <c r="L32" s="3">
        <v>0</v>
      </c>
      <c r="M32" s="3">
        <v>20</v>
      </c>
      <c r="N32" s="3">
        <v>10</v>
      </c>
      <c r="O32" s="3">
        <v>10</v>
      </c>
      <c r="P32" s="3">
        <v>13</v>
      </c>
      <c r="Q32" s="3">
        <v>0</v>
      </c>
      <c r="R32" s="3">
        <v>35</v>
      </c>
      <c r="S32" s="3">
        <v>10</v>
      </c>
      <c r="T32" s="3">
        <v>0</v>
      </c>
      <c r="U32" s="3">
        <v>0</v>
      </c>
      <c r="V32" s="3">
        <v>0</v>
      </c>
      <c r="W32" s="3">
        <v>-3</v>
      </c>
      <c r="X32" s="3">
        <v>0</v>
      </c>
      <c r="Y32" s="3">
        <v>0</v>
      </c>
      <c r="Z32" s="3">
        <v>0</v>
      </c>
      <c r="AA32" s="3">
        <v>12</v>
      </c>
      <c r="AB32" s="3">
        <v>0</v>
      </c>
      <c r="AC32" s="3">
        <v>0</v>
      </c>
      <c r="AD32" s="3">
        <v>0</v>
      </c>
      <c r="AE32" s="3">
        <v>0</v>
      </c>
      <c r="AF32" s="3">
        <v>0</v>
      </c>
      <c r="AG32" s="3">
        <v>0</v>
      </c>
      <c r="AH32" s="3">
        <v>0</v>
      </c>
      <c r="AI32" s="3">
        <v>5</v>
      </c>
      <c r="AJ32" s="3">
        <v>0</v>
      </c>
      <c r="AK32" s="3">
        <v>0</v>
      </c>
      <c r="AL32" s="3" t="s">
        <v>17</v>
      </c>
      <c r="AM32" s="3" t="s">
        <v>168</v>
      </c>
      <c r="AN32" s="3" t="s">
        <v>2227</v>
      </c>
      <c r="AO32" s="3" t="s">
        <v>50</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2273</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row>
    <row r="33" spans="1:73" ht="15.75" customHeight="1" x14ac:dyDescent="0.2">
      <c r="A33" s="3">
        <f t="shared" si="0"/>
        <v>31</v>
      </c>
      <c r="B33" s="3" t="s">
        <v>2032</v>
      </c>
      <c r="C33" s="3" t="s">
        <v>2032</v>
      </c>
      <c r="D33" s="5" t="s">
        <v>2551</v>
      </c>
      <c r="E33" s="5" t="s">
        <v>2467</v>
      </c>
      <c r="F33" s="3">
        <v>0</v>
      </c>
      <c r="G33" s="3">
        <v>0</v>
      </c>
      <c r="H33" s="3">
        <v>0</v>
      </c>
      <c r="I33" s="3">
        <v>50</v>
      </c>
      <c r="J33" s="3">
        <v>20</v>
      </c>
      <c r="K33" s="3">
        <v>0.95</v>
      </c>
      <c r="L33" s="3">
        <v>0</v>
      </c>
      <c r="M33" s="3">
        <v>30</v>
      </c>
      <c r="N33" s="3">
        <v>0</v>
      </c>
      <c r="O33" s="3">
        <v>0</v>
      </c>
      <c r="P33" s="3">
        <v>20</v>
      </c>
      <c r="Q33" s="3">
        <v>0</v>
      </c>
      <c r="R33" s="3">
        <v>35</v>
      </c>
      <c r="S33" s="3">
        <v>15</v>
      </c>
      <c r="T33" s="3">
        <v>0</v>
      </c>
      <c r="U33" s="3">
        <v>0</v>
      </c>
      <c r="V33" s="3">
        <v>0</v>
      </c>
      <c r="W33" s="3">
        <v>-3</v>
      </c>
      <c r="X33" s="3">
        <v>0</v>
      </c>
      <c r="Y33" s="3">
        <v>0</v>
      </c>
      <c r="Z33" s="3">
        <v>0</v>
      </c>
      <c r="AA33" s="3">
        <v>0</v>
      </c>
      <c r="AB33" s="3">
        <v>0</v>
      </c>
      <c r="AC33" s="3">
        <v>12</v>
      </c>
      <c r="AD33" s="3">
        <v>0</v>
      </c>
      <c r="AE33" s="3">
        <v>0</v>
      </c>
      <c r="AF33" s="3">
        <v>0</v>
      </c>
      <c r="AG33" s="3">
        <v>0</v>
      </c>
      <c r="AH33" s="3">
        <v>0</v>
      </c>
      <c r="AI33" s="3">
        <v>5</v>
      </c>
      <c r="AJ33" s="3">
        <v>0</v>
      </c>
      <c r="AK33" s="3">
        <v>0</v>
      </c>
      <c r="AL33" s="3" t="s">
        <v>17</v>
      </c>
      <c r="AM33" s="3" t="s">
        <v>168</v>
      </c>
      <c r="AN33" s="3" t="s">
        <v>2227</v>
      </c>
      <c r="AO33" s="3" t="s">
        <v>50</v>
      </c>
      <c r="AP33" s="3">
        <v>0</v>
      </c>
      <c r="AQ33" s="3">
        <v>0</v>
      </c>
      <c r="AR33">
        <v>0</v>
      </c>
      <c r="AS33">
        <v>50</v>
      </c>
      <c r="AT33" s="6" t="s">
        <v>50</v>
      </c>
      <c r="AU33" s="6" t="s">
        <v>50</v>
      </c>
      <c r="AV33" s="6" t="s">
        <v>50</v>
      </c>
      <c r="AW33" s="6" t="s">
        <v>50</v>
      </c>
      <c r="AX33" s="6" t="s">
        <v>50</v>
      </c>
      <c r="AY33" s="6" t="s">
        <v>50</v>
      </c>
      <c r="AZ33" s="6" t="s">
        <v>50</v>
      </c>
      <c r="BA33" s="6" t="s">
        <v>50</v>
      </c>
      <c r="BB33" s="6" t="s">
        <v>50</v>
      </c>
      <c r="BC33" s="6" t="s">
        <v>50</v>
      </c>
      <c r="BD33" s="6" t="s">
        <v>2274</v>
      </c>
      <c r="BE33" s="6" t="s">
        <v>50</v>
      </c>
      <c r="BF33" s="6" t="s">
        <v>50</v>
      </c>
      <c r="BG33" s="6" t="s">
        <v>50</v>
      </c>
      <c r="BH33" s="6" t="s">
        <v>50</v>
      </c>
      <c r="BI33">
        <v>1</v>
      </c>
      <c r="BJ33">
        <v>0</v>
      </c>
      <c r="BK33">
        <v>2</v>
      </c>
      <c r="BL33">
        <v>0</v>
      </c>
      <c r="BM33">
        <v>0</v>
      </c>
      <c r="BN33">
        <v>0</v>
      </c>
      <c r="BO33">
        <v>0</v>
      </c>
      <c r="BP33" s="6" t="s">
        <v>50</v>
      </c>
      <c r="BQ33">
        <v>0</v>
      </c>
      <c r="BR33" s="6" t="s">
        <v>50</v>
      </c>
      <c r="BS33">
        <v>0</v>
      </c>
      <c r="BT33" s="6" t="s">
        <v>50</v>
      </c>
      <c r="BU33">
        <v>0</v>
      </c>
    </row>
    <row r="34" spans="1:73" ht="15.75" customHeight="1" x14ac:dyDescent="0.2">
      <c r="A34" s="3">
        <f t="shared" si="0"/>
        <v>32</v>
      </c>
      <c r="B34" s="3" t="s">
        <v>2244</v>
      </c>
      <c r="C34" s="3" t="s">
        <v>2244</v>
      </c>
      <c r="D34" s="5" t="s">
        <v>2557</v>
      </c>
      <c r="E34" s="5" t="s">
        <v>2558</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0</v>
      </c>
      <c r="AB34" s="3">
        <v>12</v>
      </c>
      <c r="AC34" s="3">
        <v>0</v>
      </c>
      <c r="AD34" s="3">
        <v>0</v>
      </c>
      <c r="AE34" s="3">
        <v>0</v>
      </c>
      <c r="AF34" s="3">
        <v>0</v>
      </c>
      <c r="AG34" s="3">
        <v>0</v>
      </c>
      <c r="AH34" s="3">
        <v>0</v>
      </c>
      <c r="AI34" s="3">
        <v>5</v>
      </c>
      <c r="AJ34" s="3">
        <v>0</v>
      </c>
      <c r="AK34" s="3">
        <v>0</v>
      </c>
      <c r="AL34" s="3" t="s">
        <v>17</v>
      </c>
      <c r="AM34" s="3" t="s">
        <v>168</v>
      </c>
      <c r="AN34" s="3" t="s">
        <v>2227</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2275</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row>
    <row r="35" spans="1:73" ht="15.75" customHeight="1" x14ac:dyDescent="0.2">
      <c r="A35" s="3">
        <f t="shared" si="0"/>
        <v>33</v>
      </c>
      <c r="B35" s="3" t="s">
        <v>2553</v>
      </c>
      <c r="C35" s="3" t="s">
        <v>2465</v>
      </c>
      <c r="D35" s="5" t="s">
        <v>2464</v>
      </c>
      <c r="E35" s="5" t="s">
        <v>2466</v>
      </c>
      <c r="F35" s="3">
        <v>0</v>
      </c>
      <c r="G35" s="3">
        <v>0</v>
      </c>
      <c r="H35" s="3">
        <v>0</v>
      </c>
      <c r="I35" s="3">
        <v>50</v>
      </c>
      <c r="J35" s="3">
        <v>30</v>
      </c>
      <c r="K35" s="3">
        <v>0.95</v>
      </c>
      <c r="L35" s="3">
        <v>0</v>
      </c>
      <c r="M35" s="3">
        <v>16</v>
      </c>
      <c r="N35" s="3">
        <v>10</v>
      </c>
      <c r="O35" s="3">
        <v>3</v>
      </c>
      <c r="P35" s="3">
        <v>13</v>
      </c>
      <c r="Q35" s="3">
        <v>0</v>
      </c>
      <c r="R35" s="3">
        <v>35</v>
      </c>
      <c r="S35" s="3">
        <v>10</v>
      </c>
      <c r="T35" s="3">
        <v>0</v>
      </c>
      <c r="U35" s="3">
        <v>0</v>
      </c>
      <c r="V35" s="3">
        <v>0</v>
      </c>
      <c r="W35" s="3">
        <v>-3</v>
      </c>
      <c r="X35" s="3">
        <v>0</v>
      </c>
      <c r="Y35" s="3">
        <v>0</v>
      </c>
      <c r="Z35" s="3">
        <v>0</v>
      </c>
      <c r="AA35" s="3">
        <v>2</v>
      </c>
      <c r="AB35" s="3">
        <v>0</v>
      </c>
      <c r="AC35" s="3">
        <v>6</v>
      </c>
      <c r="AD35" s="3">
        <v>0</v>
      </c>
      <c r="AE35" s="3">
        <v>-3</v>
      </c>
      <c r="AF35" s="3">
        <v>5</v>
      </c>
      <c r="AG35" s="3">
        <v>6</v>
      </c>
      <c r="AH35" s="3">
        <v>0</v>
      </c>
      <c r="AI35" s="3">
        <v>5</v>
      </c>
      <c r="AJ35" s="3">
        <v>0</v>
      </c>
      <c r="AK35" s="3">
        <v>0</v>
      </c>
      <c r="AL35" s="3" t="s">
        <v>17</v>
      </c>
      <c r="AM35" s="3" t="s">
        <v>168</v>
      </c>
      <c r="AN35" s="3" t="s">
        <v>2227</v>
      </c>
      <c r="AO35" s="3" t="s">
        <v>50</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2490</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row>
    <row r="36" spans="1:73" ht="15.75" customHeight="1" x14ac:dyDescent="0.2">
      <c r="A36" s="3">
        <f t="shared" si="0"/>
        <v>34</v>
      </c>
      <c r="B36" s="3" t="s">
        <v>2552</v>
      </c>
      <c r="C36" s="3" t="s">
        <v>2469</v>
      </c>
      <c r="D36" s="5" t="s">
        <v>2468</v>
      </c>
      <c r="E36" s="5" t="s">
        <v>2562</v>
      </c>
      <c r="F36" s="3">
        <v>0</v>
      </c>
      <c r="G36" s="3">
        <v>0</v>
      </c>
      <c r="H36" s="3">
        <v>0</v>
      </c>
      <c r="I36" s="3">
        <v>50</v>
      </c>
      <c r="J36" s="3">
        <v>30</v>
      </c>
      <c r="K36" s="3">
        <v>0.95</v>
      </c>
      <c r="L36" s="3">
        <v>0</v>
      </c>
      <c r="M36" s="3">
        <v>16</v>
      </c>
      <c r="N36" s="3">
        <v>10</v>
      </c>
      <c r="O36" s="3">
        <v>7</v>
      </c>
      <c r="P36" s="3">
        <v>13</v>
      </c>
      <c r="Q36" s="3">
        <v>0</v>
      </c>
      <c r="R36" s="3">
        <v>35</v>
      </c>
      <c r="S36" s="3">
        <v>10</v>
      </c>
      <c r="T36" s="3">
        <v>0</v>
      </c>
      <c r="U36" s="3">
        <v>0</v>
      </c>
      <c r="V36" s="3">
        <v>0</v>
      </c>
      <c r="W36" s="3">
        <v>-3</v>
      </c>
      <c r="X36" s="3">
        <v>0</v>
      </c>
      <c r="Y36" s="3">
        <v>0</v>
      </c>
      <c r="Z36" s="3">
        <v>0</v>
      </c>
      <c r="AA36" s="3">
        <v>0</v>
      </c>
      <c r="AB36" s="3">
        <v>0</v>
      </c>
      <c r="AC36" s="3">
        <v>3</v>
      </c>
      <c r="AD36" s="3">
        <v>0</v>
      </c>
      <c r="AE36" s="3">
        <v>5</v>
      </c>
      <c r="AF36" s="3">
        <v>-3</v>
      </c>
      <c r="AG36" s="3">
        <v>6</v>
      </c>
      <c r="AH36" s="3">
        <v>0</v>
      </c>
      <c r="AI36" s="3">
        <v>5</v>
      </c>
      <c r="AJ36" s="3">
        <v>0</v>
      </c>
      <c r="AK36" s="3">
        <v>0</v>
      </c>
      <c r="AL36" s="3" t="s">
        <v>17</v>
      </c>
      <c r="AM36" s="3" t="s">
        <v>168</v>
      </c>
      <c r="AN36" s="3" t="s">
        <v>2227</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2491</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row>
    <row r="37" spans="1:73" ht="15.75" customHeight="1" x14ac:dyDescent="0.2">
      <c r="A37" s="3">
        <f t="shared" si="0"/>
        <v>35</v>
      </c>
      <c r="B37" s="3" t="s">
        <v>2554</v>
      </c>
      <c r="C37" s="3" t="s">
        <v>2470</v>
      </c>
      <c r="D37" s="5" t="s">
        <v>2475</v>
      </c>
      <c r="E37" s="5" t="s">
        <v>2561</v>
      </c>
      <c r="F37" s="3">
        <v>0</v>
      </c>
      <c r="G37" s="3">
        <v>0</v>
      </c>
      <c r="H37" s="3">
        <v>0</v>
      </c>
      <c r="I37" s="3">
        <v>50</v>
      </c>
      <c r="J37" s="3">
        <v>30</v>
      </c>
      <c r="K37" s="3">
        <v>0.95</v>
      </c>
      <c r="L37" s="3">
        <v>0</v>
      </c>
      <c r="M37" s="3">
        <v>16</v>
      </c>
      <c r="N37" s="3">
        <v>10</v>
      </c>
      <c r="O37" s="3">
        <v>7</v>
      </c>
      <c r="P37" s="3">
        <v>13</v>
      </c>
      <c r="Q37" s="3">
        <v>0</v>
      </c>
      <c r="R37" s="3">
        <v>35</v>
      </c>
      <c r="S37" s="3">
        <v>10</v>
      </c>
      <c r="T37" s="3">
        <v>0</v>
      </c>
      <c r="U37" s="3">
        <v>0</v>
      </c>
      <c r="V37" s="3">
        <v>0</v>
      </c>
      <c r="W37" s="3">
        <v>-3</v>
      </c>
      <c r="X37" s="3">
        <v>0</v>
      </c>
      <c r="Y37" s="3">
        <v>0</v>
      </c>
      <c r="Z37" s="3">
        <v>0</v>
      </c>
      <c r="AA37" s="3">
        <v>0</v>
      </c>
      <c r="AB37" s="3">
        <v>0</v>
      </c>
      <c r="AC37" s="3">
        <v>0</v>
      </c>
      <c r="AD37" s="3">
        <v>0</v>
      </c>
      <c r="AE37" s="3">
        <v>10</v>
      </c>
      <c r="AF37" s="3">
        <v>0</v>
      </c>
      <c r="AG37" s="3">
        <v>6</v>
      </c>
      <c r="AH37" s="3">
        <v>0</v>
      </c>
      <c r="AI37" s="3">
        <v>5</v>
      </c>
      <c r="AJ37" s="3">
        <v>0</v>
      </c>
      <c r="AK37" s="3">
        <v>0</v>
      </c>
      <c r="AL37" s="3" t="s">
        <v>17</v>
      </c>
      <c r="AM37" s="3" t="s">
        <v>168</v>
      </c>
      <c r="AN37" s="3" t="s">
        <v>2227</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2492</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row>
    <row r="38" spans="1:73" ht="15.75" customHeight="1" x14ac:dyDescent="0.2">
      <c r="A38" s="3">
        <f t="shared" si="0"/>
        <v>36</v>
      </c>
      <c r="B38" s="3" t="s">
        <v>2555</v>
      </c>
      <c r="C38" s="3" t="s">
        <v>2471</v>
      </c>
      <c r="D38" s="5" t="s">
        <v>2559</v>
      </c>
      <c r="E38" s="5" t="s">
        <v>2473</v>
      </c>
      <c r="F38" s="3">
        <v>0</v>
      </c>
      <c r="G38" s="3">
        <v>0</v>
      </c>
      <c r="H38" s="3">
        <v>0</v>
      </c>
      <c r="I38" s="3">
        <v>50</v>
      </c>
      <c r="J38" s="3">
        <v>30</v>
      </c>
      <c r="K38" s="3">
        <v>0.95</v>
      </c>
      <c r="L38" s="3">
        <v>0</v>
      </c>
      <c r="M38" s="3">
        <v>16</v>
      </c>
      <c r="N38" s="3">
        <v>10</v>
      </c>
      <c r="O38" s="3">
        <v>10</v>
      </c>
      <c r="P38" s="3">
        <v>13</v>
      </c>
      <c r="Q38" s="3">
        <v>0</v>
      </c>
      <c r="R38" s="3">
        <v>35</v>
      </c>
      <c r="S38" s="3">
        <v>10</v>
      </c>
      <c r="T38" s="3">
        <v>0</v>
      </c>
      <c r="U38" s="3">
        <v>0</v>
      </c>
      <c r="V38" s="3">
        <v>0</v>
      </c>
      <c r="W38" s="3">
        <v>-3</v>
      </c>
      <c r="X38" s="3">
        <v>0</v>
      </c>
      <c r="Y38" s="3">
        <v>0</v>
      </c>
      <c r="Z38" s="3">
        <v>0</v>
      </c>
      <c r="AA38" s="3">
        <v>5</v>
      </c>
      <c r="AB38" s="3">
        <v>0</v>
      </c>
      <c r="AC38" s="3">
        <v>0</v>
      </c>
      <c r="AD38" s="3">
        <v>0</v>
      </c>
      <c r="AE38" s="3">
        <v>0</v>
      </c>
      <c r="AF38" s="3">
        <v>0</v>
      </c>
      <c r="AG38" s="3">
        <v>6</v>
      </c>
      <c r="AH38" s="3">
        <v>0</v>
      </c>
      <c r="AI38" s="3">
        <v>5</v>
      </c>
      <c r="AJ38" s="3">
        <v>0</v>
      </c>
      <c r="AK38" s="3">
        <v>0</v>
      </c>
      <c r="AL38" s="3" t="s">
        <v>17</v>
      </c>
      <c r="AM38" s="3" t="s">
        <v>168</v>
      </c>
      <c r="AN38" s="3" t="s">
        <v>2227</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2493</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row>
    <row r="39" spans="1:73" ht="15.75" customHeight="1" x14ac:dyDescent="0.2">
      <c r="A39" s="3">
        <f t="shared" si="0"/>
        <v>37</v>
      </c>
      <c r="B39" s="3" t="s">
        <v>2556</v>
      </c>
      <c r="C39" s="3" t="s">
        <v>2472</v>
      </c>
      <c r="D39" s="5" t="s">
        <v>2560</v>
      </c>
      <c r="E39" s="5" t="s">
        <v>2474</v>
      </c>
      <c r="F39" s="3">
        <v>0</v>
      </c>
      <c r="G39" s="3">
        <v>0</v>
      </c>
      <c r="H39" s="3">
        <v>0</v>
      </c>
      <c r="I39" s="3">
        <v>50</v>
      </c>
      <c r="J39" s="3">
        <v>30</v>
      </c>
      <c r="K39" s="3">
        <v>0.95</v>
      </c>
      <c r="L39" s="3">
        <v>0</v>
      </c>
      <c r="M39" s="3">
        <v>16</v>
      </c>
      <c r="N39" s="3">
        <v>10</v>
      </c>
      <c r="O39" s="3">
        <v>10</v>
      </c>
      <c r="P39" s="3">
        <v>13</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6</v>
      </c>
      <c r="AH39" s="3">
        <v>0</v>
      </c>
      <c r="AI39" s="3">
        <v>5</v>
      </c>
      <c r="AJ39" s="3">
        <v>0</v>
      </c>
      <c r="AK39" s="3">
        <v>0</v>
      </c>
      <c r="AL39" s="3" t="s">
        <v>17</v>
      </c>
      <c r="AM39" s="3" t="s">
        <v>168</v>
      </c>
      <c r="AN39" s="3" t="s">
        <v>2227</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2494</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row>
    <row r="40" spans="1:73" ht="15.75" customHeight="1" x14ac:dyDescent="0.2">
      <c r="A40" s="3">
        <f t="shared" si="0"/>
        <v>38</v>
      </c>
      <c r="B40" s="3" t="s">
        <v>3591</v>
      </c>
      <c r="C40" s="3" t="s">
        <v>3560</v>
      </c>
      <c r="D40" s="5" t="s">
        <v>3561</v>
      </c>
      <c r="E40" s="5" t="s">
        <v>3562</v>
      </c>
      <c r="F40" s="3">
        <v>0</v>
      </c>
      <c r="G40" s="3">
        <v>0</v>
      </c>
      <c r="H40" s="3">
        <v>0</v>
      </c>
      <c r="I40" s="3">
        <v>50</v>
      </c>
      <c r="J40" s="3">
        <v>30</v>
      </c>
      <c r="K40" s="3">
        <v>0.95</v>
      </c>
      <c r="L40" s="3">
        <v>0</v>
      </c>
      <c r="M40" s="3">
        <v>5</v>
      </c>
      <c r="N40" s="3">
        <v>0</v>
      </c>
      <c r="O40" s="3">
        <v>3</v>
      </c>
      <c r="P40" s="3">
        <v>0</v>
      </c>
      <c r="Q40" s="3">
        <v>5</v>
      </c>
      <c r="R40" s="3">
        <v>30</v>
      </c>
      <c r="S40" s="3">
        <v>-20</v>
      </c>
      <c r="T40" s="3">
        <v>0</v>
      </c>
      <c r="U40" s="3">
        <v>0</v>
      </c>
      <c r="V40" s="3">
        <v>0</v>
      </c>
      <c r="W40" s="3">
        <v>-3</v>
      </c>
      <c r="X40" s="3">
        <v>0</v>
      </c>
      <c r="Y40" s="3">
        <v>0</v>
      </c>
      <c r="Z40" s="3">
        <v>0</v>
      </c>
      <c r="AA40" s="3">
        <v>0</v>
      </c>
      <c r="AB40" s="3">
        <v>0</v>
      </c>
      <c r="AC40" s="3">
        <v>0</v>
      </c>
      <c r="AD40" s="3">
        <v>0</v>
      </c>
      <c r="AE40" s="3">
        <v>0</v>
      </c>
      <c r="AF40" s="3">
        <v>0</v>
      </c>
      <c r="AG40" s="3">
        <v>6</v>
      </c>
      <c r="AH40" s="3">
        <v>0</v>
      </c>
      <c r="AI40" s="3">
        <v>5</v>
      </c>
      <c r="AJ40" s="3">
        <v>0</v>
      </c>
      <c r="AK40" s="3">
        <v>0</v>
      </c>
      <c r="AL40" s="3" t="s">
        <v>17</v>
      </c>
      <c r="AM40" s="3" t="s">
        <v>168</v>
      </c>
      <c r="AN40" s="3" t="s">
        <v>2227</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3592</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row>
    <row r="41" spans="1:73" ht="15.75" customHeight="1" x14ac:dyDescent="0.2">
      <c r="A41" s="3">
        <f t="shared" si="0"/>
        <v>39</v>
      </c>
      <c r="B41" s="3" t="s">
        <v>1919</v>
      </c>
      <c r="C41" s="3" t="s">
        <v>1919</v>
      </c>
      <c r="D41" s="5" t="s">
        <v>1920</v>
      </c>
      <c r="E41" s="5" t="s">
        <v>1921</v>
      </c>
      <c r="F41" s="3">
        <v>0</v>
      </c>
      <c r="G41" s="3">
        <v>0</v>
      </c>
      <c r="H41" s="3">
        <v>0</v>
      </c>
      <c r="I41" s="3">
        <v>50</v>
      </c>
      <c r="J41" s="3">
        <v>30</v>
      </c>
      <c r="K41" s="3">
        <v>0.6</v>
      </c>
      <c r="L41" s="3">
        <v>0</v>
      </c>
      <c r="M41" s="3">
        <v>20</v>
      </c>
      <c r="N41" s="3">
        <v>10</v>
      </c>
      <c r="O41" s="3">
        <v>10</v>
      </c>
      <c r="P41" s="3">
        <v>20</v>
      </c>
      <c r="Q41" s="3">
        <v>0</v>
      </c>
      <c r="R41" s="3">
        <v>35</v>
      </c>
      <c r="S41" s="3">
        <v>10</v>
      </c>
      <c r="T41" s="3">
        <v>0</v>
      </c>
      <c r="U41" s="3">
        <v>0</v>
      </c>
      <c r="V41" s="3">
        <v>0</v>
      </c>
      <c r="W41" s="3">
        <v>-3</v>
      </c>
      <c r="X41" s="3">
        <v>0</v>
      </c>
      <c r="Y41" s="3">
        <v>0</v>
      </c>
      <c r="Z41" s="3">
        <v>0</v>
      </c>
      <c r="AA41" s="3">
        <v>0</v>
      </c>
      <c r="AB41" s="3">
        <v>0</v>
      </c>
      <c r="AC41" s="3">
        <v>0</v>
      </c>
      <c r="AD41" s="3">
        <v>0</v>
      </c>
      <c r="AE41" s="3">
        <v>0</v>
      </c>
      <c r="AF41" s="3">
        <v>0</v>
      </c>
      <c r="AG41" s="3">
        <v>0</v>
      </c>
      <c r="AH41" s="3">
        <v>0</v>
      </c>
      <c r="AI41" s="3">
        <v>10</v>
      </c>
      <c r="AJ41" s="3">
        <v>0</v>
      </c>
      <c r="AK41" s="3">
        <v>0</v>
      </c>
      <c r="AL41" s="3" t="s">
        <v>17</v>
      </c>
      <c r="AM41" s="3" t="s">
        <v>168</v>
      </c>
      <c r="AN41" s="3" t="s">
        <v>2227</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2276</v>
      </c>
      <c r="BE41" s="6" t="s">
        <v>50</v>
      </c>
      <c r="BF41" s="6" t="s">
        <v>50</v>
      </c>
      <c r="BG41" s="6" t="s">
        <v>50</v>
      </c>
      <c r="BH41" s="6" t="s">
        <v>50</v>
      </c>
      <c r="BI41">
        <v>1</v>
      </c>
      <c r="BJ41">
        <v>0</v>
      </c>
      <c r="BK41">
        <v>3</v>
      </c>
      <c r="BL41">
        <v>0</v>
      </c>
      <c r="BM41">
        <v>0</v>
      </c>
      <c r="BN41">
        <v>0</v>
      </c>
      <c r="BO41">
        <v>0</v>
      </c>
      <c r="BP41" s="6" t="s">
        <v>50</v>
      </c>
      <c r="BQ41">
        <v>0</v>
      </c>
      <c r="BR41" s="6" t="s">
        <v>50</v>
      </c>
      <c r="BS41">
        <v>0</v>
      </c>
      <c r="BT41" s="6" t="s">
        <v>50</v>
      </c>
      <c r="BU41">
        <v>0</v>
      </c>
    </row>
    <row r="42" spans="1:73" ht="15.75" customHeight="1" x14ac:dyDescent="0.2">
      <c r="A42" s="3">
        <f t="shared" si="0"/>
        <v>40</v>
      </c>
      <c r="B42" s="3" t="s">
        <v>1922</v>
      </c>
      <c r="C42" s="3" t="s">
        <v>1922</v>
      </c>
      <c r="D42" s="5" t="s">
        <v>1923</v>
      </c>
      <c r="E42" s="5" t="s">
        <v>1924</v>
      </c>
      <c r="F42" s="3">
        <v>0</v>
      </c>
      <c r="G42" s="3">
        <v>0</v>
      </c>
      <c r="H42" s="3">
        <v>0</v>
      </c>
      <c r="I42" s="3">
        <v>50</v>
      </c>
      <c r="J42" s="3">
        <v>30</v>
      </c>
      <c r="K42" s="3">
        <v>0.6</v>
      </c>
      <c r="L42" s="3">
        <v>0</v>
      </c>
      <c r="M42" s="3">
        <v>30</v>
      </c>
      <c r="N42" s="3">
        <v>0</v>
      </c>
      <c r="O42" s="3">
        <v>0</v>
      </c>
      <c r="P42" s="3">
        <v>0</v>
      </c>
      <c r="Q42" s="3">
        <v>0</v>
      </c>
      <c r="R42" s="3">
        <v>10</v>
      </c>
      <c r="S42" s="3">
        <v>30</v>
      </c>
      <c r="T42" s="3">
        <v>0</v>
      </c>
      <c r="U42" s="3">
        <v>0</v>
      </c>
      <c r="V42" s="3">
        <v>0</v>
      </c>
      <c r="W42" s="3">
        <v>-3</v>
      </c>
      <c r="X42" s="3">
        <v>0</v>
      </c>
      <c r="Y42" s="3">
        <v>0</v>
      </c>
      <c r="Z42" s="3">
        <v>0</v>
      </c>
      <c r="AA42" s="3">
        <v>0</v>
      </c>
      <c r="AB42" s="3">
        <v>0</v>
      </c>
      <c r="AC42" s="3">
        <v>0</v>
      </c>
      <c r="AD42" s="3">
        <v>0</v>
      </c>
      <c r="AE42" s="3">
        <v>0</v>
      </c>
      <c r="AF42" s="3">
        <v>0</v>
      </c>
      <c r="AG42" s="3">
        <v>0</v>
      </c>
      <c r="AH42" s="3">
        <v>0</v>
      </c>
      <c r="AI42" s="3">
        <v>10</v>
      </c>
      <c r="AJ42" s="3">
        <v>0</v>
      </c>
      <c r="AK42" s="3">
        <v>0</v>
      </c>
      <c r="AL42" s="3" t="s">
        <v>17</v>
      </c>
      <c r="AM42" s="3" t="s">
        <v>168</v>
      </c>
      <c r="AN42" s="3" t="s">
        <v>2227</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2277</v>
      </c>
      <c r="BE42" s="6" t="s">
        <v>50</v>
      </c>
      <c r="BF42" s="6" t="s">
        <v>50</v>
      </c>
      <c r="BG42" s="6" t="s">
        <v>50</v>
      </c>
      <c r="BH42" s="6" t="s">
        <v>50</v>
      </c>
      <c r="BI42">
        <v>1</v>
      </c>
      <c r="BJ42">
        <v>0</v>
      </c>
      <c r="BK42">
        <v>3</v>
      </c>
      <c r="BL42">
        <v>0</v>
      </c>
      <c r="BM42">
        <v>0</v>
      </c>
      <c r="BN42">
        <v>0</v>
      </c>
      <c r="BO42">
        <v>0</v>
      </c>
      <c r="BP42" s="6" t="s">
        <v>50</v>
      </c>
      <c r="BQ42">
        <v>0</v>
      </c>
      <c r="BR42" s="6" t="s">
        <v>50</v>
      </c>
      <c r="BS42">
        <v>0</v>
      </c>
      <c r="BT42" s="6" t="s">
        <v>50</v>
      </c>
      <c r="BU42">
        <v>0</v>
      </c>
    </row>
    <row r="43" spans="1:73" ht="15.75" customHeight="1" x14ac:dyDescent="0.2">
      <c r="A43" s="3">
        <f t="shared" si="0"/>
        <v>41</v>
      </c>
      <c r="B43" s="3" t="s">
        <v>3632</v>
      </c>
      <c r="C43" s="3" t="s">
        <v>3491</v>
      </c>
      <c r="D43" s="5" t="s">
        <v>3492</v>
      </c>
      <c r="E43" s="5" t="s">
        <v>3493</v>
      </c>
      <c r="F43" s="3">
        <v>0</v>
      </c>
      <c r="G43" s="3">
        <v>0</v>
      </c>
      <c r="H43" s="3">
        <v>0</v>
      </c>
      <c r="I43" s="3">
        <v>50</v>
      </c>
      <c r="J43" s="3">
        <v>30</v>
      </c>
      <c r="K43" s="3">
        <v>0.95</v>
      </c>
      <c r="L43" s="3">
        <v>0</v>
      </c>
      <c r="M43" s="3">
        <v>15</v>
      </c>
      <c r="N43" s="3">
        <v>10</v>
      </c>
      <c r="O43" s="3">
        <v>10</v>
      </c>
      <c r="P43" s="3">
        <v>10</v>
      </c>
      <c r="Q43" s="3">
        <v>10</v>
      </c>
      <c r="R43" s="3">
        <v>10</v>
      </c>
      <c r="S43" s="3">
        <v>0</v>
      </c>
      <c r="T43" s="3">
        <v>0</v>
      </c>
      <c r="U43" s="3">
        <v>0</v>
      </c>
      <c r="V43" s="3">
        <v>0</v>
      </c>
      <c r="W43" s="3">
        <v>-3</v>
      </c>
      <c r="X43" s="3">
        <v>0</v>
      </c>
      <c r="Y43" s="3">
        <v>0</v>
      </c>
      <c r="Z43" s="3">
        <v>0</v>
      </c>
      <c r="AA43" s="3">
        <v>8</v>
      </c>
      <c r="AB43" s="3">
        <v>0</v>
      </c>
      <c r="AC43" s="3">
        <v>0</v>
      </c>
      <c r="AD43" s="3">
        <v>0</v>
      </c>
      <c r="AE43" s="3">
        <v>-20</v>
      </c>
      <c r="AF43" s="3">
        <v>13</v>
      </c>
      <c r="AG43" s="3">
        <v>8</v>
      </c>
      <c r="AH43" s="3">
        <v>0</v>
      </c>
      <c r="AI43" s="3">
        <v>8</v>
      </c>
      <c r="AJ43" s="3">
        <v>0</v>
      </c>
      <c r="AK43" s="3">
        <v>0</v>
      </c>
      <c r="AL43" s="3" t="s">
        <v>17</v>
      </c>
      <c r="AM43" s="3" t="s">
        <v>168</v>
      </c>
      <c r="AN43" s="3" t="s">
        <v>2227</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3557</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row>
    <row r="44" spans="1:73" ht="15.75" customHeight="1" x14ac:dyDescent="0.2">
      <c r="A44" s="3">
        <f t="shared" si="0"/>
        <v>42</v>
      </c>
      <c r="B44" s="3" t="s">
        <v>56</v>
      </c>
      <c r="C44" s="3" t="s">
        <v>56</v>
      </c>
      <c r="D44" s="5" t="s">
        <v>24</v>
      </c>
      <c r="E44" s="5" t="s">
        <v>127</v>
      </c>
      <c r="F44" s="3">
        <v>0</v>
      </c>
      <c r="G44" s="3">
        <v>0</v>
      </c>
      <c r="H44" s="3">
        <v>0</v>
      </c>
      <c r="I44" s="3">
        <v>50</v>
      </c>
      <c r="J44" s="3">
        <v>5</v>
      </c>
      <c r="K44" s="3">
        <v>0.98</v>
      </c>
      <c r="L44" s="3">
        <v>0</v>
      </c>
      <c r="M44" s="3">
        <v>0</v>
      </c>
      <c r="N44" s="3">
        <v>0</v>
      </c>
      <c r="O44" s="3">
        <v>0</v>
      </c>
      <c r="P44" s="3">
        <v>0</v>
      </c>
      <c r="Q44" s="3">
        <v>12</v>
      </c>
      <c r="R44" s="3">
        <v>10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1941</v>
      </c>
      <c r="AO44" s="3" t="s">
        <v>1847</v>
      </c>
      <c r="AP44" s="3">
        <v>0</v>
      </c>
      <c r="AQ44" s="3">
        <v>0</v>
      </c>
      <c r="AR44">
        <v>0</v>
      </c>
      <c r="AS44">
        <v>3</v>
      </c>
      <c r="AT44" s="6" t="s">
        <v>150</v>
      </c>
      <c r="AU44" s="6" t="s">
        <v>150</v>
      </c>
      <c r="AV44" s="6" t="s">
        <v>150</v>
      </c>
      <c r="AW44" s="6" t="s">
        <v>150</v>
      </c>
      <c r="AX44" s="6" t="s">
        <v>150</v>
      </c>
      <c r="AY44" s="6" t="s">
        <v>150</v>
      </c>
      <c r="AZ44" s="6" t="s">
        <v>150</v>
      </c>
      <c r="BA44" s="6" t="s">
        <v>150</v>
      </c>
      <c r="BB44" s="6" t="s">
        <v>150</v>
      </c>
      <c r="BC44" s="6" t="s">
        <v>150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43</v>
      </c>
      <c r="B45" s="3" t="s">
        <v>234</v>
      </c>
      <c r="C45" s="3" t="s">
        <v>234</v>
      </c>
      <c r="D45" s="5" t="s">
        <v>233</v>
      </c>
      <c r="E45" s="5" t="s">
        <v>260</v>
      </c>
      <c r="F45" s="3">
        <v>0</v>
      </c>
      <c r="G45" s="3">
        <v>0</v>
      </c>
      <c r="H45" s="3">
        <v>0</v>
      </c>
      <c r="I45" s="3">
        <v>50</v>
      </c>
      <c r="J45" s="3">
        <v>5</v>
      </c>
      <c r="K45" s="3">
        <v>0.98</v>
      </c>
      <c r="L45" s="3">
        <v>0</v>
      </c>
      <c r="M45" s="3">
        <v>0</v>
      </c>
      <c r="N45" s="3">
        <v>0</v>
      </c>
      <c r="O45" s="3">
        <v>0</v>
      </c>
      <c r="P45" s="3">
        <v>0</v>
      </c>
      <c r="Q45" s="3">
        <v>12</v>
      </c>
      <c r="R45" s="3">
        <v>10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2371</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44</v>
      </c>
      <c r="B46" s="3" t="s">
        <v>259</v>
      </c>
      <c r="C46" s="3" t="s">
        <v>259</v>
      </c>
      <c r="D46" s="5" t="s">
        <v>258</v>
      </c>
      <c r="E46" s="5" t="s">
        <v>261</v>
      </c>
      <c r="F46" s="3">
        <v>0</v>
      </c>
      <c r="G46" s="3">
        <v>0</v>
      </c>
      <c r="H46" s="3">
        <v>0</v>
      </c>
      <c r="I46" s="3">
        <v>50</v>
      </c>
      <c r="J46" s="3">
        <v>5</v>
      </c>
      <c r="K46" s="3">
        <v>0.98</v>
      </c>
      <c r="L46" s="3">
        <v>0</v>
      </c>
      <c r="M46" s="3">
        <v>0</v>
      </c>
      <c r="N46" s="3">
        <v>0</v>
      </c>
      <c r="O46" s="3">
        <v>0</v>
      </c>
      <c r="P46" s="3">
        <v>0</v>
      </c>
      <c r="Q46" s="3">
        <v>12</v>
      </c>
      <c r="R46" s="3">
        <v>10</v>
      </c>
      <c r="S46" s="3">
        <v>0</v>
      </c>
      <c r="T46" s="3">
        <v>0</v>
      </c>
      <c r="U46" s="3">
        <v>0</v>
      </c>
      <c r="V46" s="3">
        <v>-1</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2372</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45</v>
      </c>
      <c r="B47" s="3" t="s">
        <v>929</v>
      </c>
      <c r="C47" s="3" t="s">
        <v>922</v>
      </c>
      <c r="D47" s="5" t="s">
        <v>923</v>
      </c>
      <c r="E47" s="5" t="s">
        <v>924</v>
      </c>
      <c r="F47" s="3">
        <v>0</v>
      </c>
      <c r="G47" s="3">
        <v>0</v>
      </c>
      <c r="H47" s="3">
        <v>0</v>
      </c>
      <c r="I47" s="3">
        <v>50</v>
      </c>
      <c r="J47" s="3">
        <v>5</v>
      </c>
      <c r="K47" s="3">
        <v>0.9</v>
      </c>
      <c r="L47" s="3">
        <v>0</v>
      </c>
      <c r="M47" s="3">
        <v>0</v>
      </c>
      <c r="N47" s="3">
        <v>0</v>
      </c>
      <c r="O47" s="3">
        <v>0</v>
      </c>
      <c r="P47" s="3">
        <v>0</v>
      </c>
      <c r="Q47" s="3">
        <v>40</v>
      </c>
      <c r="R47" s="3">
        <v>20</v>
      </c>
      <c r="S47" s="3">
        <v>0</v>
      </c>
      <c r="T47" s="3">
        <v>0</v>
      </c>
      <c r="U47" s="3">
        <v>0</v>
      </c>
      <c r="V47" s="3">
        <v>-2</v>
      </c>
      <c r="W47" s="3">
        <v>0</v>
      </c>
      <c r="X47" s="3">
        <v>3</v>
      </c>
      <c r="Y47" s="3">
        <v>0</v>
      </c>
      <c r="Z47" s="3">
        <v>0</v>
      </c>
      <c r="AA47" s="3">
        <v>0</v>
      </c>
      <c r="AB47" s="3">
        <v>0</v>
      </c>
      <c r="AC47" s="3">
        <v>0</v>
      </c>
      <c r="AD47" s="3">
        <v>0</v>
      </c>
      <c r="AE47" s="3">
        <v>0</v>
      </c>
      <c r="AF47" s="3">
        <v>0</v>
      </c>
      <c r="AG47" s="3">
        <v>0</v>
      </c>
      <c r="AH47" s="3">
        <v>0</v>
      </c>
      <c r="AI47" s="3">
        <v>0</v>
      </c>
      <c r="AJ47" s="3">
        <v>0</v>
      </c>
      <c r="AK47" s="3">
        <v>0</v>
      </c>
      <c r="AL47" s="3" t="s">
        <v>17</v>
      </c>
      <c r="AM47" s="3" t="s">
        <v>178</v>
      </c>
      <c r="AN47" s="3" t="s">
        <v>1941</v>
      </c>
      <c r="AO47" s="3" t="s">
        <v>1847</v>
      </c>
      <c r="AP47" s="3">
        <v>0</v>
      </c>
      <c r="AQ47" s="3">
        <v>0</v>
      </c>
      <c r="AR47">
        <v>0</v>
      </c>
      <c r="AS47">
        <v>10</v>
      </c>
      <c r="AT47" s="6" t="s">
        <v>50</v>
      </c>
      <c r="AU47" s="6" t="s">
        <v>50</v>
      </c>
      <c r="AV47" s="6" t="s">
        <v>50</v>
      </c>
      <c r="AW47" s="6" t="s">
        <v>50</v>
      </c>
      <c r="AX47" s="6" t="s">
        <v>50</v>
      </c>
      <c r="AY47" s="6" t="s">
        <v>50</v>
      </c>
      <c r="AZ47" s="6" t="s">
        <v>50</v>
      </c>
      <c r="BA47" s="6" t="s">
        <v>50</v>
      </c>
      <c r="BB47" s="6" t="s">
        <v>50</v>
      </c>
      <c r="BC47" s="6" t="s">
        <v>50</v>
      </c>
      <c r="BD47" s="6" t="s">
        <v>925</v>
      </c>
      <c r="BE47" s="6" t="s">
        <v>50</v>
      </c>
      <c r="BF47" s="6" t="s">
        <v>50</v>
      </c>
      <c r="BG47" s="6" t="s">
        <v>50</v>
      </c>
      <c r="BH47" s="6" t="s">
        <v>50</v>
      </c>
      <c r="BI47">
        <v>1</v>
      </c>
      <c r="BJ47">
        <v>0</v>
      </c>
      <c r="BK47">
        <v>3</v>
      </c>
      <c r="BL47">
        <v>0</v>
      </c>
      <c r="BM47">
        <v>0</v>
      </c>
      <c r="BN47">
        <v>0</v>
      </c>
      <c r="BO47">
        <v>0</v>
      </c>
      <c r="BP47" s="6" t="s">
        <v>50</v>
      </c>
      <c r="BQ47">
        <v>0</v>
      </c>
      <c r="BR47" s="6" t="s">
        <v>50</v>
      </c>
      <c r="BS47">
        <v>0</v>
      </c>
      <c r="BT47" s="6" t="s">
        <v>50</v>
      </c>
      <c r="BU47">
        <v>0</v>
      </c>
    </row>
    <row r="48" spans="1:73" ht="15.75" customHeight="1" x14ac:dyDescent="0.2">
      <c r="A48" s="3">
        <f t="shared" si="0"/>
        <v>46</v>
      </c>
      <c r="B48" s="3" t="s">
        <v>234</v>
      </c>
      <c r="C48" s="3" t="s">
        <v>1338</v>
      </c>
      <c r="D48" s="5" t="s">
        <v>1340</v>
      </c>
      <c r="E48" s="5" t="s">
        <v>1342</v>
      </c>
      <c r="F48" s="3">
        <v>0</v>
      </c>
      <c r="G48" s="3">
        <v>0</v>
      </c>
      <c r="H48" s="3">
        <v>0</v>
      </c>
      <c r="I48" s="3">
        <v>50</v>
      </c>
      <c r="J48" s="3">
        <v>5</v>
      </c>
      <c r="K48" s="3">
        <v>0.9</v>
      </c>
      <c r="L48" s="3">
        <v>0</v>
      </c>
      <c r="M48" s="3">
        <v>0</v>
      </c>
      <c r="N48" s="3">
        <v>0</v>
      </c>
      <c r="O48" s="3">
        <v>0</v>
      </c>
      <c r="P48" s="3">
        <v>0</v>
      </c>
      <c r="Q48" s="3">
        <v>40</v>
      </c>
      <c r="R48" s="3">
        <v>20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2371</v>
      </c>
      <c r="AO48" s="3" t="s">
        <v>1847</v>
      </c>
      <c r="AP48" s="3">
        <v>0</v>
      </c>
      <c r="AQ48" s="3">
        <v>0</v>
      </c>
      <c r="AR48">
        <v>0</v>
      </c>
      <c r="AS48">
        <v>10</v>
      </c>
      <c r="AT48" s="6" t="s">
        <v>50</v>
      </c>
      <c r="AU48" s="6" t="s">
        <v>50</v>
      </c>
      <c r="AV48" s="6" t="s">
        <v>50</v>
      </c>
      <c r="AW48" s="6" t="s">
        <v>50</v>
      </c>
      <c r="AX48" s="6" t="s">
        <v>50</v>
      </c>
      <c r="AY48" s="6" t="s">
        <v>50</v>
      </c>
      <c r="AZ48" s="6" t="s">
        <v>50</v>
      </c>
      <c r="BA48" s="6" t="s">
        <v>50</v>
      </c>
      <c r="BB48" s="6" t="s">
        <v>50</v>
      </c>
      <c r="BC48" s="6" t="s">
        <v>50</v>
      </c>
      <c r="BD48" s="6" t="s">
        <v>925</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0"/>
        <v>47</v>
      </c>
      <c r="B49" s="3" t="s">
        <v>259</v>
      </c>
      <c r="C49" s="3" t="s">
        <v>1339</v>
      </c>
      <c r="D49" s="5" t="s">
        <v>1341</v>
      </c>
      <c r="E49" s="5" t="s">
        <v>1343</v>
      </c>
      <c r="F49" s="3">
        <v>0</v>
      </c>
      <c r="G49" s="3">
        <v>0</v>
      </c>
      <c r="H49" s="3">
        <v>0</v>
      </c>
      <c r="I49" s="3">
        <v>50</v>
      </c>
      <c r="J49" s="3">
        <v>5</v>
      </c>
      <c r="K49" s="3">
        <v>0.9</v>
      </c>
      <c r="L49" s="3">
        <v>0</v>
      </c>
      <c r="M49" s="3">
        <v>0</v>
      </c>
      <c r="N49" s="3">
        <v>0</v>
      </c>
      <c r="O49" s="3">
        <v>0</v>
      </c>
      <c r="P49" s="3">
        <v>0</v>
      </c>
      <c r="Q49" s="3">
        <v>40</v>
      </c>
      <c r="R49" s="3">
        <v>20</v>
      </c>
      <c r="S49" s="3">
        <v>0</v>
      </c>
      <c r="T49" s="3">
        <v>0</v>
      </c>
      <c r="U49" s="3">
        <v>0</v>
      </c>
      <c r="V49" s="3">
        <v>-2</v>
      </c>
      <c r="W49" s="3">
        <v>0</v>
      </c>
      <c r="X49" s="3">
        <v>2</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2372</v>
      </c>
      <c r="AO49" s="3" t="s">
        <v>1847</v>
      </c>
      <c r="AP49" s="3">
        <v>0</v>
      </c>
      <c r="AQ49" s="3">
        <v>0</v>
      </c>
      <c r="AR49">
        <v>0</v>
      </c>
      <c r="AS49">
        <v>10</v>
      </c>
      <c r="AT49" s="6" t="s">
        <v>50</v>
      </c>
      <c r="AU49" s="6" t="s">
        <v>50</v>
      </c>
      <c r="AV49" s="6" t="s">
        <v>50</v>
      </c>
      <c r="AW49" s="6" t="s">
        <v>50</v>
      </c>
      <c r="AX49" s="6" t="s">
        <v>50</v>
      </c>
      <c r="AY49" s="6" t="s">
        <v>50</v>
      </c>
      <c r="AZ49" s="6" t="s">
        <v>50</v>
      </c>
      <c r="BA49" s="6" t="s">
        <v>50</v>
      </c>
      <c r="BB49" s="6" t="s">
        <v>50</v>
      </c>
      <c r="BC49" s="6" t="s">
        <v>50</v>
      </c>
      <c r="BD49" s="6" t="s">
        <v>925</v>
      </c>
      <c r="BE49" s="6" t="s">
        <v>50</v>
      </c>
      <c r="BF49" s="6" t="s">
        <v>50</v>
      </c>
      <c r="BG49" s="6" t="s">
        <v>50</v>
      </c>
      <c r="BH49" s="6" t="s">
        <v>50</v>
      </c>
      <c r="BI49">
        <v>1</v>
      </c>
      <c r="BJ49">
        <v>0</v>
      </c>
      <c r="BK49">
        <v>3</v>
      </c>
      <c r="BL49">
        <v>0</v>
      </c>
      <c r="BM49">
        <v>0</v>
      </c>
      <c r="BN49">
        <v>0</v>
      </c>
      <c r="BO49">
        <v>0</v>
      </c>
      <c r="BP49" s="6" t="s">
        <v>50</v>
      </c>
      <c r="BQ49">
        <v>0</v>
      </c>
      <c r="BR49" s="6" t="s">
        <v>50</v>
      </c>
      <c r="BS49">
        <v>0</v>
      </c>
      <c r="BT49" s="6" t="s">
        <v>50</v>
      </c>
      <c r="BU49">
        <v>0</v>
      </c>
    </row>
    <row r="50" spans="1:73" ht="15.75" customHeight="1" x14ac:dyDescent="0.2">
      <c r="A50" s="3">
        <f t="shared" si="0"/>
        <v>48</v>
      </c>
      <c r="B50" s="3" t="s">
        <v>498</v>
      </c>
      <c r="C50" s="3" t="s">
        <v>498</v>
      </c>
      <c r="D50" s="5" t="s">
        <v>499</v>
      </c>
      <c r="E50" s="5" t="s">
        <v>500</v>
      </c>
      <c r="F50" s="3">
        <v>0</v>
      </c>
      <c r="G50" s="3">
        <v>0</v>
      </c>
      <c r="H50" s="3">
        <v>0</v>
      </c>
      <c r="I50" s="3">
        <v>50</v>
      </c>
      <c r="J50" s="3">
        <v>3</v>
      </c>
      <c r="K50" s="3">
        <v>0.95</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17</v>
      </c>
      <c r="AM50" s="3" t="s">
        <v>501</v>
      </c>
      <c r="AN50" s="3" t="s">
        <v>1942</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49</v>
      </c>
      <c r="B51" s="3" t="s">
        <v>28</v>
      </c>
      <c r="C51" s="3" t="s">
        <v>343</v>
      </c>
      <c r="D51" s="5" t="s">
        <v>29</v>
      </c>
      <c r="E51" s="5" t="s">
        <v>128</v>
      </c>
      <c r="F51" s="3">
        <v>0</v>
      </c>
      <c r="G51" s="3">
        <v>0</v>
      </c>
      <c r="H51" s="3">
        <v>0</v>
      </c>
      <c r="I51" s="3">
        <v>50</v>
      </c>
      <c r="J51" s="3">
        <v>8</v>
      </c>
      <c r="K51" s="3">
        <v>0.95</v>
      </c>
      <c r="L51" s="3">
        <v>0</v>
      </c>
      <c r="M51" s="3">
        <v>5</v>
      </c>
      <c r="N51" s="3">
        <v>1</v>
      </c>
      <c r="O51" s="3">
        <v>0</v>
      </c>
      <c r="P51" s="3">
        <v>0</v>
      </c>
      <c r="Q51" s="3">
        <v>3</v>
      </c>
      <c r="R51" s="3">
        <v>3</v>
      </c>
      <c r="S51" s="3">
        <v>-10</v>
      </c>
      <c r="T51" s="3">
        <v>0</v>
      </c>
      <c r="U51" s="3">
        <v>0</v>
      </c>
      <c r="V51" s="3">
        <v>-3</v>
      </c>
      <c r="W51" s="3">
        <v>0</v>
      </c>
      <c r="X51" s="3">
        <v>12</v>
      </c>
      <c r="Y51" s="3">
        <v>0</v>
      </c>
      <c r="Z51" s="3">
        <v>0</v>
      </c>
      <c r="AA51" s="3">
        <v>0</v>
      </c>
      <c r="AB51" s="3">
        <v>0</v>
      </c>
      <c r="AC51" s="3">
        <v>0</v>
      </c>
      <c r="AD51" s="3">
        <v>0</v>
      </c>
      <c r="AE51" s="3">
        <v>0</v>
      </c>
      <c r="AF51" s="3">
        <v>0</v>
      </c>
      <c r="AG51" s="3">
        <v>0</v>
      </c>
      <c r="AH51" s="3">
        <v>0</v>
      </c>
      <c r="AI51" s="3">
        <v>0</v>
      </c>
      <c r="AJ51" s="3">
        <v>0</v>
      </c>
      <c r="AK51" s="3">
        <v>0</v>
      </c>
      <c r="AL51" s="3" t="s">
        <v>17</v>
      </c>
      <c r="AM51" s="3" t="s">
        <v>1159</v>
      </c>
      <c r="AN51" s="3" t="s">
        <v>1943</v>
      </c>
      <c r="AO51" s="3" t="s">
        <v>1847</v>
      </c>
      <c r="AP51" s="3">
        <v>0</v>
      </c>
      <c r="AQ51" s="3">
        <v>0</v>
      </c>
      <c r="AR51">
        <v>0</v>
      </c>
      <c r="AS51">
        <v>1</v>
      </c>
      <c r="AT51" s="6" t="s">
        <v>150</v>
      </c>
      <c r="AU51" s="6" t="s">
        <v>150</v>
      </c>
      <c r="AV51" s="6" t="s">
        <v>150</v>
      </c>
      <c r="AW51" s="6" t="s">
        <v>150</v>
      </c>
      <c r="AX51" s="6" t="s">
        <v>150</v>
      </c>
      <c r="AY51" s="6" t="s">
        <v>150</v>
      </c>
      <c r="AZ51" s="6" t="s">
        <v>150</v>
      </c>
      <c r="BA51" s="6" t="s">
        <v>150</v>
      </c>
      <c r="BB51" s="6" t="s">
        <v>150</v>
      </c>
      <c r="BC51" s="6" t="s">
        <v>150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50</v>
      </c>
      <c r="B52" s="3" t="s">
        <v>1468</v>
      </c>
      <c r="C52" s="3" t="s">
        <v>1156</v>
      </c>
      <c r="D52" s="5" t="s">
        <v>1157</v>
      </c>
      <c r="E52" s="5" t="s">
        <v>1158</v>
      </c>
      <c r="F52" s="3">
        <v>0</v>
      </c>
      <c r="G52" s="3">
        <v>0</v>
      </c>
      <c r="H52" s="3">
        <v>0</v>
      </c>
      <c r="I52" s="3">
        <v>50</v>
      </c>
      <c r="J52" s="3">
        <v>8</v>
      </c>
      <c r="K52" s="3">
        <v>0.85</v>
      </c>
      <c r="L52" s="3">
        <v>0</v>
      </c>
      <c r="M52" s="3">
        <v>15</v>
      </c>
      <c r="N52" s="3">
        <v>1</v>
      </c>
      <c r="O52" s="3">
        <v>0</v>
      </c>
      <c r="P52" s="3">
        <v>5</v>
      </c>
      <c r="Q52" s="3">
        <v>10</v>
      </c>
      <c r="R52" s="3">
        <v>10</v>
      </c>
      <c r="S52" s="3">
        <v>-10</v>
      </c>
      <c r="T52" s="3">
        <v>0</v>
      </c>
      <c r="U52" s="3">
        <v>0</v>
      </c>
      <c r="V52" s="3">
        <v>-3</v>
      </c>
      <c r="W52" s="3">
        <v>0</v>
      </c>
      <c r="X52" s="3">
        <v>12</v>
      </c>
      <c r="Y52" s="3">
        <v>0</v>
      </c>
      <c r="Z52" s="3">
        <v>0</v>
      </c>
      <c r="AA52" s="3">
        <v>0</v>
      </c>
      <c r="AB52" s="3">
        <v>0</v>
      </c>
      <c r="AC52" s="3">
        <v>0</v>
      </c>
      <c r="AD52" s="3">
        <v>0</v>
      </c>
      <c r="AE52" s="3">
        <v>0</v>
      </c>
      <c r="AF52" s="3">
        <v>0</v>
      </c>
      <c r="AG52" s="3">
        <v>0</v>
      </c>
      <c r="AH52" s="3">
        <v>0</v>
      </c>
      <c r="AI52" s="3">
        <v>0</v>
      </c>
      <c r="AJ52" s="3">
        <v>0</v>
      </c>
      <c r="AK52" s="3">
        <v>0</v>
      </c>
      <c r="AL52" s="3" t="s">
        <v>17</v>
      </c>
      <c r="AM52" s="3" t="s">
        <v>1159</v>
      </c>
      <c r="AN52" s="3" t="s">
        <v>1943</v>
      </c>
      <c r="AO52" s="3" t="s">
        <v>1847</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row>
    <row r="53" spans="1:73" s="9" customFormat="1" ht="15.75" customHeight="1" x14ac:dyDescent="0.2">
      <c r="A53" s="7">
        <f t="shared" si="0"/>
        <v>51</v>
      </c>
      <c r="B53" s="7" t="s">
        <v>603</v>
      </c>
      <c r="C53" s="7" t="s">
        <v>836</v>
      </c>
      <c r="D53" s="8" t="s">
        <v>837</v>
      </c>
      <c r="E53" s="8" t="s">
        <v>838</v>
      </c>
      <c r="F53" s="7">
        <v>0</v>
      </c>
      <c r="G53" s="7">
        <v>0</v>
      </c>
      <c r="H53" s="7">
        <v>0</v>
      </c>
      <c r="I53" s="7">
        <v>50</v>
      </c>
      <c r="J53" s="7">
        <v>5</v>
      </c>
      <c r="K53" s="7">
        <v>0.95</v>
      </c>
      <c r="L53" s="7">
        <v>0</v>
      </c>
      <c r="M53" s="7">
        <v>10</v>
      </c>
      <c r="N53" s="7">
        <v>0</v>
      </c>
      <c r="O53" s="7">
        <v>15</v>
      </c>
      <c r="P53" s="7">
        <v>0</v>
      </c>
      <c r="Q53" s="7">
        <v>0</v>
      </c>
      <c r="R53" s="7">
        <v>0</v>
      </c>
      <c r="S53" s="7">
        <v>0</v>
      </c>
      <c r="T53" s="7">
        <v>0</v>
      </c>
      <c r="U53" s="7">
        <v>0</v>
      </c>
      <c r="V53" s="7">
        <v>0</v>
      </c>
      <c r="W53" s="7">
        <v>0</v>
      </c>
      <c r="X53" s="7">
        <v>5</v>
      </c>
      <c r="Y53" s="7">
        <v>0</v>
      </c>
      <c r="Z53" s="7">
        <v>0</v>
      </c>
      <c r="AA53" s="7">
        <v>0</v>
      </c>
      <c r="AB53" s="7">
        <v>0</v>
      </c>
      <c r="AC53" s="7">
        <v>0</v>
      </c>
      <c r="AD53" s="7">
        <v>0</v>
      </c>
      <c r="AE53" s="7">
        <v>0</v>
      </c>
      <c r="AF53" s="7">
        <v>0</v>
      </c>
      <c r="AG53" s="7">
        <v>0</v>
      </c>
      <c r="AH53" s="7">
        <v>0</v>
      </c>
      <c r="AI53" s="7">
        <v>0</v>
      </c>
      <c r="AJ53" s="7">
        <v>0</v>
      </c>
      <c r="AK53" s="7">
        <v>0</v>
      </c>
      <c r="AL53" s="7" t="s">
        <v>51</v>
      </c>
      <c r="AM53" s="7" t="s">
        <v>23</v>
      </c>
      <c r="AN53" s="7" t="s">
        <v>23</v>
      </c>
      <c r="AO53" s="7" t="s">
        <v>1847</v>
      </c>
      <c r="AP53" s="7">
        <v>0</v>
      </c>
      <c r="AQ53" s="7">
        <v>0</v>
      </c>
      <c r="AR53" s="9">
        <v>0</v>
      </c>
      <c r="AS53" s="9">
        <v>1</v>
      </c>
      <c r="AT53" s="10" t="s">
        <v>50</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s="9">
        <v>0</v>
      </c>
      <c r="BN53" s="9">
        <v>0</v>
      </c>
      <c r="BO53" s="9">
        <v>0</v>
      </c>
      <c r="BP53" s="10" t="s">
        <v>50</v>
      </c>
      <c r="BQ53" s="9">
        <v>0</v>
      </c>
      <c r="BR53" s="10" t="s">
        <v>50</v>
      </c>
      <c r="BS53" s="9">
        <v>0</v>
      </c>
      <c r="BT53" s="10" t="s">
        <v>50</v>
      </c>
      <c r="BU53" s="9">
        <v>0</v>
      </c>
    </row>
    <row r="54" spans="1:73" ht="15.75" customHeight="1" x14ac:dyDescent="0.2">
      <c r="A54" s="3">
        <f t="shared" si="0"/>
        <v>52</v>
      </c>
      <c r="B54" s="3" t="s">
        <v>603</v>
      </c>
      <c r="C54" s="3" t="s">
        <v>603</v>
      </c>
      <c r="D54" s="5" t="s">
        <v>524</v>
      </c>
      <c r="E54" s="5" t="s">
        <v>525</v>
      </c>
      <c r="F54" s="3">
        <v>0</v>
      </c>
      <c r="G54" s="3">
        <v>0</v>
      </c>
      <c r="H54" s="3">
        <v>0</v>
      </c>
      <c r="I54" s="3">
        <v>50</v>
      </c>
      <c r="J54" s="3">
        <v>5</v>
      </c>
      <c r="K54" s="3">
        <v>0.95</v>
      </c>
      <c r="L54" s="3">
        <v>0</v>
      </c>
      <c r="M54" s="3">
        <v>2</v>
      </c>
      <c r="N54" s="3">
        <v>0</v>
      </c>
      <c r="O54" s="3">
        <v>15</v>
      </c>
      <c r="P54" s="3">
        <v>0</v>
      </c>
      <c r="Q54" s="3">
        <v>0</v>
      </c>
      <c r="R54" s="3">
        <v>0</v>
      </c>
      <c r="S54" s="3">
        <v>0</v>
      </c>
      <c r="T54" s="3">
        <v>0</v>
      </c>
      <c r="U54" s="3">
        <v>0</v>
      </c>
      <c r="V54" s="3">
        <v>-2</v>
      </c>
      <c r="W54" s="3">
        <v>0</v>
      </c>
      <c r="X54" s="3">
        <v>5</v>
      </c>
      <c r="Y54" s="3">
        <v>0</v>
      </c>
      <c r="Z54" s="3">
        <v>0</v>
      </c>
      <c r="AA54" s="3">
        <v>0</v>
      </c>
      <c r="AB54" s="3">
        <v>0</v>
      </c>
      <c r="AC54" s="3">
        <v>0</v>
      </c>
      <c r="AD54" s="3">
        <v>0</v>
      </c>
      <c r="AE54" s="3">
        <v>0</v>
      </c>
      <c r="AF54" s="3">
        <v>0</v>
      </c>
      <c r="AG54" s="3">
        <v>0</v>
      </c>
      <c r="AH54" s="3">
        <v>0</v>
      </c>
      <c r="AI54" s="3">
        <v>0</v>
      </c>
      <c r="AJ54" s="3">
        <v>0</v>
      </c>
      <c r="AK54" s="3">
        <v>0</v>
      </c>
      <c r="AL54" s="3" t="s">
        <v>51</v>
      </c>
      <c r="AM54" s="3" t="s">
        <v>3504</v>
      </c>
      <c r="AN54" s="3" t="s">
        <v>1944</v>
      </c>
      <c r="AO54" s="3" t="s">
        <v>1847</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556</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53</v>
      </c>
      <c r="B55" s="3" t="s">
        <v>198</v>
      </c>
      <c r="C55" s="3" t="s">
        <v>955</v>
      </c>
      <c r="D55" s="5" t="s">
        <v>953</v>
      </c>
      <c r="E55" s="5" t="s">
        <v>954</v>
      </c>
      <c r="F55" s="3">
        <v>0</v>
      </c>
      <c r="G55" s="3">
        <v>0</v>
      </c>
      <c r="H55" s="3">
        <v>0</v>
      </c>
      <c r="I55" s="3">
        <v>50</v>
      </c>
      <c r="J55" s="3">
        <v>10</v>
      </c>
      <c r="K55" s="3">
        <v>0.95</v>
      </c>
      <c r="L55" s="3">
        <v>0</v>
      </c>
      <c r="M55" s="3">
        <v>0</v>
      </c>
      <c r="N55" s="3">
        <v>0</v>
      </c>
      <c r="O55" s="3">
        <v>0</v>
      </c>
      <c r="P55" s="3">
        <v>0</v>
      </c>
      <c r="Q55" s="3">
        <v>0</v>
      </c>
      <c r="R55" s="3">
        <v>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3504</v>
      </c>
      <c r="AN55" s="3" t="s">
        <v>1944</v>
      </c>
      <c r="AO55" s="3" t="s">
        <v>1847</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54</v>
      </c>
      <c r="B56" s="3" t="s">
        <v>198</v>
      </c>
      <c r="C56" s="3" t="s">
        <v>198</v>
      </c>
      <c r="D56" s="5" t="s">
        <v>199</v>
      </c>
      <c r="E56" s="5" t="s">
        <v>200</v>
      </c>
      <c r="F56" s="3">
        <v>0</v>
      </c>
      <c r="G56" s="3">
        <v>0</v>
      </c>
      <c r="H56" s="3">
        <v>0</v>
      </c>
      <c r="I56" s="3">
        <v>50</v>
      </c>
      <c r="J56" s="3">
        <v>10</v>
      </c>
      <c r="K56" s="3">
        <v>1</v>
      </c>
      <c r="L56" s="3">
        <v>0</v>
      </c>
      <c r="M56" s="3">
        <v>0</v>
      </c>
      <c r="N56" s="3">
        <v>6</v>
      </c>
      <c r="O56" s="3">
        <v>0</v>
      </c>
      <c r="P56" s="3">
        <v>0</v>
      </c>
      <c r="Q56" s="3">
        <v>5</v>
      </c>
      <c r="R56" s="3">
        <v>5</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51</v>
      </c>
      <c r="AM56" s="3" t="s">
        <v>3504</v>
      </c>
      <c r="AN56" s="3" t="s">
        <v>1945</v>
      </c>
      <c r="AO56" s="3" t="s">
        <v>1847</v>
      </c>
      <c r="AP56" s="3">
        <v>0</v>
      </c>
      <c r="AQ56" s="3">
        <v>0</v>
      </c>
      <c r="AR56">
        <v>0</v>
      </c>
      <c r="AS56">
        <v>3</v>
      </c>
      <c r="AT56" s="6" t="s">
        <v>50</v>
      </c>
      <c r="AU56" s="6" t="s">
        <v>50</v>
      </c>
      <c r="AV56" s="6" t="s">
        <v>50</v>
      </c>
      <c r="AW56" s="6" t="s">
        <v>50</v>
      </c>
      <c r="AX56" s="6" t="s">
        <v>50</v>
      </c>
      <c r="AY56" s="6" t="s">
        <v>50</v>
      </c>
      <c r="AZ56" s="6" t="s">
        <v>50</v>
      </c>
      <c r="BA56" s="6" t="s">
        <v>50</v>
      </c>
      <c r="BB56" s="6" t="s">
        <v>50</v>
      </c>
      <c r="BC56" s="6" t="s">
        <v>50</v>
      </c>
      <c r="BD56" s="6" t="s">
        <v>999</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55</v>
      </c>
      <c r="B57" s="3" t="s">
        <v>958</v>
      </c>
      <c r="C57" s="3" t="s">
        <v>958</v>
      </c>
      <c r="D57" s="5" t="s">
        <v>956</v>
      </c>
      <c r="E57" s="5" t="s">
        <v>957</v>
      </c>
      <c r="F57" s="3">
        <v>0</v>
      </c>
      <c r="G57" s="3">
        <v>0</v>
      </c>
      <c r="H57" s="3">
        <v>0</v>
      </c>
      <c r="I57" s="3">
        <v>50</v>
      </c>
      <c r="J57" s="3">
        <v>10</v>
      </c>
      <c r="K57" s="3">
        <v>0.95</v>
      </c>
      <c r="L57" s="3">
        <v>0</v>
      </c>
      <c r="M57" s="3">
        <v>2</v>
      </c>
      <c r="N57" s="3">
        <v>0</v>
      </c>
      <c r="O57" s="3">
        <v>0</v>
      </c>
      <c r="P57" s="3">
        <v>0</v>
      </c>
      <c r="Q57" s="3">
        <v>45</v>
      </c>
      <c r="R57" s="3">
        <v>20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51</v>
      </c>
      <c r="AM57" s="3" t="s">
        <v>3504</v>
      </c>
      <c r="AN57" s="3" t="s">
        <v>1945</v>
      </c>
      <c r="AO57" s="3" t="s">
        <v>1847</v>
      </c>
      <c r="AP57" s="3">
        <v>0</v>
      </c>
      <c r="AQ57" s="3">
        <v>0</v>
      </c>
      <c r="AR57">
        <v>0</v>
      </c>
      <c r="AS57">
        <v>15</v>
      </c>
      <c r="AT57" s="6" t="s">
        <v>50</v>
      </c>
      <c r="AU57" s="6" t="s">
        <v>50</v>
      </c>
      <c r="AV57" s="6" t="s">
        <v>50</v>
      </c>
      <c r="AW57" s="6" t="s">
        <v>50</v>
      </c>
      <c r="AX57" s="6" t="s">
        <v>50</v>
      </c>
      <c r="AY57" s="6" t="s">
        <v>50</v>
      </c>
      <c r="AZ57" s="6" t="s">
        <v>50</v>
      </c>
      <c r="BA57" s="6" t="s">
        <v>50</v>
      </c>
      <c r="BB57" s="6" t="s">
        <v>50</v>
      </c>
      <c r="BC57" s="6" t="s">
        <v>50</v>
      </c>
      <c r="BD57" s="6" t="s">
        <v>1000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56</v>
      </c>
      <c r="B58" s="3" t="s">
        <v>961</v>
      </c>
      <c r="C58" s="3" t="s">
        <v>961</v>
      </c>
      <c r="D58" s="5" t="s">
        <v>959</v>
      </c>
      <c r="E58" s="5" t="s">
        <v>960</v>
      </c>
      <c r="F58" s="3">
        <v>0</v>
      </c>
      <c r="G58" s="3">
        <v>0</v>
      </c>
      <c r="H58" s="3">
        <v>0</v>
      </c>
      <c r="I58" s="3">
        <v>50</v>
      </c>
      <c r="J58" s="3">
        <v>10</v>
      </c>
      <c r="K58" s="3">
        <v>0.95</v>
      </c>
      <c r="L58" s="3">
        <v>0</v>
      </c>
      <c r="M58" s="3">
        <v>1</v>
      </c>
      <c r="N58" s="3">
        <v>40</v>
      </c>
      <c r="O58" s="3">
        <v>15</v>
      </c>
      <c r="P58" s="3">
        <v>0</v>
      </c>
      <c r="Q58" s="3">
        <v>0</v>
      </c>
      <c r="R58" s="3">
        <v>10</v>
      </c>
      <c r="S58" s="3">
        <v>0</v>
      </c>
      <c r="T58" s="3">
        <v>0</v>
      </c>
      <c r="U58" s="3">
        <v>0</v>
      </c>
      <c r="V58" s="3">
        <v>0</v>
      </c>
      <c r="W58" s="3">
        <v>0</v>
      </c>
      <c r="X58" s="3">
        <v>7</v>
      </c>
      <c r="Y58" s="3">
        <v>0</v>
      </c>
      <c r="Z58" s="3">
        <v>0</v>
      </c>
      <c r="AA58" s="3">
        <v>0</v>
      </c>
      <c r="AB58" s="3">
        <v>0</v>
      </c>
      <c r="AC58" s="3">
        <v>0</v>
      </c>
      <c r="AD58" s="3">
        <v>0</v>
      </c>
      <c r="AE58" s="3">
        <v>0</v>
      </c>
      <c r="AF58" s="3">
        <v>0</v>
      </c>
      <c r="AG58" s="3">
        <v>0</v>
      </c>
      <c r="AH58" s="3">
        <v>0</v>
      </c>
      <c r="AI58" s="3">
        <v>0</v>
      </c>
      <c r="AJ58" s="3">
        <v>0</v>
      </c>
      <c r="AK58" s="3">
        <v>0</v>
      </c>
      <c r="AL58" s="3" t="s">
        <v>51</v>
      </c>
      <c r="AM58" s="3" t="s">
        <v>3504</v>
      </c>
      <c r="AN58" s="3" t="s">
        <v>1946</v>
      </c>
      <c r="AO58" s="3" t="s">
        <v>1847</v>
      </c>
      <c r="AP58" s="3">
        <v>0</v>
      </c>
      <c r="AQ58" s="3">
        <v>0</v>
      </c>
      <c r="AR58">
        <v>0</v>
      </c>
      <c r="AS58">
        <v>50</v>
      </c>
      <c r="AT58" s="6" t="s">
        <v>50</v>
      </c>
      <c r="AU58" s="6" t="s">
        <v>50</v>
      </c>
      <c r="AV58" s="6" t="s">
        <v>50</v>
      </c>
      <c r="AW58" s="6" t="s">
        <v>50</v>
      </c>
      <c r="AX58" s="6" t="s">
        <v>50</v>
      </c>
      <c r="AY58" s="6" t="s">
        <v>50</v>
      </c>
      <c r="AZ58" s="6" t="s">
        <v>50</v>
      </c>
      <c r="BA58" s="6" t="s">
        <v>50</v>
      </c>
      <c r="BB58" s="6" t="s">
        <v>50</v>
      </c>
      <c r="BC58" s="6" t="s">
        <v>50</v>
      </c>
      <c r="BD58" s="6" t="s">
        <v>994</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57</v>
      </c>
      <c r="B59" s="3" t="s">
        <v>966</v>
      </c>
      <c r="C59" s="3" t="s">
        <v>966</v>
      </c>
      <c r="D59" s="5" t="s">
        <v>965</v>
      </c>
      <c r="E59" s="5" t="s">
        <v>967</v>
      </c>
      <c r="F59" s="3">
        <v>0</v>
      </c>
      <c r="G59" s="3">
        <v>0</v>
      </c>
      <c r="H59" s="3">
        <v>0</v>
      </c>
      <c r="I59" s="3">
        <v>50</v>
      </c>
      <c r="J59" s="3">
        <v>50</v>
      </c>
      <c r="K59" s="3">
        <v>0.9</v>
      </c>
      <c r="L59" s="3">
        <v>0</v>
      </c>
      <c r="M59" s="3">
        <v>5</v>
      </c>
      <c r="N59" s="3">
        <v>2</v>
      </c>
      <c r="O59" s="3">
        <v>2</v>
      </c>
      <c r="P59" s="3">
        <v>0</v>
      </c>
      <c r="Q59" s="3">
        <v>0</v>
      </c>
      <c r="R59" s="3">
        <v>0</v>
      </c>
      <c r="S59" s="3">
        <v>0</v>
      </c>
      <c r="T59" s="3">
        <v>0</v>
      </c>
      <c r="U59" s="3">
        <v>0</v>
      </c>
      <c r="V59" s="3">
        <v>0</v>
      </c>
      <c r="W59" s="3">
        <v>0</v>
      </c>
      <c r="X59" s="3">
        <v>15</v>
      </c>
      <c r="Y59" s="3">
        <v>0</v>
      </c>
      <c r="Z59" s="3">
        <v>10</v>
      </c>
      <c r="AA59" s="3">
        <v>0</v>
      </c>
      <c r="AB59" s="3">
        <v>0</v>
      </c>
      <c r="AC59" s="3">
        <v>10</v>
      </c>
      <c r="AD59" s="3">
        <v>0</v>
      </c>
      <c r="AE59" s="3">
        <v>0</v>
      </c>
      <c r="AF59" s="3">
        <v>0</v>
      </c>
      <c r="AG59" s="3">
        <v>0</v>
      </c>
      <c r="AH59" s="3">
        <v>0</v>
      </c>
      <c r="AI59" s="3">
        <v>0</v>
      </c>
      <c r="AJ59" s="3">
        <v>0</v>
      </c>
      <c r="AK59" s="3">
        <v>0</v>
      </c>
      <c r="AL59" s="3" t="s">
        <v>51</v>
      </c>
      <c r="AM59" s="3" t="s">
        <v>3504</v>
      </c>
      <c r="AN59" s="3" t="s">
        <v>1947</v>
      </c>
      <c r="AO59" s="3" t="s">
        <v>1847</v>
      </c>
      <c r="AP59" s="3">
        <v>0</v>
      </c>
      <c r="AQ59" s="3">
        <v>0</v>
      </c>
      <c r="AR59">
        <v>0</v>
      </c>
      <c r="AS59">
        <v>10</v>
      </c>
      <c r="AT59" s="6" t="s">
        <v>50</v>
      </c>
      <c r="AU59" s="6" t="s">
        <v>50</v>
      </c>
      <c r="AV59" s="6" t="s">
        <v>50</v>
      </c>
      <c r="AW59" s="6" t="s">
        <v>50</v>
      </c>
      <c r="AX59" s="6" t="s">
        <v>50</v>
      </c>
      <c r="AY59" s="6" t="s">
        <v>50</v>
      </c>
      <c r="AZ59" s="6" t="s">
        <v>50</v>
      </c>
      <c r="BA59" s="6" t="s">
        <v>50</v>
      </c>
      <c r="BB59" s="6" t="s">
        <v>50</v>
      </c>
      <c r="BC59" s="6" t="s">
        <v>50</v>
      </c>
      <c r="BD59" s="6" t="s">
        <v>993</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58</v>
      </c>
      <c r="B60" s="3" t="s">
        <v>919</v>
      </c>
      <c r="C60" s="3" t="s">
        <v>919</v>
      </c>
      <c r="D60" s="5" t="s">
        <v>918</v>
      </c>
      <c r="E60" s="5" t="s">
        <v>920</v>
      </c>
      <c r="F60" s="3">
        <v>0</v>
      </c>
      <c r="G60" s="3">
        <v>0</v>
      </c>
      <c r="H60" s="3">
        <v>0</v>
      </c>
      <c r="I60" s="3">
        <v>50</v>
      </c>
      <c r="J60" s="3">
        <v>50</v>
      </c>
      <c r="K60" s="3">
        <v>0.95</v>
      </c>
      <c r="L60" s="3">
        <v>0</v>
      </c>
      <c r="M60" s="3">
        <v>3</v>
      </c>
      <c r="N60" s="3">
        <v>5</v>
      </c>
      <c r="O60" s="3">
        <v>0</v>
      </c>
      <c r="P60" s="3">
        <v>0</v>
      </c>
      <c r="Q60" s="3">
        <v>0</v>
      </c>
      <c r="R60" s="3">
        <v>0</v>
      </c>
      <c r="S60" s="3">
        <v>0</v>
      </c>
      <c r="T60" s="3">
        <v>0</v>
      </c>
      <c r="U60" s="3">
        <v>0</v>
      </c>
      <c r="V60" s="3">
        <v>0</v>
      </c>
      <c r="W60" s="3">
        <v>0</v>
      </c>
      <c r="X60" s="3">
        <v>1</v>
      </c>
      <c r="Y60" s="3">
        <v>0</v>
      </c>
      <c r="Z60" s="3">
        <v>0</v>
      </c>
      <c r="AA60" s="3">
        <v>0</v>
      </c>
      <c r="AB60" s="3">
        <v>0</v>
      </c>
      <c r="AC60" s="3">
        <v>0</v>
      </c>
      <c r="AD60" s="3">
        <v>0</v>
      </c>
      <c r="AE60" s="3">
        <v>0</v>
      </c>
      <c r="AF60" s="3">
        <v>0</v>
      </c>
      <c r="AG60" s="3">
        <v>0</v>
      </c>
      <c r="AH60" s="3">
        <v>0</v>
      </c>
      <c r="AI60" s="3">
        <v>0</v>
      </c>
      <c r="AJ60" s="3">
        <v>0</v>
      </c>
      <c r="AK60" s="3">
        <v>0</v>
      </c>
      <c r="AL60" s="3" t="s">
        <v>51</v>
      </c>
      <c r="AM60" s="3" t="s">
        <v>3504</v>
      </c>
      <c r="AN60" s="3" t="s">
        <v>3523</v>
      </c>
      <c r="AO60" s="3" t="s">
        <v>50</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921</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59</v>
      </c>
      <c r="B61" s="3" t="s">
        <v>919</v>
      </c>
      <c r="C61" s="3" t="s">
        <v>3522</v>
      </c>
      <c r="D61" s="5" t="s">
        <v>918</v>
      </c>
      <c r="E61" s="5" t="s">
        <v>3524</v>
      </c>
      <c r="F61" s="3">
        <v>0</v>
      </c>
      <c r="G61" s="3">
        <v>0</v>
      </c>
      <c r="H61" s="3">
        <v>0</v>
      </c>
      <c r="I61" s="3">
        <v>50</v>
      </c>
      <c r="J61" s="3">
        <v>50</v>
      </c>
      <c r="K61" s="3">
        <v>0.95</v>
      </c>
      <c r="L61" s="3">
        <v>0</v>
      </c>
      <c r="M61" s="3">
        <v>3</v>
      </c>
      <c r="N61" s="3">
        <v>5</v>
      </c>
      <c r="O61" s="3">
        <v>0</v>
      </c>
      <c r="P61" s="3">
        <v>0</v>
      </c>
      <c r="Q61" s="3">
        <v>0</v>
      </c>
      <c r="R61" s="3">
        <v>0</v>
      </c>
      <c r="S61" s="3">
        <v>0</v>
      </c>
      <c r="T61" s="3">
        <v>0</v>
      </c>
      <c r="U61" s="3">
        <v>0</v>
      </c>
      <c r="V61" s="3">
        <v>0</v>
      </c>
      <c r="W61" s="3">
        <v>0</v>
      </c>
      <c r="X61" s="3">
        <v>1</v>
      </c>
      <c r="Y61" s="3">
        <v>0</v>
      </c>
      <c r="Z61" s="3">
        <v>0</v>
      </c>
      <c r="AA61" s="3">
        <v>0</v>
      </c>
      <c r="AB61" s="3">
        <v>0</v>
      </c>
      <c r="AC61" s="3">
        <v>0</v>
      </c>
      <c r="AD61" s="3">
        <v>0</v>
      </c>
      <c r="AE61" s="3">
        <v>0</v>
      </c>
      <c r="AF61" s="3">
        <v>0</v>
      </c>
      <c r="AG61" s="3">
        <v>0</v>
      </c>
      <c r="AH61" s="3">
        <v>0</v>
      </c>
      <c r="AI61" s="3">
        <v>0</v>
      </c>
      <c r="AJ61" s="3">
        <v>0</v>
      </c>
      <c r="AK61" s="3">
        <v>0</v>
      </c>
      <c r="AL61" s="3" t="s">
        <v>51</v>
      </c>
      <c r="AM61" s="3" t="s">
        <v>1031</v>
      </c>
      <c r="AN61" s="3" t="s">
        <v>3523</v>
      </c>
      <c r="AO61" s="3" t="s">
        <v>50</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921</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60</v>
      </c>
      <c r="B62" s="3" t="s">
        <v>237</v>
      </c>
      <c r="C62" s="3" t="s">
        <v>237</v>
      </c>
      <c r="D62" s="5" t="s">
        <v>238</v>
      </c>
      <c r="E62" s="5" t="s">
        <v>239</v>
      </c>
      <c r="F62" s="3">
        <v>0</v>
      </c>
      <c r="G62" s="3">
        <v>0</v>
      </c>
      <c r="H62" s="3">
        <v>0</v>
      </c>
      <c r="I62" s="3">
        <v>50</v>
      </c>
      <c r="J62" s="3">
        <v>10</v>
      </c>
      <c r="K62" s="3">
        <v>0.95</v>
      </c>
      <c r="L62" s="3">
        <v>0</v>
      </c>
      <c r="M62" s="3">
        <v>0</v>
      </c>
      <c r="N62" s="3">
        <v>0</v>
      </c>
      <c r="O62" s="3">
        <v>0</v>
      </c>
      <c r="P62" s="3">
        <v>30</v>
      </c>
      <c r="Q62" s="3">
        <v>0</v>
      </c>
      <c r="R62" s="3">
        <v>0</v>
      </c>
      <c r="S62" s="3">
        <v>0</v>
      </c>
      <c r="T62" s="3">
        <v>0</v>
      </c>
      <c r="U62" s="3">
        <v>0</v>
      </c>
      <c r="V62" s="3">
        <v>8</v>
      </c>
      <c r="W62" s="3">
        <v>0</v>
      </c>
      <c r="X62" s="3">
        <v>-3</v>
      </c>
      <c r="Y62" s="3">
        <v>0</v>
      </c>
      <c r="Z62" s="3">
        <v>0</v>
      </c>
      <c r="AA62" s="3">
        <v>0</v>
      </c>
      <c r="AB62" s="3">
        <v>0</v>
      </c>
      <c r="AC62" s="3">
        <v>0</v>
      </c>
      <c r="AD62" s="3">
        <v>0</v>
      </c>
      <c r="AE62" s="3">
        <v>0</v>
      </c>
      <c r="AF62" s="3">
        <v>0</v>
      </c>
      <c r="AG62" s="3">
        <v>0</v>
      </c>
      <c r="AH62" s="3">
        <v>0</v>
      </c>
      <c r="AI62" s="3">
        <v>0</v>
      </c>
      <c r="AJ62" s="3">
        <v>0</v>
      </c>
      <c r="AK62" s="3">
        <v>0</v>
      </c>
      <c r="AL62" s="3" t="s">
        <v>17</v>
      </c>
      <c r="AM62" s="3" t="s">
        <v>3504</v>
      </c>
      <c r="AN62" s="3" t="s">
        <v>1948</v>
      </c>
      <c r="AO62" s="3" t="s">
        <v>1847</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61</v>
      </c>
      <c r="B63" s="3" t="s">
        <v>506</v>
      </c>
      <c r="C63" s="3" t="s">
        <v>506</v>
      </c>
      <c r="D63" s="5" t="s">
        <v>504</v>
      </c>
      <c r="E63" s="5" t="s">
        <v>505</v>
      </c>
      <c r="F63" s="3">
        <v>0</v>
      </c>
      <c r="G63" s="3">
        <v>0</v>
      </c>
      <c r="H63" s="3">
        <v>0</v>
      </c>
      <c r="I63" s="3">
        <v>50</v>
      </c>
      <c r="J63" s="3">
        <v>3</v>
      </c>
      <c r="K63" s="3">
        <v>0.95</v>
      </c>
      <c r="L63" s="3">
        <v>0</v>
      </c>
      <c r="M63" s="3">
        <v>0</v>
      </c>
      <c r="N63" s="3">
        <v>1</v>
      </c>
      <c r="O63" s="3">
        <v>2</v>
      </c>
      <c r="P63" s="3">
        <v>0</v>
      </c>
      <c r="Q63" s="3">
        <v>5</v>
      </c>
      <c r="R63" s="3">
        <v>0</v>
      </c>
      <c r="S63" s="3">
        <v>2</v>
      </c>
      <c r="T63" s="3">
        <v>0</v>
      </c>
      <c r="U63" s="3">
        <v>0</v>
      </c>
      <c r="V63" s="3">
        <v>1</v>
      </c>
      <c r="W63" s="3">
        <v>0</v>
      </c>
      <c r="X63" s="3">
        <v>-3</v>
      </c>
      <c r="Y63" s="3">
        <v>0</v>
      </c>
      <c r="Z63" s="3">
        <v>0</v>
      </c>
      <c r="AA63" s="3">
        <v>0</v>
      </c>
      <c r="AB63" s="3">
        <v>0</v>
      </c>
      <c r="AC63" s="3">
        <v>0</v>
      </c>
      <c r="AD63" s="3">
        <v>0</v>
      </c>
      <c r="AE63" s="3">
        <v>0</v>
      </c>
      <c r="AF63" s="3">
        <v>0</v>
      </c>
      <c r="AG63" s="3">
        <v>0</v>
      </c>
      <c r="AH63" s="3">
        <v>0</v>
      </c>
      <c r="AI63" s="3">
        <v>0</v>
      </c>
      <c r="AJ63" s="3">
        <v>0</v>
      </c>
      <c r="AK63" s="3">
        <v>0</v>
      </c>
      <c r="AL63" s="3" t="s">
        <v>17</v>
      </c>
      <c r="AM63" s="3" t="s">
        <v>3504</v>
      </c>
      <c r="AN63" s="3" t="s">
        <v>1949</v>
      </c>
      <c r="AO63" s="3" t="s">
        <v>1847</v>
      </c>
      <c r="AP63" s="3">
        <v>0</v>
      </c>
      <c r="AQ63" s="3">
        <v>0</v>
      </c>
      <c r="AR63">
        <v>0</v>
      </c>
      <c r="AS63">
        <v>1</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62</v>
      </c>
      <c r="B64" s="3" t="s">
        <v>1073</v>
      </c>
      <c r="C64" s="3" t="s">
        <v>1073</v>
      </c>
      <c r="D64" s="5" t="s">
        <v>1074</v>
      </c>
      <c r="E64" s="5" t="s">
        <v>1075</v>
      </c>
      <c r="F64" s="3">
        <v>0</v>
      </c>
      <c r="G64" s="3">
        <v>0</v>
      </c>
      <c r="H64" s="3">
        <v>0</v>
      </c>
      <c r="I64" s="3">
        <v>50</v>
      </c>
      <c r="J64" s="3">
        <v>3</v>
      </c>
      <c r="K64" s="3">
        <v>0.95</v>
      </c>
      <c r="L64" s="3">
        <v>0</v>
      </c>
      <c r="M64" s="3">
        <v>0</v>
      </c>
      <c r="N64" s="3">
        <v>0</v>
      </c>
      <c r="O64" s="3">
        <v>0</v>
      </c>
      <c r="P64" s="3">
        <v>0</v>
      </c>
      <c r="Q64" s="3">
        <v>0</v>
      </c>
      <c r="R64" s="3">
        <v>20</v>
      </c>
      <c r="S64" s="3">
        <v>20</v>
      </c>
      <c r="T64" s="3">
        <v>20</v>
      </c>
      <c r="U64" s="3">
        <v>0</v>
      </c>
      <c r="V64" s="3">
        <v>3</v>
      </c>
      <c r="W64" s="3">
        <v>0</v>
      </c>
      <c r="X64" s="3">
        <v>-5</v>
      </c>
      <c r="Y64" s="3">
        <v>0</v>
      </c>
      <c r="Z64" s="3">
        <v>0</v>
      </c>
      <c r="AA64" s="3">
        <v>0</v>
      </c>
      <c r="AB64" s="3">
        <v>0</v>
      </c>
      <c r="AC64" s="3">
        <v>0</v>
      </c>
      <c r="AD64" s="3">
        <v>0</v>
      </c>
      <c r="AE64" s="3">
        <v>0</v>
      </c>
      <c r="AF64" s="3">
        <v>0</v>
      </c>
      <c r="AG64" s="3">
        <v>0</v>
      </c>
      <c r="AH64" s="3">
        <v>0</v>
      </c>
      <c r="AI64" s="3">
        <v>0</v>
      </c>
      <c r="AJ64" s="3">
        <v>0</v>
      </c>
      <c r="AK64" s="3">
        <v>0</v>
      </c>
      <c r="AL64" s="3" t="s">
        <v>17</v>
      </c>
      <c r="AM64" s="3" t="s">
        <v>3504</v>
      </c>
      <c r="AN64" s="3" t="s">
        <v>1950</v>
      </c>
      <c r="AO64" s="3" t="s">
        <v>1847</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63</v>
      </c>
      <c r="B65" s="3" t="s">
        <v>2622</v>
      </c>
      <c r="C65" s="3" t="s">
        <v>2622</v>
      </c>
      <c r="D65" s="5" t="s">
        <v>2621</v>
      </c>
      <c r="E65" s="5" t="s">
        <v>2634</v>
      </c>
      <c r="F65" s="3">
        <v>0</v>
      </c>
      <c r="G65" s="3">
        <v>0</v>
      </c>
      <c r="H65" s="3">
        <v>0</v>
      </c>
      <c r="I65" s="3">
        <v>50</v>
      </c>
      <c r="J65" s="3">
        <v>3</v>
      </c>
      <c r="K65" s="3">
        <v>0.95</v>
      </c>
      <c r="L65" s="3">
        <v>0</v>
      </c>
      <c r="M65" s="3">
        <v>0</v>
      </c>
      <c r="N65" s="3">
        <v>1</v>
      </c>
      <c r="O65" s="3">
        <v>3</v>
      </c>
      <c r="P65" s="3">
        <v>0</v>
      </c>
      <c r="Q65" s="3">
        <v>0</v>
      </c>
      <c r="R65" s="3">
        <v>20</v>
      </c>
      <c r="S65" s="3">
        <v>20</v>
      </c>
      <c r="T65" s="3">
        <v>20</v>
      </c>
      <c r="U65" s="3">
        <v>0</v>
      </c>
      <c r="V65" s="3">
        <v>3</v>
      </c>
      <c r="W65" s="3">
        <v>0</v>
      </c>
      <c r="X65" s="3">
        <v>-5</v>
      </c>
      <c r="Y65" s="3">
        <v>0</v>
      </c>
      <c r="Z65" s="3">
        <v>0</v>
      </c>
      <c r="AA65" s="3">
        <v>0</v>
      </c>
      <c r="AB65" s="3">
        <v>0</v>
      </c>
      <c r="AC65" s="3">
        <v>0</v>
      </c>
      <c r="AD65" s="3">
        <v>0</v>
      </c>
      <c r="AE65" s="3">
        <v>0</v>
      </c>
      <c r="AF65" s="3">
        <v>0</v>
      </c>
      <c r="AG65" s="3">
        <v>0</v>
      </c>
      <c r="AH65" s="3">
        <v>0</v>
      </c>
      <c r="AI65" s="3">
        <v>0</v>
      </c>
      <c r="AJ65" s="3">
        <v>0</v>
      </c>
      <c r="AK65" s="3">
        <v>0</v>
      </c>
      <c r="AL65" s="3" t="s">
        <v>17</v>
      </c>
      <c r="AM65" s="3" t="s">
        <v>3504</v>
      </c>
      <c r="AN65" s="3" t="s">
        <v>1950</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s="9" customFormat="1" ht="15.75" customHeight="1" x14ac:dyDescent="0.2">
      <c r="A66" s="7">
        <f t="shared" si="0"/>
        <v>64</v>
      </c>
      <c r="B66" s="7" t="s">
        <v>2622</v>
      </c>
      <c r="C66" s="7" t="s">
        <v>3339</v>
      </c>
      <c r="D66" s="8" t="s">
        <v>3338</v>
      </c>
      <c r="E66" s="8" t="s">
        <v>3340</v>
      </c>
      <c r="F66" s="7">
        <v>0</v>
      </c>
      <c r="G66" s="7">
        <v>0</v>
      </c>
      <c r="H66" s="7">
        <v>0</v>
      </c>
      <c r="I66" s="7">
        <v>50</v>
      </c>
      <c r="J66" s="7">
        <v>3</v>
      </c>
      <c r="K66" s="7">
        <v>0.95</v>
      </c>
      <c r="L66" s="7">
        <v>0</v>
      </c>
      <c r="M66" s="7">
        <v>0</v>
      </c>
      <c r="N66" s="7">
        <v>1</v>
      </c>
      <c r="O66" s="7">
        <v>3</v>
      </c>
      <c r="P66" s="7">
        <v>0</v>
      </c>
      <c r="Q66" s="7">
        <v>0</v>
      </c>
      <c r="R66" s="7">
        <v>20</v>
      </c>
      <c r="S66" s="7">
        <v>20</v>
      </c>
      <c r="T66" s="7">
        <v>20</v>
      </c>
      <c r="U66" s="7">
        <v>0</v>
      </c>
      <c r="V66" s="7">
        <v>3</v>
      </c>
      <c r="W66" s="7">
        <v>0</v>
      </c>
      <c r="X66" s="7">
        <v>-5</v>
      </c>
      <c r="Y66" s="7">
        <v>0</v>
      </c>
      <c r="Z66" s="7">
        <v>0</v>
      </c>
      <c r="AA66" s="7">
        <v>0</v>
      </c>
      <c r="AB66" s="7">
        <v>0</v>
      </c>
      <c r="AC66" s="7">
        <v>0</v>
      </c>
      <c r="AD66" s="7">
        <v>0</v>
      </c>
      <c r="AE66" s="7">
        <v>0</v>
      </c>
      <c r="AF66" s="7">
        <v>0</v>
      </c>
      <c r="AG66" s="7">
        <v>0</v>
      </c>
      <c r="AH66" s="7">
        <v>0</v>
      </c>
      <c r="AI66" s="7">
        <v>0</v>
      </c>
      <c r="AJ66" s="7">
        <v>0</v>
      </c>
      <c r="AK66" s="7">
        <v>0</v>
      </c>
      <c r="AL66" s="7" t="s">
        <v>17</v>
      </c>
      <c r="AM66" s="7" t="s">
        <v>23</v>
      </c>
      <c r="AN66" s="7" t="s">
        <v>1950</v>
      </c>
      <c r="AO66" s="7" t="s">
        <v>50</v>
      </c>
      <c r="AP66" s="7">
        <v>0</v>
      </c>
      <c r="AQ66" s="7">
        <v>0</v>
      </c>
      <c r="AR66" s="9">
        <v>0</v>
      </c>
      <c r="AS66" s="9">
        <v>1</v>
      </c>
      <c r="AT66" s="10" t="s">
        <v>50</v>
      </c>
      <c r="AU66" s="10" t="s">
        <v>50</v>
      </c>
      <c r="AV66" s="10" t="s">
        <v>50</v>
      </c>
      <c r="AW66" s="10" t="s">
        <v>50</v>
      </c>
      <c r="AX66" s="10" t="s">
        <v>50</v>
      </c>
      <c r="AY66" s="10" t="s">
        <v>50</v>
      </c>
      <c r="AZ66" s="10" t="s">
        <v>50</v>
      </c>
      <c r="BA66" s="10" t="s">
        <v>50</v>
      </c>
      <c r="BB66" s="10" t="s">
        <v>50</v>
      </c>
      <c r="BC66" s="10" t="s">
        <v>50</v>
      </c>
      <c r="BD66" s="10" t="s">
        <v>50</v>
      </c>
      <c r="BE66" s="10" t="s">
        <v>50</v>
      </c>
      <c r="BF66" s="10" t="s">
        <v>50</v>
      </c>
      <c r="BG66" s="10" t="s">
        <v>50</v>
      </c>
      <c r="BH66" s="10" t="s">
        <v>50</v>
      </c>
      <c r="BI66" s="9">
        <v>1</v>
      </c>
      <c r="BJ66" s="9">
        <v>0</v>
      </c>
      <c r="BK66" s="9">
        <v>1</v>
      </c>
      <c r="BL66" s="9">
        <v>0</v>
      </c>
      <c r="BM66" s="9">
        <v>0</v>
      </c>
      <c r="BN66" s="9">
        <v>0</v>
      </c>
      <c r="BO66" s="9">
        <v>0</v>
      </c>
      <c r="BP66" s="10" t="s">
        <v>50</v>
      </c>
      <c r="BQ66" s="9">
        <v>0</v>
      </c>
      <c r="BR66" s="10" t="s">
        <v>50</v>
      </c>
      <c r="BS66" s="9">
        <v>0</v>
      </c>
      <c r="BT66" s="10" t="s">
        <v>50</v>
      </c>
      <c r="BU66" s="9">
        <v>0</v>
      </c>
    </row>
    <row r="67" spans="1:73" ht="15.75" customHeight="1" x14ac:dyDescent="0.2">
      <c r="A67" s="3">
        <f t="shared" si="0"/>
        <v>65</v>
      </c>
      <c r="B67" s="3" t="s">
        <v>65</v>
      </c>
      <c r="C67" s="3" t="s">
        <v>65</v>
      </c>
      <c r="D67" s="25" t="s">
        <v>64</v>
      </c>
      <c r="E67" s="4" t="s">
        <v>2034</v>
      </c>
      <c r="F67" s="3">
        <v>0</v>
      </c>
      <c r="G67" s="3">
        <v>0</v>
      </c>
      <c r="H67" s="3">
        <v>0</v>
      </c>
      <c r="I67" s="3">
        <v>50</v>
      </c>
      <c r="J67" s="3">
        <v>20</v>
      </c>
      <c r="K67" s="3">
        <v>1</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3504</v>
      </c>
      <c r="AN67" s="3" t="s">
        <v>1951</v>
      </c>
      <c r="AO67" s="3" t="s">
        <v>1847</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ref="A68:A133" si="1">ROW()-2</f>
        <v>66</v>
      </c>
      <c r="B68" s="3" t="s">
        <v>2036</v>
      </c>
      <c r="C68" s="3" t="s">
        <v>2036</v>
      </c>
      <c r="D68" s="25" t="s">
        <v>2033</v>
      </c>
      <c r="E68" s="4" t="s">
        <v>2035</v>
      </c>
      <c r="F68" s="3">
        <v>0</v>
      </c>
      <c r="G68" s="3">
        <v>0</v>
      </c>
      <c r="H68" s="3">
        <v>0</v>
      </c>
      <c r="I68" s="3">
        <v>50</v>
      </c>
      <c r="J68" s="3">
        <v>20</v>
      </c>
      <c r="K68" s="3">
        <v>1</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2048</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1"/>
        <v>67</v>
      </c>
      <c r="B69" s="3" t="s">
        <v>2038</v>
      </c>
      <c r="C69" s="3" t="s">
        <v>2038</v>
      </c>
      <c r="D69" s="25" t="s">
        <v>2037</v>
      </c>
      <c r="E69" s="4" t="s">
        <v>3035</v>
      </c>
      <c r="F69" s="3">
        <v>0</v>
      </c>
      <c r="G69" s="3">
        <v>0</v>
      </c>
      <c r="H69" s="3">
        <v>0</v>
      </c>
      <c r="I69" s="3">
        <v>50</v>
      </c>
      <c r="J69" s="3">
        <v>20</v>
      </c>
      <c r="K69" s="3">
        <v>1</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2039</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1"/>
        <v>68</v>
      </c>
      <c r="B70" s="3" t="s">
        <v>2042</v>
      </c>
      <c r="C70" s="3" t="s">
        <v>2042</v>
      </c>
      <c r="D70" s="25" t="s">
        <v>2041</v>
      </c>
      <c r="E70" s="4" t="s">
        <v>2166</v>
      </c>
      <c r="F70" s="3">
        <v>0</v>
      </c>
      <c r="G70" s="3">
        <v>0</v>
      </c>
      <c r="H70" s="3">
        <v>0</v>
      </c>
      <c r="I70" s="3">
        <v>50</v>
      </c>
      <c r="J70" s="3">
        <v>20</v>
      </c>
      <c r="K70" s="3">
        <v>1</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2043</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ht="15.75" customHeight="1" x14ac:dyDescent="0.2">
      <c r="A71" s="3">
        <f t="shared" si="1"/>
        <v>69</v>
      </c>
      <c r="B71" s="3" t="s">
        <v>2179</v>
      </c>
      <c r="C71" s="3" t="s">
        <v>2179</v>
      </c>
      <c r="D71" s="25" t="s">
        <v>2178</v>
      </c>
      <c r="E71" s="4" t="s">
        <v>2180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2043</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row>
    <row r="72" spans="1:73" ht="15.75" customHeight="1" x14ac:dyDescent="0.2">
      <c r="A72" s="3">
        <f t="shared" si="1"/>
        <v>70</v>
      </c>
      <c r="B72" s="3" t="s">
        <v>2720</v>
      </c>
      <c r="C72" s="3" t="s">
        <v>2720</v>
      </c>
      <c r="D72" s="25" t="s">
        <v>2718</v>
      </c>
      <c r="E72" s="4" t="s">
        <v>2719</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2043</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1"/>
        <v>71</v>
      </c>
      <c r="B73" s="3" t="s">
        <v>2722</v>
      </c>
      <c r="C73" s="3" t="s">
        <v>2722</v>
      </c>
      <c r="D73" s="25" t="s">
        <v>2721</v>
      </c>
      <c r="E73" s="4" t="s">
        <v>2782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2043</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1"/>
        <v>72</v>
      </c>
      <c r="B74" s="3" t="s">
        <v>3407</v>
      </c>
      <c r="C74" s="3" t="s">
        <v>3407</v>
      </c>
      <c r="D74" s="25" t="s">
        <v>3408</v>
      </c>
      <c r="E74" s="4" t="s">
        <v>3409</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2043</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1"/>
        <v>73</v>
      </c>
      <c r="B75" s="3" t="s">
        <v>1392</v>
      </c>
      <c r="C75" s="3" t="s">
        <v>1392</v>
      </c>
      <c r="D75" s="25" t="s">
        <v>1390</v>
      </c>
      <c r="E75" s="4" t="s">
        <v>1391</v>
      </c>
      <c r="F75" s="3">
        <v>0</v>
      </c>
      <c r="G75" s="3">
        <v>0</v>
      </c>
      <c r="H75" s="3">
        <v>0</v>
      </c>
      <c r="I75" s="3">
        <v>50</v>
      </c>
      <c r="J75" s="3">
        <v>20</v>
      </c>
      <c r="K75" s="3">
        <v>1</v>
      </c>
      <c r="L75" s="3">
        <v>0</v>
      </c>
      <c r="M75" s="3">
        <v>0</v>
      </c>
      <c r="N75" s="3">
        <v>30</v>
      </c>
      <c r="O75" s="3">
        <v>0</v>
      </c>
      <c r="P75" s="3">
        <v>0</v>
      </c>
      <c r="Q75" s="3">
        <v>0</v>
      </c>
      <c r="R75" s="3">
        <v>0</v>
      </c>
      <c r="S75" s="3">
        <v>0</v>
      </c>
      <c r="T75" s="3">
        <v>0</v>
      </c>
      <c r="U75" s="3">
        <v>0</v>
      </c>
      <c r="V75" s="3">
        <v>0</v>
      </c>
      <c r="W75" s="3">
        <v>0</v>
      </c>
      <c r="X75" s="3">
        <v>0</v>
      </c>
      <c r="Y75" s="3">
        <v>0</v>
      </c>
      <c r="Z75" s="3">
        <v>10</v>
      </c>
      <c r="AA75" s="3">
        <v>0</v>
      </c>
      <c r="AB75" s="3">
        <v>0</v>
      </c>
      <c r="AC75" s="3">
        <v>0</v>
      </c>
      <c r="AD75" s="3">
        <v>0</v>
      </c>
      <c r="AE75" s="3">
        <v>5</v>
      </c>
      <c r="AF75" s="3">
        <v>-5</v>
      </c>
      <c r="AG75" s="3">
        <v>0</v>
      </c>
      <c r="AH75" s="3">
        <v>0</v>
      </c>
      <c r="AI75" s="3">
        <v>0</v>
      </c>
      <c r="AJ75" s="3">
        <v>0</v>
      </c>
      <c r="AK75" s="3">
        <v>0</v>
      </c>
      <c r="AL75" s="3" t="s">
        <v>51</v>
      </c>
      <c r="AM75" s="3" t="s">
        <v>3504</v>
      </c>
      <c r="AN75" s="3" t="s">
        <v>1952</v>
      </c>
      <c r="AO75" s="3" t="s">
        <v>1847</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1"/>
        <v>74</v>
      </c>
      <c r="B76" s="3" t="s">
        <v>1392</v>
      </c>
      <c r="C76" s="3" t="s">
        <v>3640</v>
      </c>
      <c r="D76" s="25" t="s">
        <v>3641</v>
      </c>
      <c r="E76" s="4" t="s">
        <v>3642</v>
      </c>
      <c r="F76" s="3">
        <v>0</v>
      </c>
      <c r="G76" s="3">
        <v>0</v>
      </c>
      <c r="H76" s="3">
        <v>0</v>
      </c>
      <c r="I76" s="3">
        <v>50</v>
      </c>
      <c r="J76" s="3">
        <v>20</v>
      </c>
      <c r="K76" s="3">
        <v>1</v>
      </c>
      <c r="L76" s="3">
        <v>0</v>
      </c>
      <c r="M76" s="3">
        <v>-10</v>
      </c>
      <c r="N76" s="3">
        <v>40</v>
      </c>
      <c r="O76" s="3">
        <v>0</v>
      </c>
      <c r="P76" s="3">
        <v>0</v>
      </c>
      <c r="Q76" s="3">
        <v>0</v>
      </c>
      <c r="R76" s="3">
        <v>0</v>
      </c>
      <c r="S76" s="3">
        <v>0</v>
      </c>
      <c r="T76" s="3">
        <v>0</v>
      </c>
      <c r="U76" s="3">
        <v>0</v>
      </c>
      <c r="V76" s="3">
        <v>0</v>
      </c>
      <c r="W76" s="3">
        <v>0</v>
      </c>
      <c r="X76" s="3">
        <v>0</v>
      </c>
      <c r="Y76" s="3">
        <v>0</v>
      </c>
      <c r="Z76" s="3">
        <v>30</v>
      </c>
      <c r="AA76" s="3">
        <v>0</v>
      </c>
      <c r="AB76" s="3">
        <v>0</v>
      </c>
      <c r="AC76" s="3">
        <v>0</v>
      </c>
      <c r="AD76" s="3">
        <v>0</v>
      </c>
      <c r="AE76" s="3">
        <v>10</v>
      </c>
      <c r="AF76" s="3">
        <v>-10</v>
      </c>
      <c r="AG76" s="3">
        <v>0</v>
      </c>
      <c r="AH76" s="3">
        <v>0</v>
      </c>
      <c r="AI76" s="3">
        <v>0</v>
      </c>
      <c r="AJ76" s="3">
        <v>0</v>
      </c>
      <c r="AK76" s="3">
        <v>0</v>
      </c>
      <c r="AL76" s="3" t="s">
        <v>51</v>
      </c>
      <c r="AM76" s="3" t="s">
        <v>3504</v>
      </c>
      <c r="AN76" s="3" t="s">
        <v>1952</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1"/>
        <v>75</v>
      </c>
      <c r="B77" s="3" t="s">
        <v>2169</v>
      </c>
      <c r="C77" s="3" t="s">
        <v>2169</v>
      </c>
      <c r="D77" s="25" t="s">
        <v>2168</v>
      </c>
      <c r="E77" s="4" t="s">
        <v>2167</v>
      </c>
      <c r="F77" s="3">
        <v>0</v>
      </c>
      <c r="G77" s="3">
        <v>0</v>
      </c>
      <c r="H77" s="3">
        <v>0</v>
      </c>
      <c r="I77" s="3">
        <v>50</v>
      </c>
      <c r="J77" s="3">
        <v>20</v>
      </c>
      <c r="K77" s="3">
        <v>1</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5</v>
      </c>
      <c r="AF77" s="3">
        <v>-5</v>
      </c>
      <c r="AG77" s="3">
        <v>0</v>
      </c>
      <c r="AH77" s="3">
        <v>0</v>
      </c>
      <c r="AI77" s="3">
        <v>0</v>
      </c>
      <c r="AJ77" s="3">
        <v>0</v>
      </c>
      <c r="AK77" s="3">
        <v>0</v>
      </c>
      <c r="AL77" s="3" t="s">
        <v>51</v>
      </c>
      <c r="AM77" s="3" t="s">
        <v>3504</v>
      </c>
      <c r="AN77" s="3" t="s">
        <v>2170</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1"/>
        <v>76</v>
      </c>
      <c r="B78" s="3" t="s">
        <v>2169</v>
      </c>
      <c r="C78" s="3" t="s">
        <v>3651</v>
      </c>
      <c r="D78" s="25" t="s">
        <v>3650</v>
      </c>
      <c r="E78" s="4" t="s">
        <v>3652</v>
      </c>
      <c r="F78" s="3">
        <v>0</v>
      </c>
      <c r="G78" s="3">
        <v>0</v>
      </c>
      <c r="H78" s="3">
        <v>0</v>
      </c>
      <c r="I78" s="3">
        <v>50</v>
      </c>
      <c r="J78" s="3">
        <v>20</v>
      </c>
      <c r="K78" s="3">
        <v>1</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10</v>
      </c>
      <c r="AF78" s="3">
        <v>-10</v>
      </c>
      <c r="AG78" s="3">
        <v>0</v>
      </c>
      <c r="AH78" s="3">
        <v>0</v>
      </c>
      <c r="AI78" s="3">
        <v>0</v>
      </c>
      <c r="AJ78" s="3">
        <v>0</v>
      </c>
      <c r="AK78" s="3">
        <v>0</v>
      </c>
      <c r="AL78" s="3" t="s">
        <v>51</v>
      </c>
      <c r="AM78" s="3" t="s">
        <v>3504</v>
      </c>
      <c r="AN78" s="3" t="s">
        <v>2170</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1"/>
        <v>77</v>
      </c>
      <c r="B79" s="3" t="s">
        <v>361</v>
      </c>
      <c r="C79" s="3" t="s">
        <v>338</v>
      </c>
      <c r="D79" s="25" t="s">
        <v>339</v>
      </c>
      <c r="E79" s="4" t="s">
        <v>2066</v>
      </c>
      <c r="F79" s="3">
        <v>0</v>
      </c>
      <c r="G79" s="3">
        <v>0</v>
      </c>
      <c r="H79" s="3">
        <v>0</v>
      </c>
      <c r="I79" s="3">
        <v>50</v>
      </c>
      <c r="J79" s="3">
        <v>10</v>
      </c>
      <c r="K79" s="3">
        <v>1</v>
      </c>
      <c r="L79" s="3">
        <v>0</v>
      </c>
      <c r="M79" s="3">
        <v>0</v>
      </c>
      <c r="N79" s="3">
        <v>0</v>
      </c>
      <c r="O79" s="3">
        <v>0</v>
      </c>
      <c r="P79" s="3">
        <v>10</v>
      </c>
      <c r="Q79" s="3">
        <v>0</v>
      </c>
      <c r="R79" s="3">
        <v>0</v>
      </c>
      <c r="S79" s="3">
        <v>0</v>
      </c>
      <c r="T79" s="3">
        <v>0</v>
      </c>
      <c r="U79" s="3">
        <v>0</v>
      </c>
      <c r="V79" s="3">
        <v>2</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3504</v>
      </c>
      <c r="AN79" s="3" t="s">
        <v>1953</v>
      </c>
      <c r="AO79" s="3" t="s">
        <v>1847</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ht="15.75" customHeight="1" x14ac:dyDescent="0.2">
      <c r="A80" s="3">
        <f t="shared" si="1"/>
        <v>78</v>
      </c>
      <c r="B80" s="3" t="s">
        <v>623</v>
      </c>
      <c r="C80" s="3" t="s">
        <v>623</v>
      </c>
      <c r="D80" s="5" t="s">
        <v>622</v>
      </c>
      <c r="E80" s="5" t="s">
        <v>624</v>
      </c>
      <c r="F80" s="3">
        <v>0</v>
      </c>
      <c r="G80" s="3">
        <v>0</v>
      </c>
      <c r="H80" s="3">
        <v>0</v>
      </c>
      <c r="I80" s="3">
        <v>50</v>
      </c>
      <c r="J80" s="3">
        <v>1</v>
      </c>
      <c r="K80" s="3">
        <v>1</v>
      </c>
      <c r="L80" s="3">
        <v>0</v>
      </c>
      <c r="M80" s="3">
        <v>0</v>
      </c>
      <c r="N80" s="3">
        <v>0</v>
      </c>
      <c r="O80" s="3">
        <v>0</v>
      </c>
      <c r="P80" s="3">
        <v>50</v>
      </c>
      <c r="Q80" s="3">
        <v>50</v>
      </c>
      <c r="R80" s="3">
        <v>50</v>
      </c>
      <c r="S80" s="3">
        <v>40</v>
      </c>
      <c r="T80" s="3">
        <v>0</v>
      </c>
      <c r="U80" s="3">
        <v>0</v>
      </c>
      <c r="V80" s="3">
        <v>0</v>
      </c>
      <c r="W80" s="3">
        <v>20</v>
      </c>
      <c r="X80" s="3">
        <v>0</v>
      </c>
      <c r="Y80" s="3">
        <v>0</v>
      </c>
      <c r="Z80" s="3">
        <v>0</v>
      </c>
      <c r="AA80" s="3">
        <v>0</v>
      </c>
      <c r="AB80" s="3">
        <v>0</v>
      </c>
      <c r="AC80" s="3">
        <v>0</v>
      </c>
      <c r="AD80" s="3">
        <v>0</v>
      </c>
      <c r="AE80" s="3">
        <v>0</v>
      </c>
      <c r="AF80" s="3">
        <v>0</v>
      </c>
      <c r="AG80" s="3">
        <v>0</v>
      </c>
      <c r="AH80" s="3">
        <v>0</v>
      </c>
      <c r="AI80" s="3">
        <v>0</v>
      </c>
      <c r="AJ80" s="3">
        <v>0</v>
      </c>
      <c r="AK80" s="3">
        <v>0</v>
      </c>
      <c r="AL80" s="3" t="s">
        <v>17</v>
      </c>
      <c r="AM80" s="3" t="s">
        <v>169</v>
      </c>
      <c r="AN80" s="3" t="s">
        <v>1954</v>
      </c>
      <c r="AO80" s="3" t="s">
        <v>1847</v>
      </c>
      <c r="AP80" s="3">
        <v>0</v>
      </c>
      <c r="AQ80" s="3">
        <v>0</v>
      </c>
      <c r="AR80">
        <v>0</v>
      </c>
      <c r="AS80">
        <v>3</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row>
    <row r="81" spans="1:73" s="9" customFormat="1" ht="15.75" customHeight="1" x14ac:dyDescent="0.2">
      <c r="A81" s="7">
        <f t="shared" si="1"/>
        <v>79</v>
      </c>
      <c r="B81" s="7" t="s">
        <v>57</v>
      </c>
      <c r="C81" s="7" t="s">
        <v>256</v>
      </c>
      <c r="D81" s="8" t="s">
        <v>262</v>
      </c>
      <c r="E81" s="8" t="s">
        <v>257</v>
      </c>
      <c r="F81" s="7">
        <v>0</v>
      </c>
      <c r="G81" s="7">
        <v>0</v>
      </c>
      <c r="H81" s="7">
        <v>0</v>
      </c>
      <c r="I81" s="7">
        <v>50</v>
      </c>
      <c r="J81" s="7">
        <v>5</v>
      </c>
      <c r="K81" s="7">
        <v>0.95</v>
      </c>
      <c r="L81" s="7">
        <v>0</v>
      </c>
      <c r="M81" s="7">
        <v>0</v>
      </c>
      <c r="N81" s="7">
        <v>0</v>
      </c>
      <c r="O81" s="7">
        <v>0</v>
      </c>
      <c r="P81" s="7">
        <v>65</v>
      </c>
      <c r="Q81" s="7">
        <v>50</v>
      </c>
      <c r="R81" s="7">
        <v>60</v>
      </c>
      <c r="S81" s="7">
        <v>40</v>
      </c>
      <c r="T81" s="7">
        <v>0</v>
      </c>
      <c r="U81" s="7">
        <v>0</v>
      </c>
      <c r="V81" s="7">
        <v>0</v>
      </c>
      <c r="W81" s="7">
        <v>15</v>
      </c>
      <c r="X81" s="7">
        <v>0</v>
      </c>
      <c r="Y81" s="7">
        <v>0</v>
      </c>
      <c r="Z81" s="7">
        <v>0</v>
      </c>
      <c r="AA81" s="7">
        <v>0</v>
      </c>
      <c r="AB81" s="7">
        <v>0</v>
      </c>
      <c r="AC81" s="7">
        <v>0</v>
      </c>
      <c r="AD81" s="7">
        <v>0</v>
      </c>
      <c r="AE81" s="7">
        <v>0</v>
      </c>
      <c r="AF81" s="7">
        <v>0</v>
      </c>
      <c r="AG81" s="7">
        <v>0</v>
      </c>
      <c r="AH81" s="7">
        <v>0</v>
      </c>
      <c r="AI81" s="7">
        <v>0</v>
      </c>
      <c r="AJ81" s="7">
        <v>0</v>
      </c>
      <c r="AK81" s="7">
        <v>0</v>
      </c>
      <c r="AL81" s="7" t="s">
        <v>17</v>
      </c>
      <c r="AM81" s="7" t="s">
        <v>169</v>
      </c>
      <c r="AN81" s="7" t="s">
        <v>1954</v>
      </c>
      <c r="AO81" s="7" t="s">
        <v>1847</v>
      </c>
      <c r="AP81" s="7">
        <v>0</v>
      </c>
      <c r="AQ81" s="7">
        <v>0</v>
      </c>
      <c r="AR81" s="9">
        <v>0</v>
      </c>
      <c r="AS81" s="9">
        <v>10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ht="15.75" customHeight="1" x14ac:dyDescent="0.2">
      <c r="A82" s="3">
        <f t="shared" si="1"/>
        <v>80</v>
      </c>
      <c r="B82" s="3" t="s">
        <v>83</v>
      </c>
      <c r="C82" s="3" t="s">
        <v>83</v>
      </c>
      <c r="D82" s="5" t="s">
        <v>16</v>
      </c>
      <c r="E82" s="5" t="s">
        <v>831</v>
      </c>
      <c r="F82" s="3">
        <v>0</v>
      </c>
      <c r="G82" s="3">
        <v>0</v>
      </c>
      <c r="H82" s="3">
        <v>0</v>
      </c>
      <c r="I82" s="3">
        <v>50</v>
      </c>
      <c r="J82" s="3">
        <v>5</v>
      </c>
      <c r="K82" s="3">
        <v>0.95</v>
      </c>
      <c r="L82" s="3">
        <v>0</v>
      </c>
      <c r="M82" s="3">
        <v>5</v>
      </c>
      <c r="N82" s="3">
        <v>2</v>
      </c>
      <c r="O82" s="3">
        <v>10</v>
      </c>
      <c r="P82" s="3">
        <v>0</v>
      </c>
      <c r="Q82" s="3">
        <v>0</v>
      </c>
      <c r="R82" s="3">
        <v>0</v>
      </c>
      <c r="S82" s="3">
        <v>0</v>
      </c>
      <c r="T82" s="3">
        <v>0</v>
      </c>
      <c r="U82" s="3">
        <v>0</v>
      </c>
      <c r="V82" s="3">
        <v>0</v>
      </c>
      <c r="W82" s="3">
        <v>0</v>
      </c>
      <c r="X82" s="3">
        <v>3</v>
      </c>
      <c r="Y82" s="3">
        <v>0</v>
      </c>
      <c r="Z82" s="3">
        <v>5</v>
      </c>
      <c r="AA82" s="3">
        <v>0</v>
      </c>
      <c r="AB82" s="3">
        <v>0</v>
      </c>
      <c r="AC82" s="3">
        <v>0</v>
      </c>
      <c r="AD82" s="3">
        <v>0</v>
      </c>
      <c r="AE82" s="3">
        <v>0</v>
      </c>
      <c r="AF82" s="3">
        <v>0</v>
      </c>
      <c r="AG82" s="3">
        <v>0</v>
      </c>
      <c r="AH82" s="3">
        <v>3</v>
      </c>
      <c r="AI82" s="3">
        <v>0</v>
      </c>
      <c r="AJ82" s="3">
        <v>0</v>
      </c>
      <c r="AK82" s="3">
        <v>0</v>
      </c>
      <c r="AL82" s="3" t="s">
        <v>368</v>
      </c>
      <c r="AM82" s="3" t="s">
        <v>18</v>
      </c>
      <c r="AN82" s="3" t="s">
        <v>1955</v>
      </c>
      <c r="AO82" s="3" t="s">
        <v>1847</v>
      </c>
      <c r="AP82" s="3">
        <v>0</v>
      </c>
      <c r="AQ82" s="3">
        <v>0</v>
      </c>
      <c r="AR82">
        <v>0</v>
      </c>
      <c r="AS82">
        <v>3</v>
      </c>
      <c r="AT82" s="6" t="s">
        <v>151</v>
      </c>
      <c r="AU82" s="6" t="s">
        <v>150</v>
      </c>
      <c r="AV82" s="6" t="s">
        <v>150</v>
      </c>
      <c r="AW82" s="6" t="s">
        <v>150</v>
      </c>
      <c r="AX82" s="6" t="s">
        <v>150</v>
      </c>
      <c r="AY82" s="6" t="s">
        <v>150</v>
      </c>
      <c r="AZ82" s="6" t="s">
        <v>150</v>
      </c>
      <c r="BA82" s="6" t="s">
        <v>150</v>
      </c>
      <c r="BB82" s="6" t="s">
        <v>150</v>
      </c>
      <c r="BC82" s="6" t="s">
        <v>150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row>
    <row r="83" spans="1:73" ht="15.75" customHeight="1" x14ac:dyDescent="0.2">
      <c r="A83" s="3">
        <f t="shared" si="1"/>
        <v>81</v>
      </c>
      <c r="B83" s="3" t="s">
        <v>1858</v>
      </c>
      <c r="C83" s="3" t="s">
        <v>1858</v>
      </c>
      <c r="D83" s="5" t="s">
        <v>3658</v>
      </c>
      <c r="E83" s="5" t="s">
        <v>3607</v>
      </c>
      <c r="F83" s="3">
        <v>0</v>
      </c>
      <c r="G83" s="3">
        <v>0</v>
      </c>
      <c r="H83" s="3">
        <v>0</v>
      </c>
      <c r="I83" s="3">
        <v>50</v>
      </c>
      <c r="J83" s="3">
        <v>5</v>
      </c>
      <c r="K83" s="3">
        <v>0.95</v>
      </c>
      <c r="L83" s="3">
        <v>0</v>
      </c>
      <c r="M83" s="3">
        <v>10</v>
      </c>
      <c r="N83" s="3">
        <v>3</v>
      </c>
      <c r="O83" s="3">
        <v>5</v>
      </c>
      <c r="P83" s="3">
        <v>0</v>
      </c>
      <c r="Q83" s="3">
        <v>0</v>
      </c>
      <c r="R83" s="3">
        <v>0</v>
      </c>
      <c r="S83" s="3">
        <v>0</v>
      </c>
      <c r="T83" s="3">
        <v>0</v>
      </c>
      <c r="U83" s="3">
        <v>0</v>
      </c>
      <c r="V83" s="3">
        <v>0</v>
      </c>
      <c r="W83" s="3">
        <v>0</v>
      </c>
      <c r="X83" s="3">
        <v>3</v>
      </c>
      <c r="Y83" s="3">
        <v>0</v>
      </c>
      <c r="Z83" s="3">
        <v>5</v>
      </c>
      <c r="AA83" s="3">
        <v>0</v>
      </c>
      <c r="AB83" s="3">
        <v>0</v>
      </c>
      <c r="AC83" s="3">
        <v>0</v>
      </c>
      <c r="AD83" s="3">
        <v>0</v>
      </c>
      <c r="AE83" s="3">
        <v>0</v>
      </c>
      <c r="AF83" s="3">
        <v>0</v>
      </c>
      <c r="AG83" s="3">
        <v>0</v>
      </c>
      <c r="AH83" s="3">
        <v>3</v>
      </c>
      <c r="AI83" s="3">
        <v>0</v>
      </c>
      <c r="AJ83" s="3">
        <v>0</v>
      </c>
      <c r="AK83" s="3">
        <v>0</v>
      </c>
      <c r="AL83" s="3" t="s">
        <v>51</v>
      </c>
      <c r="AM83" s="3" t="s">
        <v>18</v>
      </c>
      <c r="AN83" s="3" t="s">
        <v>1955</v>
      </c>
      <c r="AO83" s="3" t="s">
        <v>50</v>
      </c>
      <c r="AP83" s="3">
        <v>0</v>
      </c>
      <c r="AQ83" s="3">
        <v>0</v>
      </c>
      <c r="AR83">
        <v>0</v>
      </c>
      <c r="AS83">
        <v>3</v>
      </c>
      <c r="AT83" s="6" t="s">
        <v>1860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ht="15.75" customHeight="1" x14ac:dyDescent="0.2">
      <c r="A84" s="3">
        <f t="shared" si="1"/>
        <v>82</v>
      </c>
      <c r="B84" s="3" t="s">
        <v>383</v>
      </c>
      <c r="C84" s="3" t="s">
        <v>2217</v>
      </c>
      <c r="D84" s="5" t="s">
        <v>267</v>
      </c>
      <c r="E84" s="5" t="s">
        <v>265</v>
      </c>
      <c r="F84" s="3">
        <v>0</v>
      </c>
      <c r="G84" s="3">
        <v>0</v>
      </c>
      <c r="H84" s="3">
        <v>0</v>
      </c>
      <c r="I84" s="3">
        <v>50</v>
      </c>
      <c r="J84" s="3">
        <v>10</v>
      </c>
      <c r="K84" s="3">
        <v>0.95</v>
      </c>
      <c r="L84" s="3">
        <v>0</v>
      </c>
      <c r="M84" s="3">
        <v>7</v>
      </c>
      <c r="N84" s="3">
        <v>2</v>
      </c>
      <c r="O84" s="3">
        <v>20</v>
      </c>
      <c r="P84" s="3">
        <v>0</v>
      </c>
      <c r="Q84" s="3">
        <v>0</v>
      </c>
      <c r="R84" s="3">
        <v>0</v>
      </c>
      <c r="S84" s="3">
        <v>0</v>
      </c>
      <c r="T84" s="3">
        <v>0</v>
      </c>
      <c r="U84" s="3">
        <v>0</v>
      </c>
      <c r="V84" s="3">
        <v>0</v>
      </c>
      <c r="W84" s="3">
        <v>0</v>
      </c>
      <c r="X84" s="3">
        <v>4</v>
      </c>
      <c r="Y84" s="3">
        <v>0</v>
      </c>
      <c r="Z84" s="3">
        <v>5</v>
      </c>
      <c r="AA84" s="3">
        <v>0</v>
      </c>
      <c r="AB84" s="3">
        <v>0</v>
      </c>
      <c r="AC84" s="3">
        <v>0</v>
      </c>
      <c r="AD84" s="3">
        <v>0</v>
      </c>
      <c r="AE84" s="3">
        <v>0</v>
      </c>
      <c r="AF84" s="3">
        <v>0</v>
      </c>
      <c r="AG84" s="3">
        <v>0</v>
      </c>
      <c r="AH84" s="3">
        <v>3</v>
      </c>
      <c r="AI84" s="3">
        <v>0</v>
      </c>
      <c r="AJ84" s="3">
        <v>0</v>
      </c>
      <c r="AK84" s="3">
        <v>0</v>
      </c>
      <c r="AL84" s="3" t="s">
        <v>17</v>
      </c>
      <c r="AM84" s="3" t="s">
        <v>18</v>
      </c>
      <c r="AN84" s="3" t="s">
        <v>1955</v>
      </c>
      <c r="AO84" s="3" t="s">
        <v>1847</v>
      </c>
      <c r="AP84" s="3">
        <v>0</v>
      </c>
      <c r="AQ84" s="3">
        <v>0</v>
      </c>
      <c r="AR84">
        <v>0</v>
      </c>
      <c r="AS84">
        <v>6</v>
      </c>
      <c r="AT84" s="6" t="s">
        <v>268</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row>
    <row r="85" spans="1:73" s="9" customFormat="1" ht="15.75" customHeight="1" x14ac:dyDescent="0.2">
      <c r="A85" s="7">
        <f t="shared" si="1"/>
        <v>83</v>
      </c>
      <c r="B85" s="7" t="s">
        <v>83</v>
      </c>
      <c r="C85" s="7" t="s">
        <v>189</v>
      </c>
      <c r="D85" s="8" t="s">
        <v>41</v>
      </c>
      <c r="E85" s="8" t="s">
        <v>310</v>
      </c>
      <c r="F85" s="7">
        <v>0</v>
      </c>
      <c r="G85" s="7">
        <v>0</v>
      </c>
      <c r="H85" s="7">
        <v>0</v>
      </c>
      <c r="I85" s="7">
        <v>0</v>
      </c>
      <c r="J85" s="7">
        <v>50</v>
      </c>
      <c r="K85" s="7">
        <v>0.95</v>
      </c>
      <c r="L85" s="7">
        <v>0</v>
      </c>
      <c r="M85" s="7">
        <v>3</v>
      </c>
      <c r="N85" s="7">
        <v>0</v>
      </c>
      <c r="O85" s="7">
        <v>10</v>
      </c>
      <c r="P85" s="7">
        <v>0</v>
      </c>
      <c r="Q85" s="7">
        <v>0</v>
      </c>
      <c r="R85" s="7">
        <v>0</v>
      </c>
      <c r="S85" s="7">
        <v>0</v>
      </c>
      <c r="T85" s="7">
        <v>0</v>
      </c>
      <c r="U85" s="7">
        <v>0</v>
      </c>
      <c r="V85" s="7">
        <v>0</v>
      </c>
      <c r="W85" s="7">
        <v>0</v>
      </c>
      <c r="X85" s="7">
        <v>0</v>
      </c>
      <c r="Y85" s="7">
        <v>0</v>
      </c>
      <c r="Z85" s="7">
        <v>10</v>
      </c>
      <c r="AA85" s="7">
        <v>0</v>
      </c>
      <c r="AB85" s="7">
        <v>0</v>
      </c>
      <c r="AC85" s="7">
        <v>0</v>
      </c>
      <c r="AD85" s="7">
        <v>0</v>
      </c>
      <c r="AE85" s="7">
        <v>0</v>
      </c>
      <c r="AF85" s="7">
        <v>0</v>
      </c>
      <c r="AG85" s="7">
        <v>0</v>
      </c>
      <c r="AH85" s="7">
        <v>0</v>
      </c>
      <c r="AI85" s="7">
        <v>0</v>
      </c>
      <c r="AJ85" s="7">
        <v>0</v>
      </c>
      <c r="AK85" s="7">
        <v>0</v>
      </c>
      <c r="AL85" s="7" t="s">
        <v>17</v>
      </c>
      <c r="AM85" s="7" t="s">
        <v>23</v>
      </c>
      <c r="AN85" s="7" t="s">
        <v>1956</v>
      </c>
      <c r="AO85" s="7" t="s">
        <v>1847</v>
      </c>
      <c r="AP85" s="7">
        <v>0</v>
      </c>
      <c r="AQ85" s="7">
        <v>0</v>
      </c>
      <c r="AR85" s="9">
        <v>0</v>
      </c>
      <c r="AS85" s="9">
        <v>0</v>
      </c>
      <c r="AT85" s="10" t="s">
        <v>151</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1"/>
        <v>84</v>
      </c>
      <c r="B86" s="3" t="s">
        <v>54</v>
      </c>
      <c r="C86" s="3" t="s">
        <v>54</v>
      </c>
      <c r="D86" s="5" t="s">
        <v>19</v>
      </c>
      <c r="E86" s="5" t="s">
        <v>124</v>
      </c>
      <c r="F86" s="3">
        <v>0</v>
      </c>
      <c r="G86" s="3">
        <v>0</v>
      </c>
      <c r="H86" s="3">
        <v>0</v>
      </c>
      <c r="I86" s="3">
        <v>50</v>
      </c>
      <c r="J86" s="3">
        <v>8</v>
      </c>
      <c r="K86" s="3">
        <v>0.95</v>
      </c>
      <c r="L86" s="3">
        <v>0</v>
      </c>
      <c r="M86" s="3">
        <v>3</v>
      </c>
      <c r="N86" s="3">
        <v>0</v>
      </c>
      <c r="O86" s="3">
        <v>7</v>
      </c>
      <c r="P86" s="3">
        <v>0</v>
      </c>
      <c r="Q86" s="3">
        <v>0</v>
      </c>
      <c r="R86" s="3">
        <v>0</v>
      </c>
      <c r="S86" s="3">
        <v>0</v>
      </c>
      <c r="T86" s="3">
        <v>0</v>
      </c>
      <c r="U86" s="3">
        <v>0</v>
      </c>
      <c r="V86" s="3">
        <v>0</v>
      </c>
      <c r="W86" s="3">
        <v>0</v>
      </c>
      <c r="X86" s="3">
        <v>3</v>
      </c>
      <c r="Y86" s="3">
        <v>0</v>
      </c>
      <c r="Z86" s="3">
        <v>5</v>
      </c>
      <c r="AA86" s="3">
        <v>0</v>
      </c>
      <c r="AB86" s="3">
        <v>0</v>
      </c>
      <c r="AC86" s="3">
        <v>0</v>
      </c>
      <c r="AD86" s="3">
        <v>0</v>
      </c>
      <c r="AE86" s="3">
        <v>0</v>
      </c>
      <c r="AF86" s="3">
        <v>0</v>
      </c>
      <c r="AG86" s="3">
        <v>0</v>
      </c>
      <c r="AH86" s="3">
        <v>3</v>
      </c>
      <c r="AI86" s="3">
        <v>0</v>
      </c>
      <c r="AJ86" s="3">
        <v>0</v>
      </c>
      <c r="AK86" s="3">
        <v>0</v>
      </c>
      <c r="AL86" s="3" t="s">
        <v>17</v>
      </c>
      <c r="AM86" s="3" t="s">
        <v>3418</v>
      </c>
      <c r="AN86" s="3" t="s">
        <v>1957</v>
      </c>
      <c r="AO86" s="3" t="s">
        <v>1847</v>
      </c>
      <c r="AP86" s="3">
        <v>0</v>
      </c>
      <c r="AQ86" s="3">
        <v>0</v>
      </c>
      <c r="AR86">
        <v>0</v>
      </c>
      <c r="AS86">
        <v>4</v>
      </c>
      <c r="AT86" s="6" t="s">
        <v>152</v>
      </c>
      <c r="AU86" s="6" t="s">
        <v>150</v>
      </c>
      <c r="AV86" s="6" t="s">
        <v>150</v>
      </c>
      <c r="AW86" s="6" t="s">
        <v>150</v>
      </c>
      <c r="AX86" s="6" t="s">
        <v>150</v>
      </c>
      <c r="AY86" s="6" t="s">
        <v>150</v>
      </c>
      <c r="AZ86" s="6" t="s">
        <v>150</v>
      </c>
      <c r="BA86" s="6" t="s">
        <v>150</v>
      </c>
      <c r="BB86" s="6" t="s">
        <v>150</v>
      </c>
      <c r="BC86" s="6" t="s">
        <v>150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ht="15.75" customHeight="1" x14ac:dyDescent="0.2">
      <c r="A87" s="3">
        <f t="shared" si="1"/>
        <v>85</v>
      </c>
      <c r="B87" s="3" t="s">
        <v>2404</v>
      </c>
      <c r="C87" s="3" t="s">
        <v>2404</v>
      </c>
      <c r="D87" s="5" t="s">
        <v>2403</v>
      </c>
      <c r="E87" s="5" t="s">
        <v>2405</v>
      </c>
      <c r="F87" s="3">
        <v>0</v>
      </c>
      <c r="G87" s="3">
        <v>0</v>
      </c>
      <c r="H87" s="3">
        <v>0</v>
      </c>
      <c r="I87" s="3">
        <v>50</v>
      </c>
      <c r="J87" s="3">
        <v>8</v>
      </c>
      <c r="K87" s="3">
        <v>0.95</v>
      </c>
      <c r="L87" s="3">
        <v>0</v>
      </c>
      <c r="M87" s="3">
        <v>25</v>
      </c>
      <c r="N87" s="3">
        <v>0</v>
      </c>
      <c r="O87" s="3">
        <v>4</v>
      </c>
      <c r="P87" s="3">
        <v>0</v>
      </c>
      <c r="Q87" s="3">
        <v>10</v>
      </c>
      <c r="R87" s="3">
        <v>10</v>
      </c>
      <c r="S87" s="3">
        <v>0</v>
      </c>
      <c r="T87" s="3">
        <v>0</v>
      </c>
      <c r="U87" s="3">
        <v>0</v>
      </c>
      <c r="V87" s="3">
        <v>0</v>
      </c>
      <c r="W87" s="3">
        <v>0</v>
      </c>
      <c r="X87" s="3">
        <v>1</v>
      </c>
      <c r="Y87" s="3">
        <v>0</v>
      </c>
      <c r="Z87" s="3">
        <v>30</v>
      </c>
      <c r="AA87" s="3">
        <v>0</v>
      </c>
      <c r="AB87" s="3">
        <v>0</v>
      </c>
      <c r="AC87" s="3">
        <v>0</v>
      </c>
      <c r="AD87" s="3">
        <v>0</v>
      </c>
      <c r="AE87" s="3">
        <v>0</v>
      </c>
      <c r="AF87" s="3">
        <v>0</v>
      </c>
      <c r="AG87" s="3">
        <v>0</v>
      </c>
      <c r="AH87" s="3">
        <v>3</v>
      </c>
      <c r="AI87" s="3">
        <v>0</v>
      </c>
      <c r="AJ87" s="3">
        <v>0</v>
      </c>
      <c r="AK87" s="3">
        <v>0</v>
      </c>
      <c r="AL87" s="3" t="s">
        <v>17</v>
      </c>
      <c r="AM87" s="3" t="s">
        <v>18</v>
      </c>
      <c r="AN87" s="3" t="s">
        <v>1957</v>
      </c>
      <c r="AO87" s="3" t="s">
        <v>50</v>
      </c>
      <c r="AP87" s="3">
        <v>0</v>
      </c>
      <c r="AQ87" s="3">
        <v>0</v>
      </c>
      <c r="AR87">
        <v>0</v>
      </c>
      <c r="AS87">
        <v>4</v>
      </c>
      <c r="AT87" s="6" t="s">
        <v>2502</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row>
    <row r="88" spans="1:73" s="9" customFormat="1" ht="15.75" customHeight="1" x14ac:dyDescent="0.2">
      <c r="A88" s="7">
        <f t="shared" si="1"/>
        <v>86</v>
      </c>
      <c r="B88" s="7" t="s">
        <v>1303</v>
      </c>
      <c r="C88" s="7" t="s">
        <v>1303</v>
      </c>
      <c r="D88" s="8" t="s">
        <v>1304</v>
      </c>
      <c r="E88" s="8" t="s">
        <v>1305</v>
      </c>
      <c r="F88" s="7">
        <v>0</v>
      </c>
      <c r="G88" s="7">
        <v>0</v>
      </c>
      <c r="H88" s="7">
        <v>0</v>
      </c>
      <c r="I88" s="7">
        <v>50</v>
      </c>
      <c r="J88" s="7">
        <v>8</v>
      </c>
      <c r="K88" s="7">
        <v>0.95</v>
      </c>
      <c r="L88" s="7">
        <v>0</v>
      </c>
      <c r="M88" s="7">
        <v>10</v>
      </c>
      <c r="N88" s="7">
        <v>0</v>
      </c>
      <c r="O88" s="7">
        <v>12</v>
      </c>
      <c r="P88" s="7">
        <v>0</v>
      </c>
      <c r="Q88" s="7">
        <v>0</v>
      </c>
      <c r="R88" s="7">
        <v>0</v>
      </c>
      <c r="S88" s="7">
        <v>0</v>
      </c>
      <c r="T88" s="7">
        <v>0</v>
      </c>
      <c r="U88" s="7">
        <v>0</v>
      </c>
      <c r="V88" s="7">
        <v>0</v>
      </c>
      <c r="W88" s="7">
        <v>0</v>
      </c>
      <c r="X88" s="7">
        <v>1</v>
      </c>
      <c r="Y88" s="7">
        <v>0</v>
      </c>
      <c r="Z88" s="7">
        <v>5</v>
      </c>
      <c r="AA88" s="7">
        <v>0</v>
      </c>
      <c r="AB88" s="7">
        <v>0</v>
      </c>
      <c r="AC88" s="7">
        <v>0</v>
      </c>
      <c r="AD88" s="7">
        <v>0</v>
      </c>
      <c r="AE88" s="7">
        <v>0</v>
      </c>
      <c r="AF88" s="7">
        <v>0</v>
      </c>
      <c r="AG88" s="7">
        <v>0</v>
      </c>
      <c r="AH88" s="7">
        <v>0</v>
      </c>
      <c r="AI88" s="7">
        <v>0</v>
      </c>
      <c r="AJ88" s="7">
        <v>0</v>
      </c>
      <c r="AK88" s="7">
        <v>0</v>
      </c>
      <c r="AL88" s="7" t="s">
        <v>17</v>
      </c>
      <c r="AM88" s="7" t="s">
        <v>18</v>
      </c>
      <c r="AN88" s="7" t="s">
        <v>1957</v>
      </c>
      <c r="AO88" s="7" t="s">
        <v>1847</v>
      </c>
      <c r="AP88" s="7">
        <v>0</v>
      </c>
      <c r="AQ88" s="7">
        <v>0</v>
      </c>
      <c r="AR88" s="9">
        <v>0</v>
      </c>
      <c r="AS88" s="9">
        <v>4</v>
      </c>
      <c r="AT88" s="10" t="s">
        <v>50</v>
      </c>
      <c r="AU88" s="10" t="s">
        <v>50</v>
      </c>
      <c r="AV88" s="10" t="s">
        <v>50</v>
      </c>
      <c r="AW88" s="10" t="s">
        <v>50</v>
      </c>
      <c r="AX88" s="10" t="s">
        <v>50</v>
      </c>
      <c r="AY88" s="10" t="s">
        <v>50</v>
      </c>
      <c r="AZ88" s="10" t="s">
        <v>50</v>
      </c>
      <c r="BA88" s="10" t="s">
        <v>50</v>
      </c>
      <c r="BB88" s="10" t="s">
        <v>50</v>
      </c>
      <c r="BC88" s="10" t="s">
        <v>50</v>
      </c>
      <c r="BD88" s="10" t="s">
        <v>1309</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ht="15.75" customHeight="1" x14ac:dyDescent="0.2">
      <c r="A89" s="3">
        <f t="shared" si="1"/>
        <v>87</v>
      </c>
      <c r="B89" s="3" t="s">
        <v>2420</v>
      </c>
      <c r="C89" s="3" t="s">
        <v>2420</v>
      </c>
      <c r="D89" s="5" t="s">
        <v>2421</v>
      </c>
      <c r="E89" s="5" t="s">
        <v>2425</v>
      </c>
      <c r="F89" s="3">
        <v>0</v>
      </c>
      <c r="G89" s="3">
        <v>0</v>
      </c>
      <c r="H89" s="3">
        <v>0</v>
      </c>
      <c r="I89" s="3">
        <v>50</v>
      </c>
      <c r="J89" s="3">
        <v>8</v>
      </c>
      <c r="K89" s="3">
        <v>0.95</v>
      </c>
      <c r="L89" s="3">
        <v>0</v>
      </c>
      <c r="M89" s="3">
        <v>12</v>
      </c>
      <c r="N89" s="3">
        <v>0</v>
      </c>
      <c r="O89" s="3">
        <v>5</v>
      </c>
      <c r="P89" s="3">
        <v>0</v>
      </c>
      <c r="Q89" s="3">
        <v>0</v>
      </c>
      <c r="R89" s="3">
        <v>0</v>
      </c>
      <c r="S89" s="3">
        <v>0</v>
      </c>
      <c r="T89" s="3">
        <v>0</v>
      </c>
      <c r="U89" s="3">
        <v>0</v>
      </c>
      <c r="V89" s="3">
        <v>0</v>
      </c>
      <c r="W89" s="3">
        <v>0</v>
      </c>
      <c r="X89" s="3">
        <v>5</v>
      </c>
      <c r="Y89" s="3">
        <v>0</v>
      </c>
      <c r="Z89" s="3">
        <v>5</v>
      </c>
      <c r="AA89" s="3">
        <v>6</v>
      </c>
      <c r="AB89" s="3">
        <v>0</v>
      </c>
      <c r="AC89" s="3">
        <v>0</v>
      </c>
      <c r="AD89" s="3">
        <v>0</v>
      </c>
      <c r="AE89" s="3">
        <v>5</v>
      </c>
      <c r="AF89" s="3">
        <v>0</v>
      </c>
      <c r="AG89" s="3">
        <v>5</v>
      </c>
      <c r="AH89" s="3">
        <v>3</v>
      </c>
      <c r="AI89" s="3">
        <v>0</v>
      </c>
      <c r="AJ89" s="3">
        <v>0</v>
      </c>
      <c r="AK89" s="3">
        <v>0</v>
      </c>
      <c r="AL89" s="3" t="s">
        <v>17</v>
      </c>
      <c r="AM89" s="3" t="s">
        <v>18</v>
      </c>
      <c r="AN89" s="3" t="s">
        <v>1957</v>
      </c>
      <c r="AO89" s="3" t="s">
        <v>50</v>
      </c>
      <c r="AP89" s="3">
        <v>0</v>
      </c>
      <c r="AQ89" s="3">
        <v>0</v>
      </c>
      <c r="AR89">
        <v>0</v>
      </c>
      <c r="AS89">
        <v>4</v>
      </c>
      <c r="AT89" s="6" t="s">
        <v>2503</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row>
    <row r="90" spans="1:73" ht="15.75" customHeight="1" x14ac:dyDescent="0.2">
      <c r="A90" s="3">
        <f t="shared" si="1"/>
        <v>88</v>
      </c>
      <c r="B90" s="3" t="s">
        <v>2163</v>
      </c>
      <c r="C90" s="3" t="s">
        <v>636</v>
      </c>
      <c r="D90" s="5" t="s">
        <v>20</v>
      </c>
      <c r="E90" s="5" t="s">
        <v>136</v>
      </c>
      <c r="F90" s="3">
        <v>0</v>
      </c>
      <c r="G90" s="3">
        <v>0</v>
      </c>
      <c r="H90" s="3">
        <v>0</v>
      </c>
      <c r="I90" s="3">
        <v>50</v>
      </c>
      <c r="J90" s="3">
        <v>10</v>
      </c>
      <c r="K90" s="3">
        <v>0.95</v>
      </c>
      <c r="L90" s="3">
        <v>0</v>
      </c>
      <c r="M90" s="3">
        <v>5</v>
      </c>
      <c r="N90" s="3">
        <v>0</v>
      </c>
      <c r="O90" s="3">
        <v>5</v>
      </c>
      <c r="P90" s="3">
        <v>0</v>
      </c>
      <c r="Q90" s="3">
        <v>0</v>
      </c>
      <c r="R90" s="3">
        <v>0</v>
      </c>
      <c r="S90" s="3">
        <v>0</v>
      </c>
      <c r="T90" s="3">
        <v>0</v>
      </c>
      <c r="U90" s="3">
        <v>0</v>
      </c>
      <c r="V90" s="3">
        <v>0</v>
      </c>
      <c r="W90" s="3">
        <v>0</v>
      </c>
      <c r="X90" s="3">
        <v>2</v>
      </c>
      <c r="Y90" s="3">
        <v>0</v>
      </c>
      <c r="Z90" s="3">
        <v>5</v>
      </c>
      <c r="AA90" s="3">
        <v>0</v>
      </c>
      <c r="AB90" s="3">
        <v>0</v>
      </c>
      <c r="AC90" s="3">
        <v>0</v>
      </c>
      <c r="AD90" s="3">
        <v>0</v>
      </c>
      <c r="AE90" s="3">
        <v>-3</v>
      </c>
      <c r="AF90" s="3">
        <v>3</v>
      </c>
      <c r="AG90" s="3">
        <v>3</v>
      </c>
      <c r="AH90" s="3">
        <v>3</v>
      </c>
      <c r="AI90" s="3">
        <v>0</v>
      </c>
      <c r="AJ90" s="3">
        <v>0</v>
      </c>
      <c r="AK90" s="3">
        <v>0</v>
      </c>
      <c r="AL90" s="3" t="s">
        <v>17</v>
      </c>
      <c r="AM90" t="s">
        <v>1033</v>
      </c>
      <c r="AN90" s="6" t="s">
        <v>1958</v>
      </c>
      <c r="AO90" s="3" t="s">
        <v>1847</v>
      </c>
      <c r="AP90" s="3">
        <v>0</v>
      </c>
      <c r="AQ90" s="3">
        <v>0</v>
      </c>
      <c r="AR90">
        <v>0</v>
      </c>
      <c r="AS90">
        <v>6</v>
      </c>
      <c r="AT90" s="6" t="s">
        <v>153</v>
      </c>
      <c r="AU90" s="6" t="s">
        <v>150</v>
      </c>
      <c r="AV90" s="6" t="s">
        <v>150</v>
      </c>
      <c r="AW90" s="6" t="s">
        <v>150</v>
      </c>
      <c r="AX90" s="6" t="s">
        <v>150</v>
      </c>
      <c r="AY90" s="6" t="s">
        <v>150</v>
      </c>
      <c r="AZ90" s="6" t="s">
        <v>150</v>
      </c>
      <c r="BA90" s="6" t="s">
        <v>150</v>
      </c>
      <c r="BB90" s="6" t="s">
        <v>150</v>
      </c>
      <c r="BC90" s="6" t="s">
        <v>150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1"/>
        <v>89</v>
      </c>
      <c r="B91" s="3" t="s">
        <v>1006</v>
      </c>
      <c r="C91" s="3" t="s">
        <v>1006</v>
      </c>
      <c r="D91" s="5" t="s">
        <v>1005</v>
      </c>
      <c r="E91" s="5" t="s">
        <v>1007</v>
      </c>
      <c r="F91" s="3">
        <v>0</v>
      </c>
      <c r="G91" s="3">
        <v>0</v>
      </c>
      <c r="H91" s="3">
        <v>0</v>
      </c>
      <c r="I91" s="3">
        <v>50</v>
      </c>
      <c r="J91" s="3">
        <v>10</v>
      </c>
      <c r="K91" s="3">
        <v>0.95</v>
      </c>
      <c r="L91" s="3">
        <v>0</v>
      </c>
      <c r="M91" s="3">
        <v>5</v>
      </c>
      <c r="N91" s="3">
        <v>0</v>
      </c>
      <c r="O91" s="3">
        <v>15</v>
      </c>
      <c r="P91" s="3">
        <v>0</v>
      </c>
      <c r="Q91" s="3">
        <v>0</v>
      </c>
      <c r="R91" s="3">
        <v>0</v>
      </c>
      <c r="S91" s="3">
        <v>0</v>
      </c>
      <c r="T91" s="3">
        <v>0</v>
      </c>
      <c r="U91" s="3">
        <v>0</v>
      </c>
      <c r="V91" s="3">
        <v>0</v>
      </c>
      <c r="W91" s="3">
        <v>0</v>
      </c>
      <c r="X91" s="3">
        <v>2</v>
      </c>
      <c r="Y91" s="3">
        <v>0</v>
      </c>
      <c r="Z91" s="3">
        <v>5</v>
      </c>
      <c r="AA91" s="3">
        <v>0</v>
      </c>
      <c r="AB91" s="3">
        <v>0</v>
      </c>
      <c r="AC91" s="3">
        <v>3</v>
      </c>
      <c r="AD91" s="3">
        <v>0</v>
      </c>
      <c r="AE91" s="3">
        <v>-4</v>
      </c>
      <c r="AF91" s="3">
        <v>4</v>
      </c>
      <c r="AG91" s="3">
        <v>4</v>
      </c>
      <c r="AH91" s="3">
        <v>3</v>
      </c>
      <c r="AI91" s="3">
        <v>0</v>
      </c>
      <c r="AJ91" s="3">
        <v>0</v>
      </c>
      <c r="AK91" s="3">
        <v>0</v>
      </c>
      <c r="AL91" s="3" t="s">
        <v>17</v>
      </c>
      <c r="AM91" t="s">
        <v>1033</v>
      </c>
      <c r="AN91" s="6" t="s">
        <v>1959</v>
      </c>
      <c r="AO91" s="3" t="s">
        <v>1847</v>
      </c>
      <c r="AP91" s="3">
        <v>0</v>
      </c>
      <c r="AQ91" s="3">
        <v>0</v>
      </c>
      <c r="AR91">
        <v>0</v>
      </c>
      <c r="AS91">
        <v>6</v>
      </c>
      <c r="AT91" s="6" t="s">
        <v>1012</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ht="15.75" customHeight="1" x14ac:dyDescent="0.2">
      <c r="A92" s="3">
        <f t="shared" si="1"/>
        <v>90</v>
      </c>
      <c r="B92" s="3" t="s">
        <v>2543</v>
      </c>
      <c r="C92" s="3" t="s">
        <v>1852</v>
      </c>
      <c r="D92" s="5" t="s">
        <v>1851</v>
      </c>
      <c r="E92" s="5" t="s">
        <v>2544</v>
      </c>
      <c r="F92" s="3">
        <v>0</v>
      </c>
      <c r="G92" s="3">
        <v>0</v>
      </c>
      <c r="H92" s="3">
        <v>0</v>
      </c>
      <c r="I92" s="3">
        <v>50</v>
      </c>
      <c r="J92" s="3">
        <v>10</v>
      </c>
      <c r="K92" s="3">
        <v>0.95</v>
      </c>
      <c r="L92" s="3">
        <v>0</v>
      </c>
      <c r="M92" s="3">
        <v>7</v>
      </c>
      <c r="N92" s="3">
        <v>5</v>
      </c>
      <c r="O92" s="3">
        <v>22</v>
      </c>
      <c r="P92" s="3">
        <v>0</v>
      </c>
      <c r="Q92" s="3">
        <v>0</v>
      </c>
      <c r="R92" s="3">
        <v>0</v>
      </c>
      <c r="S92" s="3">
        <v>0</v>
      </c>
      <c r="T92" s="3">
        <v>0</v>
      </c>
      <c r="U92" s="3">
        <v>0</v>
      </c>
      <c r="V92" s="3">
        <v>0</v>
      </c>
      <c r="W92" s="3">
        <v>0</v>
      </c>
      <c r="X92" s="3">
        <v>2</v>
      </c>
      <c r="Y92" s="3">
        <v>0</v>
      </c>
      <c r="Z92" s="3">
        <v>30</v>
      </c>
      <c r="AA92" s="3">
        <v>0</v>
      </c>
      <c r="AB92" s="3">
        <v>0</v>
      </c>
      <c r="AC92" s="3">
        <v>3</v>
      </c>
      <c r="AD92" s="3">
        <v>0</v>
      </c>
      <c r="AE92" s="3">
        <v>-8</v>
      </c>
      <c r="AF92" s="3">
        <v>8</v>
      </c>
      <c r="AG92" s="3">
        <v>8</v>
      </c>
      <c r="AH92" s="3">
        <v>3</v>
      </c>
      <c r="AI92" s="3">
        <v>0</v>
      </c>
      <c r="AJ92" s="3">
        <v>0</v>
      </c>
      <c r="AK92" s="3">
        <v>0</v>
      </c>
      <c r="AL92" s="3" t="s">
        <v>17</v>
      </c>
      <c r="AM92" s="6" t="s">
        <v>1033</v>
      </c>
      <c r="AN92" s="6" t="s">
        <v>1959</v>
      </c>
      <c r="AO92" s="3" t="s">
        <v>50</v>
      </c>
      <c r="AP92" s="3">
        <v>0</v>
      </c>
      <c r="AQ92" s="3">
        <v>0</v>
      </c>
      <c r="AR92">
        <v>0</v>
      </c>
      <c r="AS92">
        <v>10</v>
      </c>
      <c r="AT92" s="6" t="s">
        <v>1853</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1"/>
        <v>91</v>
      </c>
      <c r="B93" s="3" t="s">
        <v>1896</v>
      </c>
      <c r="C93" s="3" t="s">
        <v>1896</v>
      </c>
      <c r="D93" s="5" t="s">
        <v>1897</v>
      </c>
      <c r="E93" s="5" t="s">
        <v>1898</v>
      </c>
      <c r="F93" s="3">
        <v>0</v>
      </c>
      <c r="G93" s="3">
        <v>0</v>
      </c>
      <c r="H93" s="3">
        <v>0</v>
      </c>
      <c r="I93" s="3">
        <v>50</v>
      </c>
      <c r="J93" s="3">
        <v>10</v>
      </c>
      <c r="K93" s="3">
        <v>0.95</v>
      </c>
      <c r="L93" s="3">
        <v>0</v>
      </c>
      <c r="M93" s="3">
        <v>20</v>
      </c>
      <c r="N93" s="3">
        <v>7</v>
      </c>
      <c r="O93" s="3">
        <v>20</v>
      </c>
      <c r="P93" s="3">
        <v>0</v>
      </c>
      <c r="Q93" s="3">
        <v>0</v>
      </c>
      <c r="R93" s="3">
        <v>0</v>
      </c>
      <c r="S93" s="3">
        <v>0</v>
      </c>
      <c r="T93" s="3">
        <v>0</v>
      </c>
      <c r="U93" s="3">
        <v>0</v>
      </c>
      <c r="V93" s="3">
        <v>0</v>
      </c>
      <c r="W93" s="3">
        <v>0</v>
      </c>
      <c r="X93" s="3">
        <v>2</v>
      </c>
      <c r="Y93" s="3">
        <v>0</v>
      </c>
      <c r="Z93" s="3">
        <v>30</v>
      </c>
      <c r="AA93" s="3">
        <v>0</v>
      </c>
      <c r="AB93" s="3">
        <v>0</v>
      </c>
      <c r="AC93" s="3">
        <v>0</v>
      </c>
      <c r="AD93" s="3">
        <v>0</v>
      </c>
      <c r="AE93" s="3">
        <v>0</v>
      </c>
      <c r="AF93" s="3">
        <v>0</v>
      </c>
      <c r="AG93" s="3">
        <v>8</v>
      </c>
      <c r="AH93" s="3">
        <v>3</v>
      </c>
      <c r="AI93" s="3">
        <v>0</v>
      </c>
      <c r="AJ93" s="3">
        <v>0</v>
      </c>
      <c r="AK93" s="3">
        <v>0</v>
      </c>
      <c r="AL93" s="3" t="s">
        <v>17</v>
      </c>
      <c r="AM93" t="s">
        <v>1033</v>
      </c>
      <c r="AN93" s="6" t="s">
        <v>1960</v>
      </c>
      <c r="AO93" s="3" t="s">
        <v>50</v>
      </c>
      <c r="AP93" s="3">
        <v>0</v>
      </c>
      <c r="AQ93" s="3">
        <v>0</v>
      </c>
      <c r="AR93">
        <v>0</v>
      </c>
      <c r="AS93">
        <v>10</v>
      </c>
      <c r="AT93" s="6" t="s">
        <v>1899</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1"/>
        <v>92</v>
      </c>
      <c r="B94" s="3" t="s">
        <v>1011</v>
      </c>
      <c r="C94" s="3" t="s">
        <v>1011</v>
      </c>
      <c r="D94" s="5" t="s">
        <v>1009</v>
      </c>
      <c r="E94" s="5" t="s">
        <v>1010</v>
      </c>
      <c r="F94" s="3">
        <v>0</v>
      </c>
      <c r="G94" s="3">
        <v>0</v>
      </c>
      <c r="H94" s="3">
        <v>0</v>
      </c>
      <c r="I94" s="3">
        <v>50</v>
      </c>
      <c r="J94" s="3">
        <v>10</v>
      </c>
      <c r="K94" s="3">
        <v>0.95</v>
      </c>
      <c r="L94" s="3">
        <v>0</v>
      </c>
      <c r="M94" s="3">
        <v>7</v>
      </c>
      <c r="N94" s="3">
        <v>5</v>
      </c>
      <c r="O94" s="3">
        <v>12</v>
      </c>
      <c r="P94" s="3">
        <v>0</v>
      </c>
      <c r="Q94" s="3">
        <v>0</v>
      </c>
      <c r="R94" s="3">
        <v>0</v>
      </c>
      <c r="S94" s="3">
        <v>0</v>
      </c>
      <c r="T94" s="3">
        <v>0</v>
      </c>
      <c r="U94" s="3">
        <v>0</v>
      </c>
      <c r="V94" s="3">
        <v>0</v>
      </c>
      <c r="W94" s="3">
        <v>0</v>
      </c>
      <c r="X94" s="3">
        <v>2</v>
      </c>
      <c r="Y94" s="3">
        <v>0</v>
      </c>
      <c r="Z94" s="3">
        <v>5</v>
      </c>
      <c r="AA94" s="3">
        <v>0</v>
      </c>
      <c r="AB94" s="3">
        <v>0</v>
      </c>
      <c r="AC94" s="3">
        <v>0</v>
      </c>
      <c r="AD94" s="3">
        <v>0</v>
      </c>
      <c r="AE94" s="3">
        <v>5</v>
      </c>
      <c r="AF94" s="3">
        <v>-5</v>
      </c>
      <c r="AG94" s="3">
        <v>0</v>
      </c>
      <c r="AH94" s="3">
        <v>3</v>
      </c>
      <c r="AI94" s="3">
        <v>0</v>
      </c>
      <c r="AJ94" s="3">
        <v>0</v>
      </c>
      <c r="AK94" s="3">
        <v>0</v>
      </c>
      <c r="AL94" s="3" t="s">
        <v>17</v>
      </c>
      <c r="AM94" s="6" t="s">
        <v>1033</v>
      </c>
      <c r="AN94" s="6" t="s">
        <v>1961</v>
      </c>
      <c r="AO94" s="3" t="s">
        <v>1847</v>
      </c>
      <c r="AP94" s="3">
        <v>0</v>
      </c>
      <c r="AQ94" s="3">
        <v>0</v>
      </c>
      <c r="AR94">
        <v>0</v>
      </c>
      <c r="AS94">
        <v>6</v>
      </c>
      <c r="AT94" s="6" t="s">
        <v>1013</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93</v>
      </c>
      <c r="B95" s="3" t="s">
        <v>1016</v>
      </c>
      <c r="C95" s="3" t="s">
        <v>1016</v>
      </c>
      <c r="D95" s="5" t="s">
        <v>1014</v>
      </c>
      <c r="E95" s="5" t="s">
        <v>1015</v>
      </c>
      <c r="F95" s="3">
        <v>0</v>
      </c>
      <c r="G95" s="3">
        <v>0</v>
      </c>
      <c r="H95" s="3">
        <v>0</v>
      </c>
      <c r="I95" s="3">
        <v>50</v>
      </c>
      <c r="J95" s="3">
        <v>10</v>
      </c>
      <c r="K95" s="3">
        <v>0.95</v>
      </c>
      <c r="L95" s="3">
        <v>0</v>
      </c>
      <c r="M95" s="3">
        <v>7</v>
      </c>
      <c r="N95" s="3">
        <v>5</v>
      </c>
      <c r="O95" s="3">
        <v>22</v>
      </c>
      <c r="P95" s="3">
        <v>0</v>
      </c>
      <c r="Q95" s="3">
        <v>0</v>
      </c>
      <c r="R95" s="3">
        <v>0</v>
      </c>
      <c r="S95" s="3">
        <v>0</v>
      </c>
      <c r="T95" s="3">
        <v>0</v>
      </c>
      <c r="U95" s="3">
        <v>0</v>
      </c>
      <c r="V95" s="3">
        <v>0</v>
      </c>
      <c r="W95" s="3">
        <v>0</v>
      </c>
      <c r="X95" s="3">
        <v>2</v>
      </c>
      <c r="Y95" s="3">
        <v>0</v>
      </c>
      <c r="Z95" s="3">
        <v>30</v>
      </c>
      <c r="AA95" s="3">
        <v>0</v>
      </c>
      <c r="AB95" s="3">
        <v>0</v>
      </c>
      <c r="AC95" s="3">
        <v>0</v>
      </c>
      <c r="AD95" s="3">
        <v>0</v>
      </c>
      <c r="AE95" s="3">
        <v>10</v>
      </c>
      <c r="AF95" s="3">
        <v>-10</v>
      </c>
      <c r="AG95" s="3">
        <v>0</v>
      </c>
      <c r="AH95" s="3">
        <v>3</v>
      </c>
      <c r="AI95" s="3">
        <v>0</v>
      </c>
      <c r="AJ95" s="3">
        <v>0</v>
      </c>
      <c r="AK95" s="3">
        <v>0</v>
      </c>
      <c r="AL95" s="3" t="s">
        <v>17</v>
      </c>
      <c r="AM95" t="s">
        <v>1033</v>
      </c>
      <c r="AN95" s="6" t="s">
        <v>1962</v>
      </c>
      <c r="AO95" s="3" t="s">
        <v>1847</v>
      </c>
      <c r="AP95" s="3">
        <v>0</v>
      </c>
      <c r="AQ95" s="3">
        <v>0</v>
      </c>
      <c r="AR95">
        <v>0</v>
      </c>
      <c r="AS95">
        <v>10</v>
      </c>
      <c r="AT95" s="6" t="s">
        <v>1020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1"/>
        <v>94</v>
      </c>
      <c r="B96" s="3" t="s">
        <v>1018</v>
      </c>
      <c r="C96" s="3" t="s">
        <v>1018</v>
      </c>
      <c r="D96" s="5" t="s">
        <v>1017</v>
      </c>
      <c r="E96" s="5" t="s">
        <v>1019</v>
      </c>
      <c r="F96" s="3">
        <v>0</v>
      </c>
      <c r="G96" s="3">
        <v>0</v>
      </c>
      <c r="H96" s="3">
        <v>0</v>
      </c>
      <c r="I96" s="3">
        <v>50</v>
      </c>
      <c r="J96" s="3">
        <v>10</v>
      </c>
      <c r="K96" s="3">
        <v>0.95</v>
      </c>
      <c r="L96" s="3">
        <v>0</v>
      </c>
      <c r="M96" s="3">
        <v>3</v>
      </c>
      <c r="N96" s="3">
        <v>20</v>
      </c>
      <c r="O96" s="3">
        <v>20</v>
      </c>
      <c r="P96" s="3">
        <v>0</v>
      </c>
      <c r="Q96" s="3">
        <v>0</v>
      </c>
      <c r="R96" s="3">
        <v>0</v>
      </c>
      <c r="S96" s="3">
        <v>0</v>
      </c>
      <c r="T96" s="3">
        <v>0</v>
      </c>
      <c r="U96" s="3">
        <v>0</v>
      </c>
      <c r="V96" s="3">
        <v>0</v>
      </c>
      <c r="W96" s="3">
        <v>0</v>
      </c>
      <c r="X96" s="3">
        <v>2</v>
      </c>
      <c r="Y96" s="3">
        <v>0</v>
      </c>
      <c r="Z96" s="3">
        <v>1</v>
      </c>
      <c r="AA96" s="3">
        <v>0</v>
      </c>
      <c r="AB96" s="3">
        <v>0</v>
      </c>
      <c r="AC96" s="3">
        <v>0</v>
      </c>
      <c r="AD96" s="3">
        <v>0</v>
      </c>
      <c r="AE96" s="3">
        <v>10</v>
      </c>
      <c r="AF96" s="3">
        <v>-10</v>
      </c>
      <c r="AG96" s="3">
        <v>0</v>
      </c>
      <c r="AH96" s="3">
        <v>3</v>
      </c>
      <c r="AI96" s="3">
        <v>0</v>
      </c>
      <c r="AJ96" s="3">
        <v>0</v>
      </c>
      <c r="AK96" s="3">
        <v>0</v>
      </c>
      <c r="AL96" s="3" t="s">
        <v>17</v>
      </c>
      <c r="AM96" t="s">
        <v>1033</v>
      </c>
      <c r="AN96" s="6" t="s">
        <v>1963</v>
      </c>
      <c r="AO96" s="3" t="s">
        <v>1847</v>
      </c>
      <c r="AP96" s="3">
        <v>0</v>
      </c>
      <c r="AQ96" s="3">
        <v>0</v>
      </c>
      <c r="AR96">
        <v>0</v>
      </c>
      <c r="AS96">
        <v>6</v>
      </c>
      <c r="AT96" s="6" t="s">
        <v>1021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row>
    <row r="97" spans="1:73" ht="15.75" customHeight="1" x14ac:dyDescent="0.2">
      <c r="A97" s="3">
        <f t="shared" si="1"/>
        <v>95</v>
      </c>
      <c r="B97" s="3" t="s">
        <v>22</v>
      </c>
      <c r="C97" s="3" t="s">
        <v>154</v>
      </c>
      <c r="D97" s="5" t="s">
        <v>319</v>
      </c>
      <c r="E97" s="5" t="s">
        <v>1008</v>
      </c>
      <c r="F97" s="3">
        <v>0</v>
      </c>
      <c r="G97" s="3">
        <v>0</v>
      </c>
      <c r="H97" s="3">
        <v>0</v>
      </c>
      <c r="I97" s="3">
        <v>50</v>
      </c>
      <c r="J97" s="3">
        <v>15</v>
      </c>
      <c r="K97" s="3">
        <v>0.95</v>
      </c>
      <c r="L97" s="3">
        <v>0</v>
      </c>
      <c r="M97" s="3">
        <v>7</v>
      </c>
      <c r="N97" s="3">
        <v>0</v>
      </c>
      <c r="O97" s="3">
        <v>5</v>
      </c>
      <c r="P97" s="3">
        <v>0</v>
      </c>
      <c r="Q97" s="3">
        <v>0</v>
      </c>
      <c r="R97" s="3">
        <v>0</v>
      </c>
      <c r="S97" s="3">
        <v>0</v>
      </c>
      <c r="T97" s="3">
        <v>0</v>
      </c>
      <c r="U97" s="3">
        <v>0</v>
      </c>
      <c r="V97" s="3">
        <v>0</v>
      </c>
      <c r="W97" s="3">
        <v>0</v>
      </c>
      <c r="X97" s="3">
        <v>3</v>
      </c>
      <c r="Y97" s="3">
        <v>0</v>
      </c>
      <c r="Z97" s="3">
        <v>5</v>
      </c>
      <c r="AA97" s="3">
        <v>0</v>
      </c>
      <c r="AB97" s="3">
        <v>0</v>
      </c>
      <c r="AC97" s="3">
        <v>3</v>
      </c>
      <c r="AD97" s="3">
        <v>0</v>
      </c>
      <c r="AE97" s="3">
        <v>-5</v>
      </c>
      <c r="AF97" s="3">
        <v>5</v>
      </c>
      <c r="AG97" s="3">
        <v>5</v>
      </c>
      <c r="AH97" s="3">
        <v>3</v>
      </c>
      <c r="AI97" s="3">
        <v>0</v>
      </c>
      <c r="AJ97" s="3">
        <v>0</v>
      </c>
      <c r="AK97" s="3">
        <v>0</v>
      </c>
      <c r="AL97" s="3" t="s">
        <v>17</v>
      </c>
      <c r="AM97" t="s">
        <v>1033</v>
      </c>
      <c r="AN97" s="6" t="s">
        <v>1964</v>
      </c>
      <c r="AO97" s="3" t="s">
        <v>1847</v>
      </c>
      <c r="AP97" s="3">
        <v>0</v>
      </c>
      <c r="AQ97" s="3">
        <v>0</v>
      </c>
      <c r="AR97">
        <v>0</v>
      </c>
      <c r="AS97">
        <v>5</v>
      </c>
      <c r="AT97" s="6" t="s">
        <v>155</v>
      </c>
      <c r="AU97" s="6" t="s">
        <v>150</v>
      </c>
      <c r="AV97" s="6" t="s">
        <v>150</v>
      </c>
      <c r="AW97" s="6" t="s">
        <v>150</v>
      </c>
      <c r="AX97" s="6" t="s">
        <v>150</v>
      </c>
      <c r="AY97" s="6" t="s">
        <v>150</v>
      </c>
      <c r="AZ97" s="6" t="s">
        <v>150</v>
      </c>
      <c r="BA97" s="6" t="s">
        <v>150</v>
      </c>
      <c r="BB97" s="6" t="s">
        <v>150</v>
      </c>
      <c r="BC97" s="6" t="s">
        <v>150</v>
      </c>
      <c r="BD97" s="6" t="s">
        <v>50</v>
      </c>
      <c r="BE97" s="6" t="s">
        <v>50</v>
      </c>
      <c r="BF97" s="6" t="s">
        <v>50</v>
      </c>
      <c r="BG97" s="6" t="s">
        <v>50</v>
      </c>
      <c r="BH97" s="6" t="s">
        <v>50</v>
      </c>
      <c r="BI97">
        <v>1</v>
      </c>
      <c r="BJ97">
        <v>0</v>
      </c>
      <c r="BK97">
        <v>1</v>
      </c>
      <c r="BL97">
        <v>0</v>
      </c>
      <c r="BM97">
        <v>0</v>
      </c>
      <c r="BN97">
        <v>0</v>
      </c>
      <c r="BO97">
        <v>0</v>
      </c>
      <c r="BP97" s="6" t="s">
        <v>50</v>
      </c>
      <c r="BQ97">
        <v>0</v>
      </c>
      <c r="BR97" s="6" t="s">
        <v>50</v>
      </c>
      <c r="BS97">
        <v>0</v>
      </c>
      <c r="BT97" s="6" t="s">
        <v>50</v>
      </c>
      <c r="BU97">
        <v>0</v>
      </c>
    </row>
    <row r="98" spans="1:73" ht="15.75" customHeight="1" x14ac:dyDescent="0.2">
      <c r="A98" s="3">
        <f t="shared" si="1"/>
        <v>96</v>
      </c>
      <c r="B98" s="3" t="s">
        <v>2547</v>
      </c>
      <c r="C98" s="3" t="s">
        <v>2030</v>
      </c>
      <c r="D98" s="5" t="s">
        <v>2373</v>
      </c>
      <c r="E98" s="5" t="s">
        <v>2545</v>
      </c>
      <c r="F98" s="3">
        <v>0</v>
      </c>
      <c r="G98" s="3">
        <v>0</v>
      </c>
      <c r="H98" s="3">
        <v>0</v>
      </c>
      <c r="I98" s="3">
        <v>50</v>
      </c>
      <c r="J98" s="3">
        <v>15</v>
      </c>
      <c r="K98" s="3">
        <v>0.95</v>
      </c>
      <c r="L98" s="3">
        <v>0</v>
      </c>
      <c r="M98" s="3">
        <v>7</v>
      </c>
      <c r="N98" s="3">
        <v>0</v>
      </c>
      <c r="O98" s="3">
        <v>17</v>
      </c>
      <c r="P98" s="3">
        <v>0</v>
      </c>
      <c r="Q98" s="3">
        <v>0</v>
      </c>
      <c r="R98" s="3">
        <v>0</v>
      </c>
      <c r="S98" s="3">
        <v>0</v>
      </c>
      <c r="T98" s="3">
        <v>0</v>
      </c>
      <c r="U98" s="3">
        <v>0</v>
      </c>
      <c r="V98" s="3">
        <v>0</v>
      </c>
      <c r="W98" s="3">
        <v>0</v>
      </c>
      <c r="X98" s="3">
        <v>3</v>
      </c>
      <c r="Y98" s="3">
        <v>0</v>
      </c>
      <c r="Z98" s="3">
        <v>5</v>
      </c>
      <c r="AA98" s="3">
        <v>0</v>
      </c>
      <c r="AB98" s="3">
        <v>0</v>
      </c>
      <c r="AC98" s="3">
        <v>3</v>
      </c>
      <c r="AD98" s="3">
        <v>0</v>
      </c>
      <c r="AE98" s="3">
        <v>-5</v>
      </c>
      <c r="AF98" s="3">
        <v>5</v>
      </c>
      <c r="AG98" s="3">
        <v>8</v>
      </c>
      <c r="AH98" s="3">
        <v>3</v>
      </c>
      <c r="AI98" s="3">
        <v>0</v>
      </c>
      <c r="AJ98" s="3">
        <v>0</v>
      </c>
      <c r="AK98" s="3">
        <v>0</v>
      </c>
      <c r="AL98" s="3" t="s">
        <v>17</v>
      </c>
      <c r="AM98" t="s">
        <v>1033</v>
      </c>
      <c r="AN98" s="6" t="s">
        <v>1964</v>
      </c>
      <c r="AO98" s="3" t="s">
        <v>50</v>
      </c>
      <c r="AP98" s="3">
        <v>0</v>
      </c>
      <c r="AQ98" s="3">
        <v>0</v>
      </c>
      <c r="AR98">
        <v>0</v>
      </c>
      <c r="AS98">
        <v>5</v>
      </c>
      <c r="AT98" s="6" t="s">
        <v>2504</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c r="BP98" s="6" t="s">
        <v>50</v>
      </c>
      <c r="BQ98">
        <v>0</v>
      </c>
      <c r="BR98" s="6" t="s">
        <v>50</v>
      </c>
      <c r="BS98">
        <v>0</v>
      </c>
      <c r="BT98" s="6" t="s">
        <v>50</v>
      </c>
      <c r="BU98">
        <v>0</v>
      </c>
    </row>
    <row r="99" spans="1:73" ht="15.75" customHeight="1" x14ac:dyDescent="0.2">
      <c r="A99" s="3">
        <f t="shared" si="1"/>
        <v>97</v>
      </c>
      <c r="B99" s="3" t="s">
        <v>2548</v>
      </c>
      <c r="C99" s="3" t="s">
        <v>2031</v>
      </c>
      <c r="D99" s="5" t="s">
        <v>2164</v>
      </c>
      <c r="E99" s="5" t="s">
        <v>2374</v>
      </c>
      <c r="F99" s="3">
        <v>0</v>
      </c>
      <c r="G99" s="3">
        <v>0</v>
      </c>
      <c r="H99" s="3">
        <v>0</v>
      </c>
      <c r="I99" s="3">
        <v>50</v>
      </c>
      <c r="J99" s="3">
        <v>15</v>
      </c>
      <c r="K99" s="3">
        <v>0.95</v>
      </c>
      <c r="L99" s="3">
        <v>0</v>
      </c>
      <c r="M99" s="3">
        <v>22</v>
      </c>
      <c r="N99" s="3">
        <v>0</v>
      </c>
      <c r="O99" s="3">
        <v>3</v>
      </c>
      <c r="P99" s="3">
        <v>0</v>
      </c>
      <c r="Q99" s="3">
        <v>0</v>
      </c>
      <c r="R99" s="3">
        <v>0</v>
      </c>
      <c r="S99" s="3">
        <v>0</v>
      </c>
      <c r="T99" s="3">
        <v>0</v>
      </c>
      <c r="U99" s="3">
        <v>0</v>
      </c>
      <c r="V99" s="3">
        <v>0</v>
      </c>
      <c r="W99" s="3">
        <v>0</v>
      </c>
      <c r="X99" s="3">
        <v>3</v>
      </c>
      <c r="Y99" s="3">
        <v>0</v>
      </c>
      <c r="Z99" s="3">
        <v>5</v>
      </c>
      <c r="AA99" s="3">
        <v>0</v>
      </c>
      <c r="AB99" s="3">
        <v>0</v>
      </c>
      <c r="AC99" s="3">
        <v>6</v>
      </c>
      <c r="AD99" s="3">
        <v>0</v>
      </c>
      <c r="AE99" s="3">
        <v>-5</v>
      </c>
      <c r="AF99" s="3">
        <v>5</v>
      </c>
      <c r="AG99" s="3">
        <v>15</v>
      </c>
      <c r="AH99" s="3">
        <v>3</v>
      </c>
      <c r="AI99" s="3">
        <v>0</v>
      </c>
      <c r="AJ99" s="3">
        <v>0</v>
      </c>
      <c r="AK99" s="3">
        <v>0</v>
      </c>
      <c r="AL99" s="3" t="s">
        <v>17</v>
      </c>
      <c r="AM99" t="s">
        <v>1033</v>
      </c>
      <c r="AN99" s="6" t="s">
        <v>1964</v>
      </c>
      <c r="AO99" s="3" t="s">
        <v>50</v>
      </c>
      <c r="AP99" s="3">
        <v>0</v>
      </c>
      <c r="AQ99" s="3">
        <v>0</v>
      </c>
      <c r="AR99">
        <v>0</v>
      </c>
      <c r="AS99">
        <v>5</v>
      </c>
      <c r="AT99" s="6" t="s">
        <v>2505</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row>
    <row r="100" spans="1:73" ht="15.75" customHeight="1" x14ac:dyDescent="0.2">
      <c r="A100" s="3">
        <f t="shared" si="1"/>
        <v>98</v>
      </c>
      <c r="B100" s="3" t="s">
        <v>543</v>
      </c>
      <c r="C100" s="3" t="s">
        <v>543</v>
      </c>
      <c r="D100" s="5" t="s">
        <v>542</v>
      </c>
      <c r="E100" s="5" t="s">
        <v>544</v>
      </c>
      <c r="F100" s="3">
        <v>0</v>
      </c>
      <c r="G100" s="3">
        <v>0</v>
      </c>
      <c r="H100" s="3">
        <v>0</v>
      </c>
      <c r="I100" s="3">
        <v>50</v>
      </c>
      <c r="J100" s="3">
        <v>20</v>
      </c>
      <c r="K100" s="3">
        <v>0.95</v>
      </c>
      <c r="L100" s="3">
        <v>0</v>
      </c>
      <c r="M100" s="3">
        <v>8</v>
      </c>
      <c r="N100" s="3">
        <v>0</v>
      </c>
      <c r="O100" s="3">
        <v>5</v>
      </c>
      <c r="P100" s="3">
        <v>0</v>
      </c>
      <c r="Q100" s="3">
        <v>0</v>
      </c>
      <c r="R100" s="3">
        <v>0</v>
      </c>
      <c r="S100" s="3">
        <v>0</v>
      </c>
      <c r="T100" s="3">
        <v>0</v>
      </c>
      <c r="U100" s="3">
        <v>0</v>
      </c>
      <c r="V100" s="3">
        <v>0</v>
      </c>
      <c r="W100" s="3">
        <v>0</v>
      </c>
      <c r="X100" s="3">
        <v>2</v>
      </c>
      <c r="Y100" s="3">
        <v>0</v>
      </c>
      <c r="Z100" s="3">
        <v>5</v>
      </c>
      <c r="AA100" s="3">
        <v>0</v>
      </c>
      <c r="AB100" s="3">
        <v>0</v>
      </c>
      <c r="AC100" s="3">
        <v>0</v>
      </c>
      <c r="AD100" s="3">
        <v>0</v>
      </c>
      <c r="AE100" s="3">
        <v>-4</v>
      </c>
      <c r="AF100" s="3">
        <v>4</v>
      </c>
      <c r="AG100" s="3">
        <v>4</v>
      </c>
      <c r="AH100" s="3">
        <v>3</v>
      </c>
      <c r="AI100" s="3">
        <v>0</v>
      </c>
      <c r="AJ100" s="3">
        <v>0</v>
      </c>
      <c r="AK100" s="3">
        <v>0</v>
      </c>
      <c r="AL100" s="3" t="s">
        <v>17</v>
      </c>
      <c r="AM100" s="6" t="s">
        <v>1033</v>
      </c>
      <c r="AN100" s="6" t="s">
        <v>1965</v>
      </c>
      <c r="AO100" s="3" t="s">
        <v>1847</v>
      </c>
      <c r="AP100" s="3">
        <v>0</v>
      </c>
      <c r="AQ100" s="3">
        <v>0</v>
      </c>
      <c r="AR100">
        <v>0</v>
      </c>
      <c r="AS100">
        <v>5</v>
      </c>
      <c r="AT100" s="6" t="s">
        <v>546</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row>
    <row r="101" spans="1:73" ht="15.75" customHeight="1" x14ac:dyDescent="0.2">
      <c r="A101" s="3">
        <f t="shared" si="1"/>
        <v>99</v>
      </c>
      <c r="B101" s="3" t="s">
        <v>357</v>
      </c>
      <c r="C101" s="3" t="s">
        <v>320</v>
      </c>
      <c r="D101" s="5" t="s">
        <v>318</v>
      </c>
      <c r="E101" s="5" t="s">
        <v>321</v>
      </c>
      <c r="F101" s="3">
        <v>0</v>
      </c>
      <c r="G101" s="3">
        <v>0</v>
      </c>
      <c r="H101" s="3">
        <v>0</v>
      </c>
      <c r="I101" s="3">
        <v>50</v>
      </c>
      <c r="J101" s="3">
        <v>7</v>
      </c>
      <c r="K101" s="3">
        <v>0.95</v>
      </c>
      <c r="L101" s="3">
        <v>0</v>
      </c>
      <c r="M101" s="3">
        <v>9</v>
      </c>
      <c r="N101" s="3">
        <v>0</v>
      </c>
      <c r="O101" s="3">
        <v>0</v>
      </c>
      <c r="P101" s="3">
        <v>0</v>
      </c>
      <c r="Q101" s="3">
        <v>0</v>
      </c>
      <c r="R101" s="3">
        <v>0</v>
      </c>
      <c r="S101" s="3">
        <v>0</v>
      </c>
      <c r="T101" s="3">
        <v>0</v>
      </c>
      <c r="U101" s="3">
        <v>0</v>
      </c>
      <c r="V101" s="3">
        <v>0</v>
      </c>
      <c r="W101" s="3">
        <v>0</v>
      </c>
      <c r="X101" s="3">
        <v>3</v>
      </c>
      <c r="Y101" s="3">
        <v>0</v>
      </c>
      <c r="Z101" s="3">
        <v>5</v>
      </c>
      <c r="AA101" s="3">
        <v>0</v>
      </c>
      <c r="AB101" s="3">
        <v>0</v>
      </c>
      <c r="AC101" s="3">
        <v>0</v>
      </c>
      <c r="AD101" s="3">
        <v>0</v>
      </c>
      <c r="AE101" s="3">
        <v>0</v>
      </c>
      <c r="AF101" s="3">
        <v>0</v>
      </c>
      <c r="AG101" s="3">
        <v>0</v>
      </c>
      <c r="AH101" s="3">
        <v>3</v>
      </c>
      <c r="AI101" s="3">
        <v>0</v>
      </c>
      <c r="AJ101" s="3">
        <v>0</v>
      </c>
      <c r="AK101" s="3">
        <v>0</v>
      </c>
      <c r="AL101" s="3" t="s">
        <v>17</v>
      </c>
      <c r="AM101" s="3" t="s">
        <v>18</v>
      </c>
      <c r="AN101" s="6" t="s">
        <v>1966</v>
      </c>
      <c r="AO101" s="3" t="s">
        <v>1847</v>
      </c>
      <c r="AP101" s="3">
        <v>0</v>
      </c>
      <c r="AQ101" s="3">
        <v>0</v>
      </c>
      <c r="AR101">
        <v>0</v>
      </c>
      <c r="AS101">
        <v>3</v>
      </c>
      <c r="AT101" s="6" t="s">
        <v>331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row>
    <row r="102" spans="1:73" ht="15.75" customHeight="1" x14ac:dyDescent="0.2">
      <c r="A102" s="3">
        <f t="shared" si="1"/>
        <v>100</v>
      </c>
      <c r="B102" s="3" t="s">
        <v>358</v>
      </c>
      <c r="C102" s="3" t="s">
        <v>323</v>
      </c>
      <c r="D102" s="5" t="s">
        <v>333</v>
      </c>
      <c r="E102" s="5" t="s">
        <v>322</v>
      </c>
      <c r="F102" s="3">
        <v>0</v>
      </c>
      <c r="G102" s="3">
        <v>0</v>
      </c>
      <c r="H102" s="3">
        <v>0</v>
      </c>
      <c r="I102" s="3">
        <v>50</v>
      </c>
      <c r="J102" s="3">
        <v>12</v>
      </c>
      <c r="K102" s="3">
        <v>0.95</v>
      </c>
      <c r="L102" s="3">
        <v>0</v>
      </c>
      <c r="M102" s="3">
        <v>5</v>
      </c>
      <c r="N102" s="3">
        <v>0</v>
      </c>
      <c r="O102" s="3">
        <v>7</v>
      </c>
      <c r="P102" s="3">
        <v>0</v>
      </c>
      <c r="Q102" s="3">
        <v>0</v>
      </c>
      <c r="R102" s="3">
        <v>0</v>
      </c>
      <c r="S102" s="3">
        <v>0</v>
      </c>
      <c r="T102" s="3">
        <v>0</v>
      </c>
      <c r="U102" s="3">
        <v>0</v>
      </c>
      <c r="V102" s="3">
        <v>0</v>
      </c>
      <c r="W102" s="3">
        <v>0</v>
      </c>
      <c r="X102" s="3">
        <v>3</v>
      </c>
      <c r="Y102" s="3">
        <v>0</v>
      </c>
      <c r="Z102" s="3">
        <v>5</v>
      </c>
      <c r="AA102" s="3">
        <v>6</v>
      </c>
      <c r="AB102" s="3">
        <v>0</v>
      </c>
      <c r="AC102" s="3">
        <v>0</v>
      </c>
      <c r="AD102" s="3">
        <v>0</v>
      </c>
      <c r="AE102" s="3">
        <v>15</v>
      </c>
      <c r="AF102" s="3">
        <v>-15</v>
      </c>
      <c r="AG102" s="3">
        <v>0</v>
      </c>
      <c r="AH102" s="3">
        <v>3</v>
      </c>
      <c r="AI102" s="3">
        <v>0</v>
      </c>
      <c r="AJ102" s="3">
        <v>0</v>
      </c>
      <c r="AK102" s="3">
        <v>0</v>
      </c>
      <c r="AL102" s="3" t="s">
        <v>17</v>
      </c>
      <c r="AM102" s="3" t="s">
        <v>18</v>
      </c>
      <c r="AN102" s="6" t="s">
        <v>1967</v>
      </c>
      <c r="AO102" s="3" t="s">
        <v>1847</v>
      </c>
      <c r="AP102" s="3">
        <v>0</v>
      </c>
      <c r="AQ102" s="3">
        <v>0</v>
      </c>
      <c r="AR102">
        <v>0</v>
      </c>
      <c r="AS102">
        <v>6</v>
      </c>
      <c r="AT102" s="6" t="s">
        <v>332</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row>
    <row r="103" spans="1:73" ht="15.75" customHeight="1" x14ac:dyDescent="0.2">
      <c r="A103" s="3">
        <f t="shared" si="1"/>
        <v>101</v>
      </c>
      <c r="B103" s="3" t="s">
        <v>523</v>
      </c>
      <c r="C103" s="3" t="s">
        <v>523</v>
      </c>
      <c r="D103" s="5" t="s">
        <v>522</v>
      </c>
      <c r="E103" s="5" t="s">
        <v>829</v>
      </c>
      <c r="F103" s="3">
        <v>0</v>
      </c>
      <c r="G103" s="3">
        <v>0</v>
      </c>
      <c r="H103" s="3">
        <v>0</v>
      </c>
      <c r="I103" s="3">
        <v>50</v>
      </c>
      <c r="J103" s="3">
        <v>20</v>
      </c>
      <c r="K103" s="3">
        <v>0.95</v>
      </c>
      <c r="L103" s="3">
        <v>0</v>
      </c>
      <c r="M103" s="3">
        <v>10</v>
      </c>
      <c r="N103" s="3">
        <v>0</v>
      </c>
      <c r="O103" s="3">
        <v>2</v>
      </c>
      <c r="P103" s="3">
        <v>0</v>
      </c>
      <c r="Q103" s="3">
        <v>0</v>
      </c>
      <c r="R103" s="3">
        <v>0</v>
      </c>
      <c r="S103" s="3">
        <v>0</v>
      </c>
      <c r="T103" s="3">
        <v>0</v>
      </c>
      <c r="U103" s="3">
        <v>0</v>
      </c>
      <c r="V103" s="3">
        <v>0</v>
      </c>
      <c r="W103" s="3">
        <v>0</v>
      </c>
      <c r="X103" s="3">
        <v>3</v>
      </c>
      <c r="Y103" s="3">
        <v>0</v>
      </c>
      <c r="Z103" s="3">
        <v>5</v>
      </c>
      <c r="AA103" s="3">
        <v>0</v>
      </c>
      <c r="AB103" s="3">
        <v>0</v>
      </c>
      <c r="AC103" s="3">
        <v>0</v>
      </c>
      <c r="AD103" s="3">
        <v>0</v>
      </c>
      <c r="AE103" s="3">
        <v>0</v>
      </c>
      <c r="AF103" s="3">
        <v>0</v>
      </c>
      <c r="AG103" s="3">
        <v>3</v>
      </c>
      <c r="AH103" s="3">
        <v>3</v>
      </c>
      <c r="AI103" s="3">
        <v>0</v>
      </c>
      <c r="AJ103" s="3">
        <v>0</v>
      </c>
      <c r="AK103" s="3">
        <v>0</v>
      </c>
      <c r="AL103" s="3" t="s">
        <v>17</v>
      </c>
      <c r="AM103" s="3" t="s">
        <v>18</v>
      </c>
      <c r="AN103" s="6" t="s">
        <v>1968</v>
      </c>
      <c r="AO103" s="3" t="s">
        <v>1847</v>
      </c>
      <c r="AP103" s="3">
        <v>0</v>
      </c>
      <c r="AQ103" s="3">
        <v>0</v>
      </c>
      <c r="AR103">
        <v>0</v>
      </c>
      <c r="AS103">
        <v>8</v>
      </c>
      <c r="AT103" s="6" t="s">
        <v>545</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102</v>
      </c>
      <c r="B104" s="3" t="s">
        <v>2416</v>
      </c>
      <c r="C104" s="3" t="s">
        <v>2416</v>
      </c>
      <c r="D104" s="5" t="s">
        <v>2415</v>
      </c>
      <c r="E104" s="5" t="s">
        <v>2417</v>
      </c>
      <c r="F104" s="3">
        <v>0</v>
      </c>
      <c r="G104" s="3">
        <v>0</v>
      </c>
      <c r="H104" s="3">
        <v>0</v>
      </c>
      <c r="I104" s="3">
        <v>50</v>
      </c>
      <c r="J104" s="3">
        <v>20</v>
      </c>
      <c r="K104" s="3">
        <v>0.95</v>
      </c>
      <c r="L104" s="3">
        <v>0</v>
      </c>
      <c r="M104" s="3">
        <v>22</v>
      </c>
      <c r="N104" s="3">
        <v>0</v>
      </c>
      <c r="O104" s="3">
        <v>2</v>
      </c>
      <c r="P104" s="3">
        <v>0</v>
      </c>
      <c r="Q104" s="3">
        <v>0</v>
      </c>
      <c r="R104" s="3">
        <v>15</v>
      </c>
      <c r="S104" s="3">
        <v>0</v>
      </c>
      <c r="T104" s="3">
        <v>0</v>
      </c>
      <c r="U104" s="3">
        <v>0</v>
      </c>
      <c r="V104" s="3">
        <v>0</v>
      </c>
      <c r="W104" s="3">
        <v>0</v>
      </c>
      <c r="X104" s="3">
        <v>8</v>
      </c>
      <c r="Y104" s="3">
        <v>0</v>
      </c>
      <c r="Z104" s="3">
        <v>5</v>
      </c>
      <c r="AA104" s="3">
        <v>0</v>
      </c>
      <c r="AB104" s="3">
        <v>0</v>
      </c>
      <c r="AC104" s="3">
        <v>0</v>
      </c>
      <c r="AD104" s="3">
        <v>0</v>
      </c>
      <c r="AE104" s="3">
        <v>0</v>
      </c>
      <c r="AF104" s="3">
        <v>0</v>
      </c>
      <c r="AG104" s="3">
        <v>3</v>
      </c>
      <c r="AH104" s="3">
        <v>3</v>
      </c>
      <c r="AI104" s="3">
        <v>0</v>
      </c>
      <c r="AJ104" s="3">
        <v>0</v>
      </c>
      <c r="AK104" s="3">
        <v>0</v>
      </c>
      <c r="AL104" s="3" t="s">
        <v>17</v>
      </c>
      <c r="AM104" s="3" t="s">
        <v>18</v>
      </c>
      <c r="AN104" s="6" t="s">
        <v>1968</v>
      </c>
      <c r="AO104" s="3" t="s">
        <v>50</v>
      </c>
      <c r="AP104" s="3">
        <v>0</v>
      </c>
      <c r="AQ104" s="3">
        <v>0</v>
      </c>
      <c r="AR104">
        <v>0</v>
      </c>
      <c r="AS104">
        <v>8</v>
      </c>
      <c r="AT104" s="6" t="s">
        <v>2506</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c r="BP104" s="6" t="s">
        <v>50</v>
      </c>
      <c r="BQ104">
        <v>0</v>
      </c>
      <c r="BR104" s="6" t="s">
        <v>50</v>
      </c>
      <c r="BS104">
        <v>0</v>
      </c>
      <c r="BT104" s="6" t="s">
        <v>50</v>
      </c>
      <c r="BU104">
        <v>0</v>
      </c>
    </row>
    <row r="105" spans="1:73" ht="15.75" customHeight="1" x14ac:dyDescent="0.2">
      <c r="A105" s="3">
        <f t="shared" si="1"/>
        <v>103</v>
      </c>
      <c r="B105" s="3" t="s">
        <v>783</v>
      </c>
      <c r="C105" s="3" t="s">
        <v>783</v>
      </c>
      <c r="D105" s="5" t="s">
        <v>782</v>
      </c>
      <c r="E105" s="5" t="s">
        <v>784</v>
      </c>
      <c r="F105" s="3">
        <v>0</v>
      </c>
      <c r="G105" s="3">
        <v>0</v>
      </c>
      <c r="H105" s="3">
        <v>0</v>
      </c>
      <c r="I105" s="3">
        <v>50</v>
      </c>
      <c r="J105" s="3">
        <v>20</v>
      </c>
      <c r="K105" s="3">
        <v>0.95</v>
      </c>
      <c r="L105" s="3">
        <v>0</v>
      </c>
      <c r="M105" s="3">
        <v>8</v>
      </c>
      <c r="N105" s="3">
        <v>0</v>
      </c>
      <c r="O105" s="3">
        <v>35</v>
      </c>
      <c r="P105" s="3">
        <v>0</v>
      </c>
      <c r="Q105" s="3">
        <v>0</v>
      </c>
      <c r="R105" s="3">
        <v>0</v>
      </c>
      <c r="S105" s="3">
        <v>0</v>
      </c>
      <c r="T105" s="3">
        <v>0</v>
      </c>
      <c r="U105" s="3">
        <v>0</v>
      </c>
      <c r="V105" s="3">
        <v>0</v>
      </c>
      <c r="W105" s="3">
        <v>0</v>
      </c>
      <c r="X105" s="3">
        <v>0</v>
      </c>
      <c r="Y105" s="3">
        <v>0</v>
      </c>
      <c r="Z105" s="3">
        <v>5</v>
      </c>
      <c r="AA105" s="3">
        <v>0</v>
      </c>
      <c r="AB105" s="3">
        <v>0</v>
      </c>
      <c r="AC105" s="3">
        <v>0</v>
      </c>
      <c r="AD105" s="3">
        <v>0</v>
      </c>
      <c r="AE105" s="3">
        <v>0</v>
      </c>
      <c r="AF105" s="3">
        <v>0</v>
      </c>
      <c r="AG105" s="3">
        <v>0</v>
      </c>
      <c r="AH105" s="3">
        <v>3</v>
      </c>
      <c r="AI105" s="3">
        <v>0</v>
      </c>
      <c r="AJ105" s="3">
        <v>0</v>
      </c>
      <c r="AK105" s="3">
        <v>0</v>
      </c>
      <c r="AL105" s="3" t="s">
        <v>17</v>
      </c>
      <c r="AM105" s="3" t="s">
        <v>18</v>
      </c>
      <c r="AN105" s="6" t="s">
        <v>1969</v>
      </c>
      <c r="AO105" s="3" t="s">
        <v>1847</v>
      </c>
      <c r="AP105" s="3">
        <v>0</v>
      </c>
      <c r="AQ105" s="3">
        <v>0</v>
      </c>
      <c r="AR105">
        <v>0</v>
      </c>
      <c r="AS105">
        <v>3</v>
      </c>
      <c r="AT105" s="6" t="s">
        <v>870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104</v>
      </c>
      <c r="B106" s="3" t="s">
        <v>914</v>
      </c>
      <c r="C106" s="3" t="s">
        <v>914</v>
      </c>
      <c r="D106" s="5" t="s">
        <v>915</v>
      </c>
      <c r="E106" s="5" t="s">
        <v>916</v>
      </c>
      <c r="F106" s="3">
        <v>0</v>
      </c>
      <c r="G106" s="3">
        <v>0</v>
      </c>
      <c r="H106" s="3">
        <v>0</v>
      </c>
      <c r="I106" s="3">
        <v>50</v>
      </c>
      <c r="J106" s="3">
        <v>7</v>
      </c>
      <c r="K106" s="3">
        <v>0.95</v>
      </c>
      <c r="L106" s="3">
        <v>0</v>
      </c>
      <c r="M106" s="3">
        <v>10</v>
      </c>
      <c r="N106" s="3">
        <v>0</v>
      </c>
      <c r="O106" s="3">
        <v>10</v>
      </c>
      <c r="P106" s="3">
        <v>5</v>
      </c>
      <c r="Q106" s="3">
        <v>0</v>
      </c>
      <c r="R106" s="3">
        <v>0</v>
      </c>
      <c r="S106" s="3">
        <v>5</v>
      </c>
      <c r="T106" s="3">
        <v>0</v>
      </c>
      <c r="U106" s="3">
        <v>0</v>
      </c>
      <c r="V106" s="3">
        <v>0</v>
      </c>
      <c r="W106" s="3">
        <v>0</v>
      </c>
      <c r="X106" s="3">
        <v>4</v>
      </c>
      <c r="Y106" s="3">
        <v>0</v>
      </c>
      <c r="Z106" s="3">
        <v>5</v>
      </c>
      <c r="AA106" s="3">
        <v>0</v>
      </c>
      <c r="AB106" s="3">
        <v>0</v>
      </c>
      <c r="AC106" s="3">
        <v>0</v>
      </c>
      <c r="AD106" s="3">
        <v>0</v>
      </c>
      <c r="AE106" s="3">
        <v>0</v>
      </c>
      <c r="AF106" s="3">
        <v>0</v>
      </c>
      <c r="AG106" s="3">
        <v>3</v>
      </c>
      <c r="AH106" s="3">
        <v>3</v>
      </c>
      <c r="AI106" s="3">
        <v>0</v>
      </c>
      <c r="AJ106" s="3">
        <v>0</v>
      </c>
      <c r="AK106" s="3">
        <v>0</v>
      </c>
      <c r="AL106" s="3" t="s">
        <v>17</v>
      </c>
      <c r="AM106" s="3" t="s">
        <v>18</v>
      </c>
      <c r="AN106" s="6" t="s">
        <v>1970</v>
      </c>
      <c r="AO106" s="3" t="s">
        <v>1847</v>
      </c>
      <c r="AP106" s="3">
        <v>0</v>
      </c>
      <c r="AQ106" s="3">
        <v>0</v>
      </c>
      <c r="AR106">
        <v>0</v>
      </c>
      <c r="AS106">
        <v>4</v>
      </c>
      <c r="AT106" s="6" t="s">
        <v>917</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ht="15.75" customHeight="1" x14ac:dyDescent="0.2">
      <c r="A107" s="3">
        <f t="shared" si="1"/>
        <v>105</v>
      </c>
      <c r="B107" s="3" t="s">
        <v>2413</v>
      </c>
      <c r="C107" s="3" t="s">
        <v>2413</v>
      </c>
      <c r="D107" s="5" t="s">
        <v>2412</v>
      </c>
      <c r="E107" s="5" t="s">
        <v>2414</v>
      </c>
      <c r="F107" s="3">
        <v>0</v>
      </c>
      <c r="G107" s="3">
        <v>0</v>
      </c>
      <c r="H107" s="3">
        <v>0</v>
      </c>
      <c r="I107" s="3">
        <v>50</v>
      </c>
      <c r="J107" s="3">
        <v>7</v>
      </c>
      <c r="K107" s="3">
        <v>0.95</v>
      </c>
      <c r="L107" s="3">
        <v>0</v>
      </c>
      <c r="M107" s="3">
        <v>5</v>
      </c>
      <c r="N107" s="3">
        <v>0</v>
      </c>
      <c r="O107" s="3">
        <v>20</v>
      </c>
      <c r="P107" s="3">
        <v>10</v>
      </c>
      <c r="Q107" s="3">
        <v>10</v>
      </c>
      <c r="R107" s="3">
        <v>10</v>
      </c>
      <c r="S107" s="3">
        <v>5</v>
      </c>
      <c r="T107" s="3">
        <v>0</v>
      </c>
      <c r="U107" s="3">
        <v>0</v>
      </c>
      <c r="V107" s="3">
        <v>0</v>
      </c>
      <c r="W107" s="3">
        <v>0</v>
      </c>
      <c r="X107" s="3">
        <v>4</v>
      </c>
      <c r="Y107" s="3">
        <v>0</v>
      </c>
      <c r="Z107" s="3">
        <v>15</v>
      </c>
      <c r="AA107" s="3">
        <v>0</v>
      </c>
      <c r="AB107" s="3">
        <v>0</v>
      </c>
      <c r="AC107" s="3">
        <v>0</v>
      </c>
      <c r="AD107" s="3">
        <v>0</v>
      </c>
      <c r="AE107" s="3">
        <v>0</v>
      </c>
      <c r="AF107" s="3">
        <v>0</v>
      </c>
      <c r="AG107" s="3">
        <v>2</v>
      </c>
      <c r="AH107" s="3">
        <v>3</v>
      </c>
      <c r="AI107" s="3">
        <v>0</v>
      </c>
      <c r="AJ107" s="3">
        <v>0</v>
      </c>
      <c r="AK107" s="3">
        <v>0</v>
      </c>
      <c r="AL107" s="3" t="s">
        <v>17</v>
      </c>
      <c r="AM107" s="3" t="s">
        <v>18</v>
      </c>
      <c r="AN107" s="6" t="s">
        <v>1970</v>
      </c>
      <c r="AO107" s="3" t="s">
        <v>50</v>
      </c>
      <c r="AP107" s="3">
        <v>0</v>
      </c>
      <c r="AQ107" s="3">
        <v>0</v>
      </c>
      <c r="AR107">
        <v>0</v>
      </c>
      <c r="AS107">
        <v>4</v>
      </c>
      <c r="AT107" s="6" t="s">
        <v>2507</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2</v>
      </c>
      <c r="BL107">
        <v>0</v>
      </c>
      <c r="BM107">
        <v>0</v>
      </c>
      <c r="BN107">
        <v>0</v>
      </c>
      <c r="BO107">
        <v>0</v>
      </c>
      <c r="BP107" s="6" t="s">
        <v>50</v>
      </c>
      <c r="BQ107">
        <v>0</v>
      </c>
      <c r="BR107" s="6" t="s">
        <v>50</v>
      </c>
      <c r="BS107">
        <v>0</v>
      </c>
      <c r="BT107" s="6" t="s">
        <v>50</v>
      </c>
      <c r="BU107">
        <v>0</v>
      </c>
    </row>
    <row r="108" spans="1:73" ht="15.75" customHeight="1" x14ac:dyDescent="0.2">
      <c r="A108" s="3">
        <f t="shared" si="1"/>
        <v>106</v>
      </c>
      <c r="B108" s="3" t="s">
        <v>1100</v>
      </c>
      <c r="C108" s="3" t="s">
        <v>1100</v>
      </c>
      <c r="D108" s="25" t="s">
        <v>1099</v>
      </c>
      <c r="E108" s="5" t="s">
        <v>1258</v>
      </c>
      <c r="F108" s="3">
        <v>0</v>
      </c>
      <c r="G108" s="3">
        <v>0</v>
      </c>
      <c r="H108" s="3">
        <v>0</v>
      </c>
      <c r="I108" s="3">
        <v>50</v>
      </c>
      <c r="J108" s="3">
        <v>7</v>
      </c>
      <c r="K108" s="3">
        <v>0.95</v>
      </c>
      <c r="L108" s="3">
        <v>0</v>
      </c>
      <c r="M108" s="3">
        <v>10</v>
      </c>
      <c r="N108" s="3">
        <v>0</v>
      </c>
      <c r="O108" s="3">
        <v>22</v>
      </c>
      <c r="P108" s="3">
        <v>5</v>
      </c>
      <c r="Q108" s="3">
        <v>0</v>
      </c>
      <c r="R108" s="3">
        <v>0</v>
      </c>
      <c r="S108" s="3">
        <v>5</v>
      </c>
      <c r="T108" s="3">
        <v>0</v>
      </c>
      <c r="U108" s="3">
        <v>0</v>
      </c>
      <c r="V108" s="3">
        <v>0</v>
      </c>
      <c r="W108" s="3">
        <v>0</v>
      </c>
      <c r="X108" s="3">
        <v>7</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1970</v>
      </c>
      <c r="AO108" s="3" t="s">
        <v>1847</v>
      </c>
      <c r="AP108" s="3">
        <v>0</v>
      </c>
      <c r="AQ108" s="3">
        <v>0</v>
      </c>
      <c r="AR108">
        <v>0</v>
      </c>
      <c r="AS108">
        <v>4</v>
      </c>
      <c r="AT108" s="6" t="s">
        <v>1346</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row>
    <row r="109" spans="1:73" ht="15.75" customHeight="1" x14ac:dyDescent="0.2">
      <c r="A109" s="3">
        <f t="shared" si="1"/>
        <v>107</v>
      </c>
      <c r="B109" s="3" t="s">
        <v>2389</v>
      </c>
      <c r="C109" s="3" t="s">
        <v>1857</v>
      </c>
      <c r="D109" s="5" t="s">
        <v>3605</v>
      </c>
      <c r="E109" s="5" t="s">
        <v>3606</v>
      </c>
      <c r="F109" s="3">
        <v>0</v>
      </c>
      <c r="G109" s="3">
        <v>0</v>
      </c>
      <c r="H109" s="3">
        <v>0</v>
      </c>
      <c r="I109" s="3">
        <v>50</v>
      </c>
      <c r="J109" s="3">
        <v>7</v>
      </c>
      <c r="K109" s="3">
        <v>0.95</v>
      </c>
      <c r="L109" s="3">
        <v>0</v>
      </c>
      <c r="M109" s="3">
        <v>10</v>
      </c>
      <c r="N109" s="3">
        <v>0</v>
      </c>
      <c r="O109" s="3">
        <v>10</v>
      </c>
      <c r="P109" s="3">
        <v>5</v>
      </c>
      <c r="Q109" s="3">
        <v>0</v>
      </c>
      <c r="R109" s="3">
        <v>0</v>
      </c>
      <c r="S109" s="3">
        <v>5</v>
      </c>
      <c r="T109" s="3">
        <v>0</v>
      </c>
      <c r="U109" s="3">
        <v>0</v>
      </c>
      <c r="V109" s="3">
        <v>0</v>
      </c>
      <c r="W109" s="3">
        <v>0</v>
      </c>
      <c r="X109" s="3">
        <v>4</v>
      </c>
      <c r="Y109" s="3">
        <v>0</v>
      </c>
      <c r="Z109" s="3">
        <v>5</v>
      </c>
      <c r="AA109" s="3">
        <v>0</v>
      </c>
      <c r="AB109" s="3">
        <v>0</v>
      </c>
      <c r="AC109" s="3">
        <v>0</v>
      </c>
      <c r="AD109" s="3">
        <v>0</v>
      </c>
      <c r="AE109" s="3">
        <v>0</v>
      </c>
      <c r="AF109" s="3">
        <v>0</v>
      </c>
      <c r="AG109" s="3">
        <v>7</v>
      </c>
      <c r="AH109" s="3">
        <v>3</v>
      </c>
      <c r="AI109" s="3">
        <v>7</v>
      </c>
      <c r="AJ109" s="3">
        <v>0</v>
      </c>
      <c r="AK109" s="3">
        <v>0</v>
      </c>
      <c r="AL109" s="3" t="s">
        <v>17</v>
      </c>
      <c r="AM109" s="3" t="s">
        <v>18</v>
      </c>
      <c r="AN109" s="6" t="s">
        <v>1970</v>
      </c>
      <c r="AO109" s="3" t="s">
        <v>50</v>
      </c>
      <c r="AP109" s="3">
        <v>0</v>
      </c>
      <c r="AQ109" s="3">
        <v>0</v>
      </c>
      <c r="AR109">
        <v>0</v>
      </c>
      <c r="AS109">
        <v>4</v>
      </c>
      <c r="AT109" s="6" t="s">
        <v>1859</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row>
    <row r="110" spans="1:73" ht="15.75" customHeight="1" x14ac:dyDescent="0.2">
      <c r="A110" s="3">
        <f t="shared" si="1"/>
        <v>108</v>
      </c>
      <c r="B110" s="3" t="s">
        <v>527</v>
      </c>
      <c r="C110" s="3" t="s">
        <v>527</v>
      </c>
      <c r="D110" s="5" t="s">
        <v>526</v>
      </c>
      <c r="E110" s="5" t="s">
        <v>528</v>
      </c>
      <c r="F110" s="3">
        <v>0</v>
      </c>
      <c r="G110" s="3">
        <v>0</v>
      </c>
      <c r="H110" s="3">
        <v>0</v>
      </c>
      <c r="I110" s="3">
        <v>50</v>
      </c>
      <c r="J110" s="3">
        <v>10</v>
      </c>
      <c r="K110" s="3">
        <v>0.95</v>
      </c>
      <c r="L110" s="3">
        <v>0</v>
      </c>
      <c r="M110" s="3">
        <v>8</v>
      </c>
      <c r="N110" s="3">
        <v>0</v>
      </c>
      <c r="O110" s="3">
        <v>15</v>
      </c>
      <c r="P110" s="3">
        <v>0</v>
      </c>
      <c r="Q110" s="3">
        <v>0</v>
      </c>
      <c r="R110" s="3">
        <v>15</v>
      </c>
      <c r="S110" s="3">
        <v>0</v>
      </c>
      <c r="T110" s="3">
        <v>0</v>
      </c>
      <c r="U110" s="3">
        <v>0</v>
      </c>
      <c r="V110" s="3">
        <v>0</v>
      </c>
      <c r="W110" s="3">
        <v>0</v>
      </c>
      <c r="X110" s="3">
        <v>10</v>
      </c>
      <c r="Y110" s="3">
        <v>0</v>
      </c>
      <c r="Z110" s="3">
        <v>5</v>
      </c>
      <c r="AA110" s="3">
        <v>0</v>
      </c>
      <c r="AB110" s="3">
        <v>0</v>
      </c>
      <c r="AC110" s="3">
        <v>0</v>
      </c>
      <c r="AD110" s="3">
        <v>0</v>
      </c>
      <c r="AE110" s="3">
        <v>-3</v>
      </c>
      <c r="AF110" s="3">
        <v>3</v>
      </c>
      <c r="AG110" s="3">
        <v>0</v>
      </c>
      <c r="AH110" s="3">
        <v>8</v>
      </c>
      <c r="AI110" s="3">
        <v>0</v>
      </c>
      <c r="AJ110" s="3">
        <v>0</v>
      </c>
      <c r="AK110" s="3">
        <v>0</v>
      </c>
      <c r="AL110" s="3" t="s">
        <v>17</v>
      </c>
      <c r="AM110" s="3" t="s">
        <v>18</v>
      </c>
      <c r="AN110" s="6" t="s">
        <v>1971</v>
      </c>
      <c r="AO110" s="3" t="s">
        <v>1847</v>
      </c>
      <c r="AP110" s="3">
        <v>0</v>
      </c>
      <c r="AQ110" s="3">
        <v>0</v>
      </c>
      <c r="AR110">
        <v>0</v>
      </c>
      <c r="AS110">
        <v>7</v>
      </c>
      <c r="AT110" s="6" t="s">
        <v>547</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s="9" customFormat="1" ht="15.75" customHeight="1" x14ac:dyDescent="0.2">
      <c r="A111" s="7">
        <f t="shared" si="1"/>
        <v>109</v>
      </c>
      <c r="B111" s="7" t="s">
        <v>2313</v>
      </c>
      <c r="C111" s="7" t="s">
        <v>2313</v>
      </c>
      <c r="D111" s="8" t="s">
        <v>2311</v>
      </c>
      <c r="E111" s="8" t="s">
        <v>2312</v>
      </c>
      <c r="F111" s="7">
        <v>0</v>
      </c>
      <c r="G111" s="7">
        <v>0</v>
      </c>
      <c r="H111" s="7">
        <v>0</v>
      </c>
      <c r="I111" s="7">
        <v>50</v>
      </c>
      <c r="J111" s="7">
        <v>10</v>
      </c>
      <c r="K111" s="7">
        <v>0.95</v>
      </c>
      <c r="L111" s="7">
        <v>0</v>
      </c>
      <c r="M111" s="7">
        <v>25</v>
      </c>
      <c r="N111" s="7">
        <v>0</v>
      </c>
      <c r="O111" s="7">
        <v>9</v>
      </c>
      <c r="P111" s="7">
        <v>0</v>
      </c>
      <c r="Q111" s="7">
        <v>0</v>
      </c>
      <c r="R111" s="7">
        <v>30</v>
      </c>
      <c r="S111" s="7">
        <v>0</v>
      </c>
      <c r="T111" s="7">
        <v>0</v>
      </c>
      <c r="U111" s="7">
        <v>0</v>
      </c>
      <c r="V111" s="7">
        <v>0</v>
      </c>
      <c r="W111" s="7">
        <v>0</v>
      </c>
      <c r="X111" s="7">
        <v>15</v>
      </c>
      <c r="Y111" s="7">
        <v>0</v>
      </c>
      <c r="Z111" s="7">
        <v>5</v>
      </c>
      <c r="AA111" s="7">
        <v>0</v>
      </c>
      <c r="AB111" s="7">
        <v>0</v>
      </c>
      <c r="AC111" s="7">
        <v>0</v>
      </c>
      <c r="AD111" s="7">
        <v>0</v>
      </c>
      <c r="AE111" s="7">
        <v>10</v>
      </c>
      <c r="AF111" s="7">
        <v>2</v>
      </c>
      <c r="AG111" s="7">
        <v>0</v>
      </c>
      <c r="AH111" s="7">
        <v>0</v>
      </c>
      <c r="AI111" s="7">
        <v>0</v>
      </c>
      <c r="AJ111" s="7">
        <v>0</v>
      </c>
      <c r="AK111" s="7">
        <v>0</v>
      </c>
      <c r="AL111" s="7" t="s">
        <v>17</v>
      </c>
      <c r="AM111" s="7" t="s">
        <v>18</v>
      </c>
      <c r="AN111" s="10" t="s">
        <v>2386</v>
      </c>
      <c r="AO111" s="7" t="s">
        <v>50</v>
      </c>
      <c r="AP111" s="7">
        <v>0</v>
      </c>
      <c r="AQ111" s="7">
        <v>0</v>
      </c>
      <c r="AR111" s="9">
        <v>0</v>
      </c>
      <c r="AS111" s="9">
        <v>7</v>
      </c>
      <c r="AT111" s="10" t="s">
        <v>2508</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0</v>
      </c>
      <c r="BK111" s="9">
        <v>3</v>
      </c>
      <c r="BL111" s="9">
        <v>0</v>
      </c>
      <c r="BM111" s="9">
        <v>0</v>
      </c>
      <c r="BN111" s="9">
        <v>0</v>
      </c>
      <c r="BO111" s="9">
        <v>0</v>
      </c>
      <c r="BP111" s="10" t="s">
        <v>50</v>
      </c>
      <c r="BQ111" s="9">
        <v>0</v>
      </c>
      <c r="BR111" s="10" t="s">
        <v>50</v>
      </c>
      <c r="BS111" s="9">
        <v>0</v>
      </c>
      <c r="BT111" s="10" t="s">
        <v>50</v>
      </c>
      <c r="BU111" s="9">
        <v>0</v>
      </c>
    </row>
    <row r="112" spans="1:73" s="9" customFormat="1" ht="15.75" customHeight="1" x14ac:dyDescent="0.2">
      <c r="A112" s="7">
        <f t="shared" si="1"/>
        <v>110</v>
      </c>
      <c r="B112" s="7" t="s">
        <v>2546</v>
      </c>
      <c r="C112" s="7" t="s">
        <v>2409</v>
      </c>
      <c r="D112" s="8" t="s">
        <v>2410</v>
      </c>
      <c r="E112" s="8" t="s">
        <v>2411</v>
      </c>
      <c r="F112" s="7">
        <v>0</v>
      </c>
      <c r="G112" s="7">
        <v>0</v>
      </c>
      <c r="H112" s="7">
        <v>0</v>
      </c>
      <c r="I112" s="7">
        <v>50</v>
      </c>
      <c r="J112" s="7">
        <v>10</v>
      </c>
      <c r="K112" s="7">
        <v>0.95</v>
      </c>
      <c r="L112" s="7">
        <v>0</v>
      </c>
      <c r="M112" s="7">
        <v>25</v>
      </c>
      <c r="N112" s="7">
        <v>0</v>
      </c>
      <c r="O112" s="7">
        <v>9</v>
      </c>
      <c r="P112" s="7">
        <v>0</v>
      </c>
      <c r="Q112" s="7">
        <v>0</v>
      </c>
      <c r="R112" s="7">
        <v>30</v>
      </c>
      <c r="S112" s="7">
        <v>0</v>
      </c>
      <c r="T112" s="7">
        <v>0</v>
      </c>
      <c r="U112" s="7">
        <v>0</v>
      </c>
      <c r="V112" s="7">
        <v>0</v>
      </c>
      <c r="W112" s="7">
        <v>0</v>
      </c>
      <c r="X112" s="7">
        <v>15</v>
      </c>
      <c r="Y112" s="7">
        <v>0</v>
      </c>
      <c r="Z112" s="7">
        <v>5</v>
      </c>
      <c r="AA112" s="7">
        <v>0</v>
      </c>
      <c r="AB112" s="7">
        <v>0</v>
      </c>
      <c r="AC112" s="7">
        <v>0</v>
      </c>
      <c r="AD112" s="7">
        <v>0</v>
      </c>
      <c r="AE112" s="7">
        <v>10</v>
      </c>
      <c r="AF112" s="7">
        <v>2</v>
      </c>
      <c r="AG112" s="7">
        <v>0</v>
      </c>
      <c r="AH112" s="7">
        <v>0</v>
      </c>
      <c r="AI112" s="7">
        <v>0</v>
      </c>
      <c r="AJ112" s="7">
        <v>0</v>
      </c>
      <c r="AK112" s="7">
        <v>0</v>
      </c>
      <c r="AL112" s="7" t="s">
        <v>17</v>
      </c>
      <c r="AM112" s="7" t="s">
        <v>18</v>
      </c>
      <c r="AN112" s="10" t="s">
        <v>2386</v>
      </c>
      <c r="AO112" s="7" t="s">
        <v>50</v>
      </c>
      <c r="AP112" s="7">
        <v>0</v>
      </c>
      <c r="AQ112" s="7">
        <v>0</v>
      </c>
      <c r="AR112" s="9">
        <v>0</v>
      </c>
      <c r="AS112" s="9">
        <v>7</v>
      </c>
      <c r="AT112" s="10" t="s">
        <v>2509</v>
      </c>
      <c r="AU112" s="10" t="s">
        <v>50</v>
      </c>
      <c r="AV112" s="10" t="s">
        <v>50</v>
      </c>
      <c r="AW112" s="10" t="s">
        <v>50</v>
      </c>
      <c r="AX112" s="10" t="s">
        <v>50</v>
      </c>
      <c r="AY112" s="10" t="s">
        <v>50</v>
      </c>
      <c r="AZ112" s="10" t="s">
        <v>50</v>
      </c>
      <c r="BA112" s="10" t="s">
        <v>50</v>
      </c>
      <c r="BB112" s="10" t="s">
        <v>50</v>
      </c>
      <c r="BC112" s="10" t="s">
        <v>50</v>
      </c>
      <c r="BD112" s="10" t="s">
        <v>50</v>
      </c>
      <c r="BE112" s="10" t="s">
        <v>50</v>
      </c>
      <c r="BF112" s="10" t="s">
        <v>50</v>
      </c>
      <c r="BG112" s="10" t="s">
        <v>50</v>
      </c>
      <c r="BH112" s="10" t="s">
        <v>50</v>
      </c>
      <c r="BI112" s="9">
        <v>0</v>
      </c>
      <c r="BJ112" s="9">
        <v>0</v>
      </c>
      <c r="BK112" s="9">
        <v>3</v>
      </c>
      <c r="BL112" s="9">
        <v>0</v>
      </c>
      <c r="BM112" s="9">
        <v>0</v>
      </c>
      <c r="BN112" s="9">
        <v>0</v>
      </c>
      <c r="BO112" s="9">
        <v>0</v>
      </c>
      <c r="BP112" s="10" t="s">
        <v>50</v>
      </c>
      <c r="BQ112" s="9">
        <v>0</v>
      </c>
      <c r="BR112" s="10" t="s">
        <v>50</v>
      </c>
      <c r="BS112" s="9">
        <v>0</v>
      </c>
      <c r="BT112" s="10" t="s">
        <v>50</v>
      </c>
      <c r="BU112" s="9">
        <v>0</v>
      </c>
    </row>
    <row r="113" spans="1:73" ht="15.75" customHeight="1" x14ac:dyDescent="0.2">
      <c r="A113" s="3">
        <f t="shared" si="1"/>
        <v>111</v>
      </c>
      <c r="B113" s="3" t="s">
        <v>2309</v>
      </c>
      <c r="C113" s="3" t="s">
        <v>2309</v>
      </c>
      <c r="D113" s="5" t="s">
        <v>2308</v>
      </c>
      <c r="E113" s="5" t="s">
        <v>2310</v>
      </c>
      <c r="F113" s="3">
        <v>0</v>
      </c>
      <c r="G113" s="3">
        <v>0</v>
      </c>
      <c r="H113" s="3">
        <v>0</v>
      </c>
      <c r="I113" s="3">
        <v>50</v>
      </c>
      <c r="J113" s="3">
        <v>10</v>
      </c>
      <c r="K113" s="3">
        <v>0.95</v>
      </c>
      <c r="L113" s="3">
        <v>0</v>
      </c>
      <c r="M113" s="3">
        <v>8</v>
      </c>
      <c r="N113" s="3">
        <v>0</v>
      </c>
      <c r="O113" s="3">
        <v>0</v>
      </c>
      <c r="P113" s="3">
        <v>40</v>
      </c>
      <c r="Q113" s="3">
        <v>8</v>
      </c>
      <c r="R113" s="3">
        <v>0</v>
      </c>
      <c r="S113" s="3">
        <v>6</v>
      </c>
      <c r="T113" s="3">
        <v>0</v>
      </c>
      <c r="U113" s="3">
        <v>0</v>
      </c>
      <c r="V113" s="3">
        <v>0</v>
      </c>
      <c r="W113" s="3">
        <v>0</v>
      </c>
      <c r="X113" s="3">
        <v>10</v>
      </c>
      <c r="Y113" s="3">
        <v>0</v>
      </c>
      <c r="Z113" s="3">
        <v>5</v>
      </c>
      <c r="AA113" s="3">
        <v>0</v>
      </c>
      <c r="AB113" s="3">
        <v>0</v>
      </c>
      <c r="AC113" s="3">
        <v>0</v>
      </c>
      <c r="AD113" s="3">
        <v>0</v>
      </c>
      <c r="AE113" s="3">
        <v>4</v>
      </c>
      <c r="AF113" s="3">
        <v>0</v>
      </c>
      <c r="AG113" s="3">
        <v>0</v>
      </c>
      <c r="AH113" s="3">
        <v>0</v>
      </c>
      <c r="AI113" s="3">
        <v>0</v>
      </c>
      <c r="AJ113" s="3">
        <v>0</v>
      </c>
      <c r="AK113" s="3">
        <v>0</v>
      </c>
      <c r="AL113" s="3" t="s">
        <v>17</v>
      </c>
      <c r="AM113" s="3" t="s">
        <v>156</v>
      </c>
      <c r="AN113" s="6" t="s">
        <v>2487</v>
      </c>
      <c r="AO113" s="3" t="s">
        <v>50</v>
      </c>
      <c r="AP113" s="3">
        <v>0</v>
      </c>
      <c r="AQ113" s="3">
        <v>0</v>
      </c>
      <c r="AR113">
        <v>0</v>
      </c>
      <c r="AS113">
        <v>7</v>
      </c>
      <c r="AT113" s="6" t="s">
        <v>2510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112</v>
      </c>
      <c r="B114" s="3" t="s">
        <v>2307</v>
      </c>
      <c r="C114" s="3" t="s">
        <v>2307</v>
      </c>
      <c r="D114" s="5" t="s">
        <v>2305</v>
      </c>
      <c r="E114" s="5" t="s">
        <v>2306</v>
      </c>
      <c r="F114" s="3">
        <v>0</v>
      </c>
      <c r="G114" s="3">
        <v>0</v>
      </c>
      <c r="H114" s="3">
        <v>0</v>
      </c>
      <c r="I114" s="3">
        <v>50</v>
      </c>
      <c r="J114" s="3">
        <v>10</v>
      </c>
      <c r="K114" s="3">
        <v>0.95</v>
      </c>
      <c r="L114" s="3">
        <v>0</v>
      </c>
      <c r="M114" s="3">
        <v>17</v>
      </c>
      <c r="N114" s="3">
        <v>0</v>
      </c>
      <c r="O114" s="3">
        <v>15</v>
      </c>
      <c r="P114" s="3">
        <v>0</v>
      </c>
      <c r="Q114" s="3">
        <v>0</v>
      </c>
      <c r="R114" s="3">
        <v>10</v>
      </c>
      <c r="S114" s="3">
        <v>0</v>
      </c>
      <c r="T114" s="3">
        <v>0</v>
      </c>
      <c r="U114" s="3">
        <v>0</v>
      </c>
      <c r="V114" s="3">
        <v>0</v>
      </c>
      <c r="W114" s="3">
        <v>0</v>
      </c>
      <c r="X114" s="3">
        <v>5</v>
      </c>
      <c r="Y114" s="3">
        <v>0</v>
      </c>
      <c r="Z114" s="3">
        <v>5</v>
      </c>
      <c r="AA114" s="3">
        <v>0</v>
      </c>
      <c r="AB114" s="3">
        <v>0</v>
      </c>
      <c r="AC114" s="3">
        <v>0</v>
      </c>
      <c r="AD114" s="3">
        <v>0</v>
      </c>
      <c r="AE114" s="3">
        <v>3</v>
      </c>
      <c r="AF114" s="3">
        <v>0</v>
      </c>
      <c r="AG114" s="3">
        <v>3</v>
      </c>
      <c r="AH114" s="3">
        <v>3</v>
      </c>
      <c r="AI114" s="3">
        <v>0</v>
      </c>
      <c r="AJ114" s="3">
        <v>0</v>
      </c>
      <c r="AK114" s="3">
        <v>0</v>
      </c>
      <c r="AL114" s="3" t="s">
        <v>17</v>
      </c>
      <c r="AM114" s="3" t="s">
        <v>3418</v>
      </c>
      <c r="AN114" s="6" t="s">
        <v>2388</v>
      </c>
      <c r="AO114" s="3" t="s">
        <v>50</v>
      </c>
      <c r="AP114" s="3">
        <v>0</v>
      </c>
      <c r="AQ114" s="3">
        <v>0</v>
      </c>
      <c r="AR114">
        <v>0</v>
      </c>
      <c r="AS114">
        <v>7</v>
      </c>
      <c r="AT114" s="6" t="s">
        <v>2511</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s="9" customFormat="1" ht="15.75" customHeight="1" x14ac:dyDescent="0.2">
      <c r="A115" s="7">
        <f t="shared" si="1"/>
        <v>113</v>
      </c>
      <c r="B115" s="7" t="s">
        <v>83</v>
      </c>
      <c r="C115" s="7" t="s">
        <v>363</v>
      </c>
      <c r="D115" s="8" t="s">
        <v>2616</v>
      </c>
      <c r="E115" s="8" t="s">
        <v>364</v>
      </c>
      <c r="F115" s="7">
        <v>0</v>
      </c>
      <c r="G115" s="7">
        <v>0</v>
      </c>
      <c r="H115" s="7">
        <v>0</v>
      </c>
      <c r="I115" s="7">
        <v>50</v>
      </c>
      <c r="J115" s="7">
        <v>5</v>
      </c>
      <c r="K115" s="7">
        <v>1</v>
      </c>
      <c r="L115" s="7">
        <v>0</v>
      </c>
      <c r="M115" s="7">
        <v>10</v>
      </c>
      <c r="N115" s="7">
        <v>0</v>
      </c>
      <c r="O115" s="7">
        <v>15</v>
      </c>
      <c r="P115" s="7">
        <v>0</v>
      </c>
      <c r="Q115" s="7">
        <v>0</v>
      </c>
      <c r="R115" s="7">
        <v>0</v>
      </c>
      <c r="S115" s="7">
        <v>0</v>
      </c>
      <c r="T115" s="7">
        <v>0</v>
      </c>
      <c r="U115" s="7">
        <v>0</v>
      </c>
      <c r="V115" s="7">
        <v>0</v>
      </c>
      <c r="W115" s="7">
        <v>0</v>
      </c>
      <c r="X115" s="7">
        <v>5</v>
      </c>
      <c r="Y115" s="7">
        <v>0</v>
      </c>
      <c r="Z115" s="7">
        <v>0</v>
      </c>
      <c r="AA115" s="7">
        <v>0</v>
      </c>
      <c r="AB115" s="7">
        <v>0</v>
      </c>
      <c r="AC115" s="7">
        <v>0</v>
      </c>
      <c r="AD115" s="7">
        <v>0</v>
      </c>
      <c r="AE115" s="7">
        <v>0</v>
      </c>
      <c r="AF115" s="7">
        <v>0</v>
      </c>
      <c r="AG115" s="7">
        <v>0</v>
      </c>
      <c r="AH115" s="7">
        <v>0</v>
      </c>
      <c r="AI115" s="7">
        <v>0</v>
      </c>
      <c r="AJ115" s="7">
        <v>0</v>
      </c>
      <c r="AK115" s="7">
        <v>0</v>
      </c>
      <c r="AL115" s="7" t="s">
        <v>365</v>
      </c>
      <c r="AM115" s="7" t="s">
        <v>23</v>
      </c>
      <c r="AN115" s="7" t="s">
        <v>972</v>
      </c>
      <c r="AO115" s="7" t="s">
        <v>1847</v>
      </c>
      <c r="AP115" s="7">
        <v>0</v>
      </c>
      <c r="AQ115" s="7">
        <v>0</v>
      </c>
      <c r="AR115" s="9">
        <v>0</v>
      </c>
      <c r="AS115" s="9">
        <v>1</v>
      </c>
      <c r="AT115" s="10" t="s">
        <v>50</v>
      </c>
      <c r="AU115" s="10" t="s">
        <v>50</v>
      </c>
      <c r="AV115" s="10" t="s">
        <v>50</v>
      </c>
      <c r="AW115" s="10" t="s">
        <v>50</v>
      </c>
      <c r="AX115" s="10" t="s">
        <v>50</v>
      </c>
      <c r="AY115" s="10" t="s">
        <v>50</v>
      </c>
      <c r="AZ115" s="10" t="s">
        <v>50</v>
      </c>
      <c r="BA115" s="10" t="s">
        <v>50</v>
      </c>
      <c r="BB115" s="10" t="s">
        <v>50</v>
      </c>
      <c r="BC115" s="10" t="s">
        <v>50</v>
      </c>
      <c r="BD115" s="10" t="s">
        <v>50</v>
      </c>
      <c r="BE115" s="10" t="s">
        <v>50</v>
      </c>
      <c r="BF115" s="10" t="s">
        <v>50</v>
      </c>
      <c r="BG115" s="10" t="s">
        <v>50</v>
      </c>
      <c r="BH115" s="10" t="s">
        <v>50</v>
      </c>
      <c r="BI115" s="9">
        <v>0</v>
      </c>
      <c r="BJ115" s="9">
        <v>0</v>
      </c>
      <c r="BK115" s="9">
        <v>1</v>
      </c>
      <c r="BL115" s="9">
        <v>0</v>
      </c>
      <c r="BM115" s="9">
        <v>0</v>
      </c>
      <c r="BN115" s="9">
        <v>0</v>
      </c>
      <c r="BO115" s="9">
        <v>0</v>
      </c>
      <c r="BP115" s="10" t="s">
        <v>50</v>
      </c>
      <c r="BQ115" s="9">
        <v>0</v>
      </c>
      <c r="BR115" s="10" t="s">
        <v>50</v>
      </c>
      <c r="BS115" s="9">
        <v>0</v>
      </c>
      <c r="BT115" s="10" t="s">
        <v>50</v>
      </c>
      <c r="BU115" s="9">
        <v>0</v>
      </c>
    </row>
    <row r="116" spans="1:73" ht="15.75" customHeight="1" x14ac:dyDescent="0.2">
      <c r="A116" s="3">
        <f t="shared" si="1"/>
        <v>114</v>
      </c>
      <c r="B116" s="3" t="s">
        <v>3354</v>
      </c>
      <c r="C116" s="3" t="s">
        <v>3192</v>
      </c>
      <c r="D116" s="5" t="s">
        <v>3191</v>
      </c>
      <c r="E116" s="5" t="s">
        <v>3193</v>
      </c>
      <c r="F116" s="3">
        <v>0</v>
      </c>
      <c r="G116" s="3">
        <v>0</v>
      </c>
      <c r="H116" s="3">
        <v>0</v>
      </c>
      <c r="I116" s="3">
        <v>50</v>
      </c>
      <c r="J116" s="3">
        <v>5</v>
      </c>
      <c r="K116" s="3">
        <v>1</v>
      </c>
      <c r="L116" s="3">
        <v>0</v>
      </c>
      <c r="M116" s="3">
        <v>10</v>
      </c>
      <c r="N116" s="3">
        <v>0</v>
      </c>
      <c r="O116" s="3">
        <v>15</v>
      </c>
      <c r="P116" s="3">
        <v>0</v>
      </c>
      <c r="Q116" s="3">
        <v>0</v>
      </c>
      <c r="R116" s="3">
        <v>0</v>
      </c>
      <c r="S116" s="3">
        <v>0</v>
      </c>
      <c r="T116" s="3">
        <v>0</v>
      </c>
      <c r="U116" s="3">
        <v>0</v>
      </c>
      <c r="V116" s="3">
        <v>0</v>
      </c>
      <c r="W116" s="3">
        <v>0</v>
      </c>
      <c r="X116" s="3">
        <v>5</v>
      </c>
      <c r="Y116" s="3">
        <v>0</v>
      </c>
      <c r="Z116" s="3">
        <v>0</v>
      </c>
      <c r="AA116" s="3">
        <v>0</v>
      </c>
      <c r="AB116" s="3">
        <v>0</v>
      </c>
      <c r="AC116" s="3">
        <v>0</v>
      </c>
      <c r="AD116" s="3">
        <v>0</v>
      </c>
      <c r="AE116" s="3">
        <v>0</v>
      </c>
      <c r="AF116" s="3">
        <v>0</v>
      </c>
      <c r="AG116" s="3">
        <v>0</v>
      </c>
      <c r="AH116" s="3">
        <v>0</v>
      </c>
      <c r="AI116" s="3">
        <v>0</v>
      </c>
      <c r="AJ116" s="3">
        <v>0</v>
      </c>
      <c r="AK116" s="3">
        <v>0</v>
      </c>
      <c r="AL116" s="3" t="s">
        <v>51</v>
      </c>
      <c r="AM116" s="3" t="s">
        <v>23</v>
      </c>
      <c r="AN116" s="3" t="s">
        <v>972</v>
      </c>
      <c r="AO116" s="3" t="s">
        <v>50</v>
      </c>
      <c r="AP116" s="3">
        <v>0</v>
      </c>
      <c r="AQ116" s="3">
        <v>0</v>
      </c>
      <c r="AR116">
        <v>0</v>
      </c>
      <c r="AS116">
        <v>1</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115</v>
      </c>
      <c r="B117" s="3" t="s">
        <v>3175</v>
      </c>
      <c r="C117" s="3" t="s">
        <v>3175</v>
      </c>
      <c r="D117" s="25" t="s">
        <v>3177</v>
      </c>
      <c r="E117" s="4" t="s">
        <v>3172</v>
      </c>
      <c r="F117" s="3">
        <v>0</v>
      </c>
      <c r="G117" s="3">
        <v>0</v>
      </c>
      <c r="H117" s="3">
        <v>0</v>
      </c>
      <c r="I117" s="3">
        <v>50</v>
      </c>
      <c r="J117" s="3">
        <v>5</v>
      </c>
      <c r="K117" s="3">
        <v>1</v>
      </c>
      <c r="L117" s="3">
        <v>0</v>
      </c>
      <c r="M117" s="3">
        <v>5</v>
      </c>
      <c r="N117" s="3">
        <v>2</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51</v>
      </c>
      <c r="AM117" s="3" t="s">
        <v>3504</v>
      </c>
      <c r="AN117" s="3" t="s">
        <v>3179</v>
      </c>
      <c r="AO117" s="3" t="s">
        <v>50</v>
      </c>
      <c r="AP117" s="3">
        <v>0</v>
      </c>
      <c r="AQ117" s="3">
        <v>0</v>
      </c>
      <c r="AR117">
        <v>0</v>
      </c>
      <c r="AS117">
        <v>1</v>
      </c>
      <c r="AT117" s="6" t="s">
        <v>495</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116</v>
      </c>
      <c r="B118" s="3" t="s">
        <v>3497</v>
      </c>
      <c r="C118" s="3" t="s">
        <v>3419</v>
      </c>
      <c r="D118" s="25" t="s">
        <v>3484</v>
      </c>
      <c r="E118" s="4" t="s">
        <v>3420</v>
      </c>
      <c r="F118" s="3">
        <v>0</v>
      </c>
      <c r="G118" s="3">
        <v>0</v>
      </c>
      <c r="H118" s="3">
        <v>0</v>
      </c>
      <c r="I118" s="3">
        <v>50</v>
      </c>
      <c r="J118" s="3">
        <v>5</v>
      </c>
      <c r="K118" s="3">
        <v>1</v>
      </c>
      <c r="L118" s="3">
        <v>0</v>
      </c>
      <c r="M118" s="3">
        <v>5</v>
      </c>
      <c r="N118" s="3">
        <v>2</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51</v>
      </c>
      <c r="AM118" s="3" t="s">
        <v>3504</v>
      </c>
      <c r="AN118" s="3" t="s">
        <v>3179</v>
      </c>
      <c r="AO118" s="3" t="s">
        <v>50</v>
      </c>
      <c r="AP118" s="3">
        <v>0</v>
      </c>
      <c r="AQ118" s="3">
        <v>0</v>
      </c>
      <c r="AR118">
        <v>0</v>
      </c>
      <c r="AS118">
        <v>1</v>
      </c>
      <c r="AT118" s="6" t="s">
        <v>495</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117</v>
      </c>
      <c r="B119" s="3" t="s">
        <v>183</v>
      </c>
      <c r="C119" s="3" t="s">
        <v>73</v>
      </c>
      <c r="D119" s="5" t="s">
        <v>21</v>
      </c>
      <c r="E119" s="5" t="s">
        <v>125</v>
      </c>
      <c r="F119" s="3">
        <v>0</v>
      </c>
      <c r="G119" s="3">
        <v>0</v>
      </c>
      <c r="H119" s="3">
        <v>0</v>
      </c>
      <c r="I119" s="3">
        <v>50</v>
      </c>
      <c r="J119" s="3">
        <v>3</v>
      </c>
      <c r="K119" s="3">
        <v>0.95</v>
      </c>
      <c r="L119" s="3">
        <v>0</v>
      </c>
      <c r="M119" s="3">
        <v>0</v>
      </c>
      <c r="N119" s="3">
        <v>0</v>
      </c>
      <c r="O119" s="3">
        <v>0</v>
      </c>
      <c r="P119" s="3">
        <v>5</v>
      </c>
      <c r="Q119" s="3">
        <v>0</v>
      </c>
      <c r="R119" s="3">
        <v>0</v>
      </c>
      <c r="S119" s="3">
        <v>0</v>
      </c>
      <c r="T119" s="3">
        <v>0</v>
      </c>
      <c r="U119" s="3">
        <v>0</v>
      </c>
      <c r="V119" s="3">
        <v>0</v>
      </c>
      <c r="W119" s="3">
        <v>3</v>
      </c>
      <c r="X119" s="3">
        <v>-3</v>
      </c>
      <c r="Y119" s="3">
        <v>2</v>
      </c>
      <c r="Z119" s="3">
        <v>2</v>
      </c>
      <c r="AA119" s="3">
        <v>0</v>
      </c>
      <c r="AB119" s="3">
        <v>0</v>
      </c>
      <c r="AC119" s="3">
        <v>0</v>
      </c>
      <c r="AD119" s="3">
        <v>0</v>
      </c>
      <c r="AE119" s="3">
        <v>0</v>
      </c>
      <c r="AF119" s="3">
        <v>0</v>
      </c>
      <c r="AG119" s="3">
        <v>0</v>
      </c>
      <c r="AH119" s="3">
        <v>0</v>
      </c>
      <c r="AI119" s="3">
        <v>0</v>
      </c>
      <c r="AJ119" s="3">
        <v>0</v>
      </c>
      <c r="AK119" s="3">
        <v>0</v>
      </c>
      <c r="AL119" s="3" t="s">
        <v>17</v>
      </c>
      <c r="AM119" s="3" t="s">
        <v>156</v>
      </c>
      <c r="AN119" s="3" t="s">
        <v>1972</v>
      </c>
      <c r="AO119" s="3" t="s">
        <v>1847</v>
      </c>
      <c r="AP119" s="3">
        <v>0</v>
      </c>
      <c r="AQ119" s="3">
        <v>0</v>
      </c>
      <c r="AR119">
        <v>0</v>
      </c>
      <c r="AS119">
        <v>2</v>
      </c>
      <c r="AT119" s="6" t="s">
        <v>156</v>
      </c>
      <c r="AU119" s="6" t="s">
        <v>150</v>
      </c>
      <c r="AV119" s="6" t="s">
        <v>150</v>
      </c>
      <c r="AW119" s="6" t="s">
        <v>150</v>
      </c>
      <c r="AX119" s="6" t="s">
        <v>150</v>
      </c>
      <c r="AY119" s="6" t="s">
        <v>150</v>
      </c>
      <c r="AZ119" s="6" t="s">
        <v>150</v>
      </c>
      <c r="BA119" s="6" t="s">
        <v>150</v>
      </c>
      <c r="BB119" s="6" t="s">
        <v>150</v>
      </c>
      <c r="BC119" s="6" t="s">
        <v>150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118</v>
      </c>
      <c r="B120" s="3" t="s">
        <v>3076</v>
      </c>
      <c r="C120" s="3" t="s">
        <v>1855</v>
      </c>
      <c r="D120" s="5" t="s">
        <v>1854</v>
      </c>
      <c r="E120" s="5" t="s">
        <v>1856</v>
      </c>
      <c r="F120" s="3">
        <v>0</v>
      </c>
      <c r="G120" s="3">
        <v>0</v>
      </c>
      <c r="H120" s="3">
        <v>0</v>
      </c>
      <c r="I120" s="3">
        <v>50</v>
      </c>
      <c r="J120" s="3">
        <v>3</v>
      </c>
      <c r="K120" s="3">
        <v>0.95</v>
      </c>
      <c r="L120" s="3">
        <v>0</v>
      </c>
      <c r="M120" s="3">
        <v>0</v>
      </c>
      <c r="N120" s="3">
        <v>0</v>
      </c>
      <c r="O120" s="3">
        <v>0</v>
      </c>
      <c r="P120" s="3">
        <v>5</v>
      </c>
      <c r="Q120" s="3">
        <v>0</v>
      </c>
      <c r="R120" s="3">
        <v>0</v>
      </c>
      <c r="S120" s="3">
        <v>0</v>
      </c>
      <c r="T120" s="3">
        <v>0</v>
      </c>
      <c r="U120" s="3">
        <v>0</v>
      </c>
      <c r="V120" s="3">
        <v>0</v>
      </c>
      <c r="W120" s="3">
        <v>3</v>
      </c>
      <c r="X120" s="3">
        <v>-3</v>
      </c>
      <c r="Y120" s="3">
        <v>2</v>
      </c>
      <c r="Z120" s="3">
        <v>2</v>
      </c>
      <c r="AA120" s="3">
        <v>0</v>
      </c>
      <c r="AB120" s="3">
        <v>0</v>
      </c>
      <c r="AC120" s="3">
        <v>0</v>
      </c>
      <c r="AD120" s="3">
        <v>0</v>
      </c>
      <c r="AE120" s="3">
        <v>0</v>
      </c>
      <c r="AF120" s="3">
        <v>3</v>
      </c>
      <c r="AG120" s="3">
        <v>3</v>
      </c>
      <c r="AH120" s="3">
        <v>3</v>
      </c>
      <c r="AI120" s="3">
        <v>0</v>
      </c>
      <c r="AJ120" s="3">
        <v>0</v>
      </c>
      <c r="AK120" s="3">
        <v>0</v>
      </c>
      <c r="AL120" s="3" t="s">
        <v>17</v>
      </c>
      <c r="AM120" s="3" t="s">
        <v>156</v>
      </c>
      <c r="AN120" s="3" t="s">
        <v>1972</v>
      </c>
      <c r="AO120" s="3" t="s">
        <v>50</v>
      </c>
      <c r="AP120" s="3">
        <v>0</v>
      </c>
      <c r="AQ120" s="3">
        <v>0</v>
      </c>
      <c r="AR120">
        <v>0</v>
      </c>
      <c r="AS120">
        <v>2</v>
      </c>
      <c r="AT120" s="6" t="s">
        <v>1861</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c r="BP120" s="6" t="s">
        <v>50</v>
      </c>
      <c r="BQ120">
        <v>0</v>
      </c>
      <c r="BR120" s="6" t="s">
        <v>50</v>
      </c>
      <c r="BS120">
        <v>0</v>
      </c>
      <c r="BT120" s="6" t="s">
        <v>50</v>
      </c>
      <c r="BU120">
        <v>0</v>
      </c>
    </row>
    <row r="121" spans="1:73" ht="15.75" customHeight="1" x14ac:dyDescent="0.2">
      <c r="A121" s="3">
        <f t="shared" si="1"/>
        <v>119</v>
      </c>
      <c r="B121" s="3" t="s">
        <v>2173</v>
      </c>
      <c r="C121" s="3" t="s">
        <v>2173</v>
      </c>
      <c r="D121" s="5" t="s">
        <v>2171</v>
      </c>
      <c r="E121" s="5" t="s">
        <v>2172</v>
      </c>
      <c r="F121" s="3">
        <v>0</v>
      </c>
      <c r="G121" s="3">
        <v>0</v>
      </c>
      <c r="H121" s="3">
        <v>0</v>
      </c>
      <c r="I121" s="3">
        <v>50</v>
      </c>
      <c r="J121" s="3">
        <v>3</v>
      </c>
      <c r="K121" s="3">
        <v>0.95</v>
      </c>
      <c r="L121" s="3">
        <v>0</v>
      </c>
      <c r="M121" s="3">
        <v>0</v>
      </c>
      <c r="N121" s="3">
        <v>0</v>
      </c>
      <c r="O121" s="3">
        <v>0</v>
      </c>
      <c r="P121" s="3">
        <v>5</v>
      </c>
      <c r="Q121" s="3">
        <v>0</v>
      </c>
      <c r="R121" s="3">
        <v>0</v>
      </c>
      <c r="S121" s="3">
        <v>0</v>
      </c>
      <c r="T121" s="3">
        <v>0</v>
      </c>
      <c r="U121" s="3">
        <v>0</v>
      </c>
      <c r="V121" s="3">
        <v>0</v>
      </c>
      <c r="W121" s="3">
        <v>3</v>
      </c>
      <c r="X121" s="3">
        <v>-3</v>
      </c>
      <c r="Y121" s="3">
        <v>2</v>
      </c>
      <c r="Z121" s="3">
        <v>2</v>
      </c>
      <c r="AA121" s="3">
        <v>5</v>
      </c>
      <c r="AB121" s="3">
        <v>0</v>
      </c>
      <c r="AC121" s="3">
        <v>0</v>
      </c>
      <c r="AD121" s="3">
        <v>0</v>
      </c>
      <c r="AE121" s="3">
        <v>0</v>
      </c>
      <c r="AF121" s="3">
        <v>0</v>
      </c>
      <c r="AG121" s="3">
        <v>0</v>
      </c>
      <c r="AH121" s="3">
        <v>0</v>
      </c>
      <c r="AI121" s="3">
        <v>0</v>
      </c>
      <c r="AJ121" s="3">
        <v>0</v>
      </c>
      <c r="AK121" s="3">
        <v>0</v>
      </c>
      <c r="AL121" s="3" t="s">
        <v>17</v>
      </c>
      <c r="AM121" s="3" t="s">
        <v>156</v>
      </c>
      <c r="AN121" s="3" t="s">
        <v>1972</v>
      </c>
      <c r="AO121" s="3" t="s">
        <v>50</v>
      </c>
      <c r="AP121" s="3">
        <v>0</v>
      </c>
      <c r="AQ121" s="3">
        <v>0</v>
      </c>
      <c r="AR121">
        <v>0</v>
      </c>
      <c r="AS121">
        <v>2</v>
      </c>
      <c r="AT121" s="6" t="s">
        <v>2512</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120</v>
      </c>
      <c r="B122" s="3" t="s">
        <v>2550</v>
      </c>
      <c r="C122" s="3" t="s">
        <v>2176</v>
      </c>
      <c r="D122" s="5" t="s">
        <v>2174</v>
      </c>
      <c r="E122" s="5" t="s">
        <v>2175</v>
      </c>
      <c r="F122" s="3">
        <v>0</v>
      </c>
      <c r="G122" s="3">
        <v>0</v>
      </c>
      <c r="H122" s="3">
        <v>0</v>
      </c>
      <c r="I122" s="3">
        <v>50</v>
      </c>
      <c r="J122" s="3">
        <v>3</v>
      </c>
      <c r="K122" s="3">
        <v>0.95</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17</v>
      </c>
      <c r="AM122" s="3" t="s">
        <v>270</v>
      </c>
      <c r="AN122" s="3" t="s">
        <v>2177</v>
      </c>
      <c r="AO122" s="3" t="s">
        <v>50</v>
      </c>
      <c r="AP122" s="3">
        <v>0</v>
      </c>
      <c r="AQ122" s="3">
        <v>0</v>
      </c>
      <c r="AR122">
        <v>0</v>
      </c>
      <c r="AS122">
        <v>2</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121</v>
      </c>
      <c r="B123" s="3" t="s">
        <v>376</v>
      </c>
      <c r="C123" s="3" t="s">
        <v>376</v>
      </c>
      <c r="D123" s="5" t="s">
        <v>825</v>
      </c>
      <c r="E123" s="5" t="s">
        <v>830</v>
      </c>
      <c r="F123" s="3">
        <v>0</v>
      </c>
      <c r="G123" s="3">
        <v>0</v>
      </c>
      <c r="H123" s="3">
        <v>0</v>
      </c>
      <c r="I123" s="3">
        <v>50</v>
      </c>
      <c r="J123" s="3">
        <v>3</v>
      </c>
      <c r="K123" s="3">
        <v>0.95</v>
      </c>
      <c r="L123" s="3">
        <v>0</v>
      </c>
      <c r="M123" s="3">
        <v>0</v>
      </c>
      <c r="N123" s="3">
        <v>0</v>
      </c>
      <c r="O123" s="3">
        <v>0</v>
      </c>
      <c r="P123" s="3">
        <v>0</v>
      </c>
      <c r="Q123" s="3">
        <v>0</v>
      </c>
      <c r="R123" s="3">
        <v>0</v>
      </c>
      <c r="S123" s="3">
        <v>0</v>
      </c>
      <c r="T123" s="3">
        <v>0</v>
      </c>
      <c r="U123" s="3">
        <v>0</v>
      </c>
      <c r="V123" s="3">
        <v>-7</v>
      </c>
      <c r="W123" s="3">
        <v>0</v>
      </c>
      <c r="X123" s="3">
        <v>15</v>
      </c>
      <c r="Y123" s="3">
        <v>0</v>
      </c>
      <c r="Z123" s="3">
        <v>0</v>
      </c>
      <c r="AA123" s="3">
        <v>0</v>
      </c>
      <c r="AB123" s="3">
        <v>0</v>
      </c>
      <c r="AC123" s="3">
        <v>0</v>
      </c>
      <c r="AD123" s="3">
        <v>0</v>
      </c>
      <c r="AE123" s="3">
        <v>0</v>
      </c>
      <c r="AF123" s="3">
        <v>0</v>
      </c>
      <c r="AG123" s="3">
        <v>0</v>
      </c>
      <c r="AH123" s="3">
        <v>0</v>
      </c>
      <c r="AI123" s="3">
        <v>0</v>
      </c>
      <c r="AJ123" s="3">
        <v>0</v>
      </c>
      <c r="AK123" s="3">
        <v>0</v>
      </c>
      <c r="AL123" s="3" t="s">
        <v>17</v>
      </c>
      <c r="AM123" s="3" t="s">
        <v>1605</v>
      </c>
      <c r="AN123" s="3" t="s">
        <v>1973</v>
      </c>
      <c r="AO123" s="3" t="s">
        <v>1847</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122</v>
      </c>
      <c r="B124" s="3" t="s">
        <v>2384</v>
      </c>
      <c r="C124" s="3" t="s">
        <v>2384</v>
      </c>
      <c r="D124" s="5" t="s">
        <v>2594</v>
      </c>
      <c r="E124" s="5" t="s">
        <v>2385</v>
      </c>
      <c r="F124" s="3">
        <v>0</v>
      </c>
      <c r="G124" s="3">
        <v>0</v>
      </c>
      <c r="H124" s="3">
        <v>0</v>
      </c>
      <c r="I124" s="3">
        <v>50</v>
      </c>
      <c r="J124" s="3">
        <v>3</v>
      </c>
      <c r="K124" s="3">
        <v>0.93</v>
      </c>
      <c r="L124" s="3">
        <v>0</v>
      </c>
      <c r="M124" s="3">
        <v>0</v>
      </c>
      <c r="N124" s="3">
        <v>0</v>
      </c>
      <c r="O124" s="3">
        <v>0</v>
      </c>
      <c r="P124" s="3">
        <v>20</v>
      </c>
      <c r="Q124" s="3">
        <v>20</v>
      </c>
      <c r="R124" s="3">
        <v>20</v>
      </c>
      <c r="S124" s="3">
        <v>0</v>
      </c>
      <c r="T124" s="3">
        <v>0</v>
      </c>
      <c r="U124" s="3">
        <v>0</v>
      </c>
      <c r="V124" s="3">
        <v>-7</v>
      </c>
      <c r="W124" s="3">
        <v>0</v>
      </c>
      <c r="X124" s="3">
        <v>15</v>
      </c>
      <c r="Y124" s="3">
        <v>0</v>
      </c>
      <c r="Z124" s="3">
        <v>10</v>
      </c>
      <c r="AA124" s="3">
        <v>0</v>
      </c>
      <c r="AB124" s="3">
        <v>0</v>
      </c>
      <c r="AC124" s="3">
        <v>0</v>
      </c>
      <c r="AD124" s="3">
        <v>0</v>
      </c>
      <c r="AE124" s="3">
        <v>0</v>
      </c>
      <c r="AF124" s="3">
        <v>0</v>
      </c>
      <c r="AG124" s="3">
        <v>0</v>
      </c>
      <c r="AH124" s="3">
        <v>0</v>
      </c>
      <c r="AI124" s="3">
        <v>0</v>
      </c>
      <c r="AJ124" s="3">
        <v>0</v>
      </c>
      <c r="AK124" s="3">
        <v>0</v>
      </c>
      <c r="AL124" s="3" t="s">
        <v>17</v>
      </c>
      <c r="AM124" s="3" t="s">
        <v>1605</v>
      </c>
      <c r="AN124" s="3" t="s">
        <v>1973</v>
      </c>
      <c r="AO124" s="3" t="s">
        <v>50</v>
      </c>
      <c r="AP124" s="3">
        <v>0</v>
      </c>
      <c r="AQ124" s="3">
        <v>0</v>
      </c>
      <c r="AR124">
        <v>0</v>
      </c>
      <c r="AS124">
        <v>1</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2</v>
      </c>
      <c r="BL124">
        <v>0</v>
      </c>
      <c r="BM124">
        <v>0</v>
      </c>
      <c r="BN124">
        <v>0</v>
      </c>
      <c r="BO124">
        <v>0</v>
      </c>
      <c r="BP124" s="6" t="s">
        <v>50</v>
      </c>
      <c r="BQ124">
        <v>0</v>
      </c>
      <c r="BR124" s="6" t="s">
        <v>50</v>
      </c>
      <c r="BS124">
        <v>0</v>
      </c>
      <c r="BT124" s="6" t="s">
        <v>50</v>
      </c>
      <c r="BU124">
        <v>0</v>
      </c>
    </row>
    <row r="125" spans="1:73" ht="15.75" customHeight="1" x14ac:dyDescent="0.2">
      <c r="A125" s="3">
        <f t="shared" si="1"/>
        <v>123</v>
      </c>
      <c r="B125" s="3" t="s">
        <v>2401</v>
      </c>
      <c r="C125" s="3" t="s">
        <v>2401</v>
      </c>
      <c r="D125" s="5" t="s">
        <v>2400</v>
      </c>
      <c r="E125" s="5" t="s">
        <v>2402</v>
      </c>
      <c r="F125" s="3">
        <v>0</v>
      </c>
      <c r="G125" s="3">
        <v>0</v>
      </c>
      <c r="H125" s="3">
        <v>0</v>
      </c>
      <c r="I125" s="3">
        <v>50</v>
      </c>
      <c r="J125" s="3">
        <v>3</v>
      </c>
      <c r="K125" s="3">
        <v>0.91</v>
      </c>
      <c r="L125" s="3">
        <v>0</v>
      </c>
      <c r="M125" s="3">
        <v>0</v>
      </c>
      <c r="N125" s="3">
        <v>0</v>
      </c>
      <c r="O125" s="3">
        <v>0</v>
      </c>
      <c r="P125" s="3">
        <v>40</v>
      </c>
      <c r="Q125" s="3">
        <v>40</v>
      </c>
      <c r="R125" s="3">
        <v>40</v>
      </c>
      <c r="S125" s="3">
        <v>0</v>
      </c>
      <c r="T125" s="3">
        <v>0</v>
      </c>
      <c r="U125" s="3">
        <v>0</v>
      </c>
      <c r="V125" s="3">
        <v>-7</v>
      </c>
      <c r="W125" s="3">
        <v>0</v>
      </c>
      <c r="X125" s="3">
        <v>15</v>
      </c>
      <c r="Y125" s="3">
        <v>0</v>
      </c>
      <c r="Z125" s="3">
        <v>20</v>
      </c>
      <c r="AA125" s="3">
        <v>0</v>
      </c>
      <c r="AB125" s="3">
        <v>0</v>
      </c>
      <c r="AC125" s="3">
        <v>0</v>
      </c>
      <c r="AD125" s="3">
        <v>0</v>
      </c>
      <c r="AE125" s="3">
        <v>0</v>
      </c>
      <c r="AF125" s="3">
        <v>0</v>
      </c>
      <c r="AG125" s="3">
        <v>0</v>
      </c>
      <c r="AH125" s="3">
        <v>0</v>
      </c>
      <c r="AI125" s="3">
        <v>0</v>
      </c>
      <c r="AJ125" s="3">
        <v>0</v>
      </c>
      <c r="AK125" s="3">
        <v>0</v>
      </c>
      <c r="AL125" s="3" t="s">
        <v>17</v>
      </c>
      <c r="AM125" s="3" t="s">
        <v>1605</v>
      </c>
      <c r="AN125" s="3" t="s">
        <v>1973</v>
      </c>
      <c r="AO125" s="3" t="s">
        <v>50</v>
      </c>
      <c r="AP125" s="3">
        <v>0</v>
      </c>
      <c r="AQ125" s="3">
        <v>0</v>
      </c>
      <c r="AR125">
        <v>0</v>
      </c>
      <c r="AS125">
        <v>1</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row>
    <row r="126" spans="1:73" ht="15.75" customHeight="1" x14ac:dyDescent="0.2">
      <c r="A126" s="3">
        <f t="shared" si="1"/>
        <v>124</v>
      </c>
      <c r="B126" s="3" t="s">
        <v>2630</v>
      </c>
      <c r="C126" s="3" t="s">
        <v>2630</v>
      </c>
      <c r="D126" s="5" t="s">
        <v>2629</v>
      </c>
      <c r="E126" s="5" t="s">
        <v>3111</v>
      </c>
      <c r="F126" s="3">
        <v>0</v>
      </c>
      <c r="G126" s="3">
        <v>0</v>
      </c>
      <c r="H126" s="3">
        <v>0</v>
      </c>
      <c r="I126" s="3">
        <v>50</v>
      </c>
      <c r="J126" s="3">
        <v>3</v>
      </c>
      <c r="K126" s="3">
        <v>1</v>
      </c>
      <c r="L126" s="3">
        <v>0</v>
      </c>
      <c r="M126" s="3">
        <v>0</v>
      </c>
      <c r="N126" s="3">
        <v>0</v>
      </c>
      <c r="O126" s="3">
        <v>0</v>
      </c>
      <c r="P126" s="3">
        <v>0</v>
      </c>
      <c r="Q126" s="3">
        <v>0</v>
      </c>
      <c r="R126" s="3">
        <v>0</v>
      </c>
      <c r="S126" s="3">
        <v>0</v>
      </c>
      <c r="T126" s="3">
        <v>0</v>
      </c>
      <c r="U126" s="3">
        <v>0</v>
      </c>
      <c r="V126" s="3">
        <v>-7</v>
      </c>
      <c r="W126" s="3">
        <v>0</v>
      </c>
      <c r="X126" s="3">
        <v>15</v>
      </c>
      <c r="Y126" s="3">
        <v>0</v>
      </c>
      <c r="Z126" s="3">
        <v>0</v>
      </c>
      <c r="AA126" s="3">
        <v>0</v>
      </c>
      <c r="AB126" s="3">
        <v>0</v>
      </c>
      <c r="AC126" s="3">
        <v>0</v>
      </c>
      <c r="AD126" s="3">
        <v>0</v>
      </c>
      <c r="AE126" s="3">
        <v>0</v>
      </c>
      <c r="AF126" s="3">
        <v>0</v>
      </c>
      <c r="AG126" s="3">
        <v>0</v>
      </c>
      <c r="AH126" s="3">
        <v>0</v>
      </c>
      <c r="AI126" s="3">
        <v>0</v>
      </c>
      <c r="AJ126" s="3">
        <v>0</v>
      </c>
      <c r="AK126" s="3">
        <v>0</v>
      </c>
      <c r="AL126" s="3" t="s">
        <v>17</v>
      </c>
      <c r="AM126" s="3" t="s">
        <v>1605</v>
      </c>
      <c r="AN126" s="3" t="s">
        <v>2631</v>
      </c>
      <c r="AO126" s="3" t="s">
        <v>50</v>
      </c>
      <c r="AP126" s="3">
        <v>0</v>
      </c>
      <c r="AQ126" s="3">
        <v>0</v>
      </c>
      <c r="AR126">
        <v>0</v>
      </c>
      <c r="AS126">
        <v>1</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s="9" customFormat="1" ht="15.75" customHeight="1" x14ac:dyDescent="0.2">
      <c r="A127" s="7">
        <f t="shared" si="1"/>
        <v>125</v>
      </c>
      <c r="B127" s="7" t="s">
        <v>2630</v>
      </c>
      <c r="C127" s="7" t="s">
        <v>3343</v>
      </c>
      <c r="D127" s="8" t="s">
        <v>3341</v>
      </c>
      <c r="E127" s="8" t="s">
        <v>3342</v>
      </c>
      <c r="F127" s="7">
        <v>0</v>
      </c>
      <c r="G127" s="7">
        <v>0</v>
      </c>
      <c r="H127" s="7">
        <v>0</v>
      </c>
      <c r="I127" s="7">
        <v>50</v>
      </c>
      <c r="J127" s="7">
        <v>3</v>
      </c>
      <c r="K127" s="7">
        <v>1</v>
      </c>
      <c r="L127" s="7">
        <v>0</v>
      </c>
      <c r="M127" s="7">
        <v>0</v>
      </c>
      <c r="N127" s="7">
        <v>0</v>
      </c>
      <c r="O127" s="7">
        <v>0</v>
      </c>
      <c r="P127" s="7">
        <v>0</v>
      </c>
      <c r="Q127" s="7">
        <v>0</v>
      </c>
      <c r="R127" s="7">
        <v>0</v>
      </c>
      <c r="S127" s="7">
        <v>0</v>
      </c>
      <c r="T127" s="7">
        <v>0</v>
      </c>
      <c r="U127" s="7">
        <v>0</v>
      </c>
      <c r="V127" s="7">
        <v>-7</v>
      </c>
      <c r="W127" s="7">
        <v>0</v>
      </c>
      <c r="X127" s="7">
        <v>15</v>
      </c>
      <c r="Y127" s="7">
        <v>0</v>
      </c>
      <c r="Z127" s="7">
        <v>0</v>
      </c>
      <c r="AA127" s="7">
        <v>0</v>
      </c>
      <c r="AB127" s="7">
        <v>0</v>
      </c>
      <c r="AC127" s="7">
        <v>0</v>
      </c>
      <c r="AD127" s="7">
        <v>0</v>
      </c>
      <c r="AE127" s="7">
        <v>0</v>
      </c>
      <c r="AF127" s="7">
        <v>0</v>
      </c>
      <c r="AG127" s="7">
        <v>0</v>
      </c>
      <c r="AH127" s="7">
        <v>0</v>
      </c>
      <c r="AI127" s="7">
        <v>0</v>
      </c>
      <c r="AJ127" s="7">
        <v>0</v>
      </c>
      <c r="AK127" s="7">
        <v>0</v>
      </c>
      <c r="AL127" s="7" t="s">
        <v>17</v>
      </c>
      <c r="AM127" s="7" t="s">
        <v>1605</v>
      </c>
      <c r="AN127" s="7" t="s">
        <v>2631</v>
      </c>
      <c r="AO127" s="7" t="s">
        <v>50</v>
      </c>
      <c r="AP127" s="7">
        <v>0</v>
      </c>
      <c r="AQ127" s="7">
        <v>0</v>
      </c>
      <c r="AR127" s="9">
        <v>0</v>
      </c>
      <c r="AS127" s="9">
        <v>1</v>
      </c>
      <c r="AT127" s="10" t="s">
        <v>50</v>
      </c>
      <c r="AU127" s="10" t="s">
        <v>50</v>
      </c>
      <c r="AV127" s="10" t="s">
        <v>50</v>
      </c>
      <c r="AW127" s="10" t="s">
        <v>50</v>
      </c>
      <c r="AX127" s="10" t="s">
        <v>50</v>
      </c>
      <c r="AY127" s="10" t="s">
        <v>50</v>
      </c>
      <c r="AZ127" s="10" t="s">
        <v>50</v>
      </c>
      <c r="BA127" s="10" t="s">
        <v>50</v>
      </c>
      <c r="BB127" s="10" t="s">
        <v>50</v>
      </c>
      <c r="BC127" s="10" t="s">
        <v>50</v>
      </c>
      <c r="BD127" s="10" t="s">
        <v>50</v>
      </c>
      <c r="BE127" s="10" t="s">
        <v>50</v>
      </c>
      <c r="BF127" s="10" t="s">
        <v>50</v>
      </c>
      <c r="BG127" s="10" t="s">
        <v>50</v>
      </c>
      <c r="BH127" s="10" t="s">
        <v>50</v>
      </c>
      <c r="BI127" s="9">
        <v>1</v>
      </c>
      <c r="BJ127" s="9">
        <v>0</v>
      </c>
      <c r="BK127" s="9">
        <v>3</v>
      </c>
      <c r="BL127" s="9">
        <v>0</v>
      </c>
      <c r="BM127" s="9">
        <v>0</v>
      </c>
      <c r="BN127" s="9">
        <v>0</v>
      </c>
      <c r="BO127" s="9">
        <v>0</v>
      </c>
      <c r="BP127" s="10" t="s">
        <v>50</v>
      </c>
      <c r="BQ127" s="9">
        <v>0</v>
      </c>
      <c r="BR127" s="10" t="s">
        <v>50</v>
      </c>
      <c r="BS127" s="9">
        <v>0</v>
      </c>
      <c r="BT127" s="10" t="s">
        <v>50</v>
      </c>
      <c r="BU127" s="9">
        <v>0</v>
      </c>
    </row>
    <row r="128" spans="1:73" ht="15.75" customHeight="1" x14ac:dyDescent="0.2">
      <c r="A128" s="3">
        <f t="shared" si="1"/>
        <v>126</v>
      </c>
      <c r="B128" s="3" t="s">
        <v>1488</v>
      </c>
      <c r="C128" s="3" t="s">
        <v>1488</v>
      </c>
      <c r="D128" s="25" t="s">
        <v>1487</v>
      </c>
      <c r="E128" s="4" t="s">
        <v>1492</v>
      </c>
      <c r="F128" s="3">
        <v>0</v>
      </c>
      <c r="G128" s="3">
        <v>0</v>
      </c>
      <c r="H128" s="3">
        <v>0</v>
      </c>
      <c r="I128" s="3">
        <v>0</v>
      </c>
      <c r="J128" s="3">
        <v>0</v>
      </c>
      <c r="K128" s="3">
        <v>1</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51</v>
      </c>
      <c r="AM128" s="3" t="s">
        <v>1605</v>
      </c>
      <c r="AN128" s="3" t="s">
        <v>2928</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127</v>
      </c>
      <c r="B129" s="3" t="s">
        <v>2926</v>
      </c>
      <c r="C129" s="3" t="s">
        <v>2926</v>
      </c>
      <c r="D129" s="25" t="s">
        <v>2925</v>
      </c>
      <c r="E129" s="4" t="s">
        <v>2927</v>
      </c>
      <c r="F129" s="3">
        <v>0</v>
      </c>
      <c r="G129" s="3">
        <v>0</v>
      </c>
      <c r="H129" s="3">
        <v>0</v>
      </c>
      <c r="I129" s="3">
        <v>0</v>
      </c>
      <c r="J129" s="3">
        <v>0</v>
      </c>
      <c r="K129" s="3">
        <v>1</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51</v>
      </c>
      <c r="AM129" s="3" t="s">
        <v>1605</v>
      </c>
      <c r="AN129" s="3" t="s">
        <v>2934</v>
      </c>
      <c r="AO129" s="3" t="s">
        <v>50</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128</v>
      </c>
      <c r="B130" s="3" t="s">
        <v>1489</v>
      </c>
      <c r="C130" s="3" t="s">
        <v>1489</v>
      </c>
      <c r="D130" s="25" t="s">
        <v>1490</v>
      </c>
      <c r="E130" s="4" t="s">
        <v>1491</v>
      </c>
      <c r="F130" s="3">
        <v>0</v>
      </c>
      <c r="G130" s="3">
        <v>0</v>
      </c>
      <c r="H130" s="3">
        <v>0</v>
      </c>
      <c r="I130" s="3">
        <v>0</v>
      </c>
      <c r="J130" s="3">
        <v>0</v>
      </c>
      <c r="K130" s="3">
        <v>1</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51</v>
      </c>
      <c r="AM130" s="3" t="s">
        <v>1605</v>
      </c>
      <c r="AN130" s="3" t="s">
        <v>2928</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129</v>
      </c>
      <c r="B131" s="3" t="s">
        <v>611</v>
      </c>
      <c r="C131" s="3" t="s">
        <v>611</v>
      </c>
      <c r="D131" s="5" t="s">
        <v>610</v>
      </c>
      <c r="E131" s="5" t="s">
        <v>612</v>
      </c>
      <c r="F131" s="3">
        <v>0</v>
      </c>
      <c r="G131" s="3">
        <v>0</v>
      </c>
      <c r="H131" s="3">
        <v>0</v>
      </c>
      <c r="I131" s="3">
        <v>50</v>
      </c>
      <c r="J131" s="3">
        <v>3</v>
      </c>
      <c r="K131" s="3">
        <v>0.95</v>
      </c>
      <c r="L131" s="3">
        <v>0</v>
      </c>
      <c r="M131" s="3">
        <v>0</v>
      </c>
      <c r="N131" s="3">
        <v>12</v>
      </c>
      <c r="O131" s="3">
        <v>12</v>
      </c>
      <c r="P131" s="3">
        <v>0</v>
      </c>
      <c r="Q131" s="3">
        <v>0</v>
      </c>
      <c r="R131" s="3">
        <v>0</v>
      </c>
      <c r="S131" s="3">
        <v>0</v>
      </c>
      <c r="T131" s="3">
        <v>0</v>
      </c>
      <c r="U131" s="3">
        <v>0</v>
      </c>
      <c r="V131" s="3">
        <v>-3</v>
      </c>
      <c r="W131" s="3">
        <v>-3</v>
      </c>
      <c r="X131" s="3">
        <v>1</v>
      </c>
      <c r="Y131" s="3">
        <v>0</v>
      </c>
      <c r="Z131" s="3">
        <v>20</v>
      </c>
      <c r="AA131" s="3">
        <v>3</v>
      </c>
      <c r="AB131" s="3">
        <v>0</v>
      </c>
      <c r="AC131" s="3">
        <v>0</v>
      </c>
      <c r="AD131" s="3">
        <v>0</v>
      </c>
      <c r="AE131" s="3">
        <v>0</v>
      </c>
      <c r="AF131" s="3">
        <v>0</v>
      </c>
      <c r="AG131" s="3">
        <v>0</v>
      </c>
      <c r="AH131" s="3">
        <v>0</v>
      </c>
      <c r="AI131" s="3">
        <v>0</v>
      </c>
      <c r="AJ131" s="3">
        <v>0</v>
      </c>
      <c r="AK131" s="3">
        <v>0</v>
      </c>
      <c r="AL131" s="3" t="s">
        <v>17</v>
      </c>
      <c r="AM131" s="3" t="s">
        <v>3310</v>
      </c>
      <c r="AN131" s="3" t="s">
        <v>1974</v>
      </c>
      <c r="AO131" s="3" t="s">
        <v>1847</v>
      </c>
      <c r="AP131" s="3">
        <v>0</v>
      </c>
      <c r="AQ131" s="3">
        <v>0</v>
      </c>
      <c r="AR131">
        <v>0</v>
      </c>
      <c r="AS131">
        <v>2</v>
      </c>
      <c r="AT131" s="6" t="s">
        <v>872</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130</v>
      </c>
      <c r="B132" s="3" t="s">
        <v>2407</v>
      </c>
      <c r="C132" s="3" t="s">
        <v>2407</v>
      </c>
      <c r="D132" s="5" t="s">
        <v>2406</v>
      </c>
      <c r="E132" s="5" t="s">
        <v>2408</v>
      </c>
      <c r="F132" s="3">
        <v>0</v>
      </c>
      <c r="G132" s="3">
        <v>0</v>
      </c>
      <c r="H132" s="3">
        <v>0</v>
      </c>
      <c r="I132" s="3">
        <v>50</v>
      </c>
      <c r="J132" s="3">
        <v>3</v>
      </c>
      <c r="K132" s="3">
        <v>0.95</v>
      </c>
      <c r="L132" s="3">
        <v>0</v>
      </c>
      <c r="M132" s="3">
        <v>0</v>
      </c>
      <c r="N132" s="3">
        <v>15</v>
      </c>
      <c r="O132" s="3">
        <v>15</v>
      </c>
      <c r="P132" s="3">
        <v>0</v>
      </c>
      <c r="Q132" s="3">
        <v>0</v>
      </c>
      <c r="R132" s="3">
        <v>0</v>
      </c>
      <c r="S132" s="3">
        <v>0</v>
      </c>
      <c r="T132" s="3">
        <v>0</v>
      </c>
      <c r="U132" s="3">
        <v>0</v>
      </c>
      <c r="V132" s="3">
        <v>-3</v>
      </c>
      <c r="W132" s="3">
        <v>-3</v>
      </c>
      <c r="X132" s="3">
        <v>1</v>
      </c>
      <c r="Y132" s="3">
        <v>0</v>
      </c>
      <c r="Z132" s="3">
        <v>20</v>
      </c>
      <c r="AA132" s="3">
        <v>0</v>
      </c>
      <c r="AB132" s="3">
        <v>0</v>
      </c>
      <c r="AC132" s="3">
        <v>0</v>
      </c>
      <c r="AD132" s="3">
        <v>0</v>
      </c>
      <c r="AE132" s="3">
        <v>0</v>
      </c>
      <c r="AF132" s="3">
        <v>0</v>
      </c>
      <c r="AG132" s="3">
        <v>5</v>
      </c>
      <c r="AH132" s="3">
        <v>0</v>
      </c>
      <c r="AI132" s="3">
        <v>10</v>
      </c>
      <c r="AJ132" s="3">
        <v>0</v>
      </c>
      <c r="AK132" s="3">
        <v>0</v>
      </c>
      <c r="AL132" s="3" t="s">
        <v>17</v>
      </c>
      <c r="AM132" s="3" t="s">
        <v>3310</v>
      </c>
      <c r="AN132" s="3" t="s">
        <v>1974</v>
      </c>
      <c r="AO132" s="3" t="s">
        <v>50</v>
      </c>
      <c r="AP132" s="3">
        <v>0</v>
      </c>
      <c r="AQ132" s="3">
        <v>0</v>
      </c>
      <c r="AR132">
        <v>0</v>
      </c>
      <c r="AS132">
        <v>2</v>
      </c>
      <c r="AT132" s="6" t="s">
        <v>2513</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131</v>
      </c>
      <c r="B133" s="3" t="s">
        <v>2593</v>
      </c>
      <c r="C133" s="3" t="s">
        <v>2593</v>
      </c>
      <c r="D133" s="5" t="s">
        <v>2592</v>
      </c>
      <c r="E133" s="5" t="s">
        <v>2633</v>
      </c>
      <c r="F133" s="3">
        <v>0</v>
      </c>
      <c r="G133" s="3">
        <v>0</v>
      </c>
      <c r="H133" s="3">
        <v>0</v>
      </c>
      <c r="I133" s="3">
        <v>50</v>
      </c>
      <c r="J133" s="3">
        <v>3</v>
      </c>
      <c r="K133" s="3">
        <v>0.95</v>
      </c>
      <c r="L133" s="3">
        <v>0</v>
      </c>
      <c r="M133" s="3">
        <v>12</v>
      </c>
      <c r="N133" s="3">
        <v>6</v>
      </c>
      <c r="O133" s="3">
        <v>0</v>
      </c>
      <c r="P133" s="3">
        <v>0</v>
      </c>
      <c r="Q133" s="3">
        <v>0</v>
      </c>
      <c r="R133" s="3">
        <v>0</v>
      </c>
      <c r="S133" s="3">
        <v>0</v>
      </c>
      <c r="T133" s="3">
        <v>0</v>
      </c>
      <c r="U133" s="3">
        <v>0</v>
      </c>
      <c r="V133" s="3">
        <v>-3</v>
      </c>
      <c r="W133" s="3">
        <v>-3</v>
      </c>
      <c r="X133" s="3">
        <v>1</v>
      </c>
      <c r="Y133" s="3">
        <v>0</v>
      </c>
      <c r="Z133" s="3">
        <v>20</v>
      </c>
      <c r="AA133" s="3">
        <v>0</v>
      </c>
      <c r="AB133" s="3">
        <v>10</v>
      </c>
      <c r="AC133" s="3">
        <v>4</v>
      </c>
      <c r="AD133" s="3">
        <v>0</v>
      </c>
      <c r="AE133" s="3">
        <v>0</v>
      </c>
      <c r="AF133" s="3">
        <v>0</v>
      </c>
      <c r="AG133" s="3">
        <v>5</v>
      </c>
      <c r="AH133" s="3">
        <v>0</v>
      </c>
      <c r="AI133" s="3">
        <v>0</v>
      </c>
      <c r="AJ133" s="3">
        <v>0</v>
      </c>
      <c r="AK133" s="3">
        <v>0</v>
      </c>
      <c r="AL133" s="3" t="s">
        <v>17</v>
      </c>
      <c r="AM133" s="3" t="s">
        <v>3310</v>
      </c>
      <c r="AN133" s="3" t="s">
        <v>1974</v>
      </c>
      <c r="AO133" s="3" t="s">
        <v>50</v>
      </c>
      <c r="AP133" s="3">
        <v>0</v>
      </c>
      <c r="AQ133" s="3">
        <v>0</v>
      </c>
      <c r="AR133">
        <v>0</v>
      </c>
      <c r="AS133">
        <v>2</v>
      </c>
      <c r="AT133" s="6" t="s">
        <v>3485</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ref="A134:A197" si="2">ROW()-2</f>
        <v>132</v>
      </c>
      <c r="B134" s="3" t="s">
        <v>1470</v>
      </c>
      <c r="C134" s="3" t="s">
        <v>1452</v>
      </c>
      <c r="D134" s="5" t="s">
        <v>1449</v>
      </c>
      <c r="E134" s="5" t="s">
        <v>1450</v>
      </c>
      <c r="F134" s="3">
        <v>0</v>
      </c>
      <c r="G134" s="3">
        <v>0</v>
      </c>
      <c r="H134" s="3">
        <v>0</v>
      </c>
      <c r="I134" s="3">
        <v>50</v>
      </c>
      <c r="J134" s="3">
        <v>3</v>
      </c>
      <c r="K134" s="3">
        <v>0.95</v>
      </c>
      <c r="L134" s="3">
        <v>0</v>
      </c>
      <c r="M134" s="3">
        <v>10</v>
      </c>
      <c r="N134" s="3">
        <v>21</v>
      </c>
      <c r="O134" s="3">
        <v>5</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3310</v>
      </c>
      <c r="AN134" s="3" t="s">
        <v>1975</v>
      </c>
      <c r="AO134" s="3" t="s">
        <v>1847</v>
      </c>
      <c r="AP134" s="3">
        <v>0</v>
      </c>
      <c r="AQ134" s="3">
        <v>0</v>
      </c>
      <c r="AR134">
        <v>0</v>
      </c>
      <c r="AS134">
        <v>2</v>
      </c>
      <c r="AT134" s="6" t="s">
        <v>1451</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2"/>
        <v>133</v>
      </c>
      <c r="B135" s="3" t="s">
        <v>2549</v>
      </c>
      <c r="C135" s="3" t="s">
        <v>2419</v>
      </c>
      <c r="D135" s="5" t="s">
        <v>2418</v>
      </c>
      <c r="E135" s="5" t="s">
        <v>2426</v>
      </c>
      <c r="F135" s="3">
        <v>0</v>
      </c>
      <c r="G135" s="3">
        <v>0</v>
      </c>
      <c r="H135" s="3">
        <v>0</v>
      </c>
      <c r="I135" s="3">
        <v>50</v>
      </c>
      <c r="J135" s="3">
        <v>3</v>
      </c>
      <c r="K135" s="3">
        <v>0.95</v>
      </c>
      <c r="L135" s="3">
        <v>0</v>
      </c>
      <c r="M135" s="3">
        <v>10</v>
      </c>
      <c r="N135" s="3">
        <v>5</v>
      </c>
      <c r="O135" s="3">
        <v>21</v>
      </c>
      <c r="P135" s="3">
        <v>0</v>
      </c>
      <c r="Q135" s="3">
        <v>0</v>
      </c>
      <c r="R135" s="3">
        <v>0</v>
      </c>
      <c r="S135" s="3">
        <v>0</v>
      </c>
      <c r="T135" s="3">
        <v>0</v>
      </c>
      <c r="U135" s="3">
        <v>0</v>
      </c>
      <c r="V135" s="3">
        <v>0</v>
      </c>
      <c r="W135" s="3">
        <v>0</v>
      </c>
      <c r="X135" s="3">
        <v>0</v>
      </c>
      <c r="Y135" s="3">
        <v>0</v>
      </c>
      <c r="Z135" s="3">
        <v>0</v>
      </c>
      <c r="AA135" s="3">
        <v>10</v>
      </c>
      <c r="AB135" s="3">
        <v>0</v>
      </c>
      <c r="AC135" s="3">
        <v>0</v>
      </c>
      <c r="AD135" s="3">
        <v>0</v>
      </c>
      <c r="AE135" s="3">
        <v>0</v>
      </c>
      <c r="AF135" s="3">
        <v>0</v>
      </c>
      <c r="AG135" s="3">
        <v>8</v>
      </c>
      <c r="AH135" s="3">
        <v>5</v>
      </c>
      <c r="AI135" s="3">
        <v>10</v>
      </c>
      <c r="AJ135" s="3">
        <v>0</v>
      </c>
      <c r="AK135" s="3">
        <v>0</v>
      </c>
      <c r="AL135" s="3" t="s">
        <v>17</v>
      </c>
      <c r="AM135" s="3" t="s">
        <v>3310</v>
      </c>
      <c r="AN135" s="3" t="s">
        <v>1975</v>
      </c>
      <c r="AO135" s="3" t="s">
        <v>50</v>
      </c>
      <c r="AP135" s="3">
        <v>0</v>
      </c>
      <c r="AQ135" s="3">
        <v>0</v>
      </c>
      <c r="AR135">
        <v>0</v>
      </c>
      <c r="AS135">
        <v>2</v>
      </c>
      <c r="AT135" s="6" t="s">
        <v>2514</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2"/>
        <v>134</v>
      </c>
      <c r="B136" s="3" t="s">
        <v>2842</v>
      </c>
      <c r="C136" s="3" t="s">
        <v>2842</v>
      </c>
      <c r="D136" s="5" t="s">
        <v>2841</v>
      </c>
      <c r="E136" s="5" t="s">
        <v>2843</v>
      </c>
      <c r="F136" s="3">
        <v>0</v>
      </c>
      <c r="G136" s="3">
        <v>0</v>
      </c>
      <c r="H136" s="3">
        <v>0</v>
      </c>
      <c r="I136" s="3">
        <v>50</v>
      </c>
      <c r="J136" s="3">
        <v>3</v>
      </c>
      <c r="K136" s="3">
        <v>0.95</v>
      </c>
      <c r="L136" s="3">
        <v>0</v>
      </c>
      <c r="M136" s="3">
        <v>5</v>
      </c>
      <c r="N136" s="3">
        <v>0</v>
      </c>
      <c r="O136" s="3">
        <v>0</v>
      </c>
      <c r="P136" s="3">
        <v>8</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17</v>
      </c>
      <c r="AM136" s="3" t="s">
        <v>3311</v>
      </c>
      <c r="AN136" s="3" t="s">
        <v>2873</v>
      </c>
      <c r="AO136" s="3" t="s">
        <v>50</v>
      </c>
      <c r="AP136" s="3">
        <v>0</v>
      </c>
      <c r="AQ136" s="3">
        <v>0</v>
      </c>
      <c r="AR136">
        <v>0</v>
      </c>
      <c r="AS136">
        <v>2</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2"/>
        <v>135</v>
      </c>
      <c r="B137" s="3" t="s">
        <v>2842</v>
      </c>
      <c r="C137" s="3" t="s">
        <v>3486</v>
      </c>
      <c r="D137" s="5" t="s">
        <v>3487</v>
      </c>
      <c r="E137" s="5" t="s">
        <v>3488</v>
      </c>
      <c r="F137" s="3">
        <v>0</v>
      </c>
      <c r="G137" s="3">
        <v>0</v>
      </c>
      <c r="H137" s="3">
        <v>0</v>
      </c>
      <c r="I137" s="3">
        <v>50</v>
      </c>
      <c r="J137" s="3">
        <v>3</v>
      </c>
      <c r="K137" s="3">
        <v>0.95</v>
      </c>
      <c r="L137" s="3">
        <v>0</v>
      </c>
      <c r="M137" s="3">
        <v>5</v>
      </c>
      <c r="N137" s="3">
        <v>0</v>
      </c>
      <c r="O137" s="3">
        <v>0</v>
      </c>
      <c r="P137" s="3">
        <v>8</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17</v>
      </c>
      <c r="AM137" s="3" t="s">
        <v>3311</v>
      </c>
      <c r="AN137" s="3" t="s">
        <v>2873</v>
      </c>
      <c r="AO137" s="3" t="s">
        <v>50</v>
      </c>
      <c r="AP137" s="3">
        <v>0</v>
      </c>
      <c r="AQ137" s="3">
        <v>0</v>
      </c>
      <c r="AR137">
        <v>0</v>
      </c>
      <c r="AS137">
        <v>2</v>
      </c>
      <c r="AT137" s="6" t="s">
        <v>2514</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2"/>
        <v>136</v>
      </c>
      <c r="B138" s="3" t="s">
        <v>3382</v>
      </c>
      <c r="C138" s="3" t="s">
        <v>3382</v>
      </c>
      <c r="D138" s="5" t="s">
        <v>3383</v>
      </c>
      <c r="E138" s="5" t="s">
        <v>3384</v>
      </c>
      <c r="F138" s="3">
        <v>0</v>
      </c>
      <c r="G138" s="3">
        <v>0</v>
      </c>
      <c r="H138" s="3">
        <v>0</v>
      </c>
      <c r="I138" s="3">
        <v>50</v>
      </c>
      <c r="J138" s="3">
        <v>3</v>
      </c>
      <c r="K138" s="3">
        <v>0.95</v>
      </c>
      <c r="L138" s="3">
        <v>0</v>
      </c>
      <c r="M138" s="3">
        <v>10</v>
      </c>
      <c r="N138" s="3">
        <v>0</v>
      </c>
      <c r="O138" s="3">
        <v>0</v>
      </c>
      <c r="P138" s="3">
        <v>12</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17</v>
      </c>
      <c r="AM138" s="3" t="s">
        <v>3311</v>
      </c>
      <c r="AN138" s="3" t="s">
        <v>2873</v>
      </c>
      <c r="AO138" s="3" t="s">
        <v>50</v>
      </c>
      <c r="AP138" s="3">
        <v>0</v>
      </c>
      <c r="AQ138" s="3">
        <v>0</v>
      </c>
      <c r="AR138">
        <v>0</v>
      </c>
      <c r="AS138">
        <v>2</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ht="15.75" customHeight="1" x14ac:dyDescent="0.2">
      <c r="A139" s="3">
        <f t="shared" si="2"/>
        <v>137</v>
      </c>
      <c r="B139" s="3" t="s">
        <v>3386</v>
      </c>
      <c r="C139" s="3" t="s">
        <v>3386</v>
      </c>
      <c r="D139" s="5" t="s">
        <v>3385</v>
      </c>
      <c r="E139" s="5" t="s">
        <v>3387</v>
      </c>
      <c r="F139" s="3">
        <v>0</v>
      </c>
      <c r="G139" s="3">
        <v>0</v>
      </c>
      <c r="H139" s="3">
        <v>0</v>
      </c>
      <c r="I139" s="3">
        <v>50</v>
      </c>
      <c r="J139" s="3">
        <v>3</v>
      </c>
      <c r="K139" s="3">
        <v>0.95</v>
      </c>
      <c r="L139" s="3">
        <v>0</v>
      </c>
      <c r="M139" s="3">
        <v>7</v>
      </c>
      <c r="N139" s="3">
        <v>0</v>
      </c>
      <c r="O139" s="3">
        <v>0</v>
      </c>
      <c r="P139" s="3">
        <v>15</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17</v>
      </c>
      <c r="AM139" s="3" t="s">
        <v>3311</v>
      </c>
      <c r="AN139" s="3" t="s">
        <v>2873</v>
      </c>
      <c r="AO139" s="3" t="s">
        <v>50</v>
      </c>
      <c r="AP139" s="3">
        <v>0</v>
      </c>
      <c r="AQ139" s="3">
        <v>0</v>
      </c>
      <c r="AR139">
        <v>0</v>
      </c>
      <c r="AS139">
        <v>2</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row>
    <row r="140" spans="1:73" ht="15.75" customHeight="1" x14ac:dyDescent="0.2">
      <c r="A140" s="3">
        <f t="shared" si="2"/>
        <v>138</v>
      </c>
      <c r="B140" s="3" t="s">
        <v>2846</v>
      </c>
      <c r="C140" s="3" t="s">
        <v>2846</v>
      </c>
      <c r="D140" s="5" t="s">
        <v>2844</v>
      </c>
      <c r="E140" s="5" t="s">
        <v>2845</v>
      </c>
      <c r="F140" s="3">
        <v>0</v>
      </c>
      <c r="G140" s="3">
        <v>0</v>
      </c>
      <c r="H140" s="3">
        <v>0</v>
      </c>
      <c r="I140" s="3">
        <v>50</v>
      </c>
      <c r="J140" s="3">
        <v>3</v>
      </c>
      <c r="K140" s="3">
        <v>0.95</v>
      </c>
      <c r="L140" s="3">
        <v>0</v>
      </c>
      <c r="M140" s="3">
        <v>10</v>
      </c>
      <c r="N140" s="3">
        <v>0</v>
      </c>
      <c r="O140" s="3">
        <v>0</v>
      </c>
      <c r="P140" s="3">
        <v>12</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17</v>
      </c>
      <c r="AM140" s="3" t="s">
        <v>3311</v>
      </c>
      <c r="AN140" s="3" t="s">
        <v>3381</v>
      </c>
      <c r="AO140" s="3" t="s">
        <v>50</v>
      </c>
      <c r="AP140" s="3">
        <v>0</v>
      </c>
      <c r="AQ140" s="3">
        <v>0</v>
      </c>
      <c r="AR140">
        <v>0</v>
      </c>
      <c r="AS140">
        <v>2</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row>
    <row r="141" spans="1:73" ht="15.75" customHeight="1" x14ac:dyDescent="0.2">
      <c r="A141" s="3">
        <f t="shared" si="2"/>
        <v>139</v>
      </c>
      <c r="B141" s="3" t="s">
        <v>743</v>
      </c>
      <c r="C141" s="3" t="s">
        <v>743</v>
      </c>
      <c r="D141" s="25" t="s">
        <v>744</v>
      </c>
      <c r="E141" s="4" t="s">
        <v>976</v>
      </c>
      <c r="F141" s="3">
        <v>0</v>
      </c>
      <c r="G141" s="3">
        <v>0</v>
      </c>
      <c r="H141" s="3">
        <v>0</v>
      </c>
      <c r="I141" s="3">
        <v>50</v>
      </c>
      <c r="J141" s="3">
        <v>10</v>
      </c>
      <c r="K141" s="3">
        <v>0.95</v>
      </c>
      <c r="L141" s="3">
        <v>0</v>
      </c>
      <c r="M141" s="3">
        <v>3</v>
      </c>
      <c r="N141" s="3">
        <v>15</v>
      </c>
      <c r="O141" s="3">
        <v>0</v>
      </c>
      <c r="P141" s="3">
        <v>0</v>
      </c>
      <c r="Q141" s="3">
        <v>0</v>
      </c>
      <c r="R141" s="3">
        <v>0</v>
      </c>
      <c r="S141" s="3">
        <v>0</v>
      </c>
      <c r="T141" s="3">
        <v>0</v>
      </c>
      <c r="U141" s="3">
        <v>0</v>
      </c>
      <c r="V141" s="3">
        <v>-3</v>
      </c>
      <c r="W141" s="3">
        <v>-5</v>
      </c>
      <c r="X141" s="3">
        <v>0</v>
      </c>
      <c r="Y141" s="3">
        <v>0</v>
      </c>
      <c r="Z141" s="3">
        <v>10</v>
      </c>
      <c r="AA141" s="3">
        <v>10</v>
      </c>
      <c r="AB141" s="3">
        <v>0</v>
      </c>
      <c r="AC141" s="3">
        <v>0</v>
      </c>
      <c r="AD141" s="3">
        <v>0</v>
      </c>
      <c r="AE141" s="3">
        <v>5</v>
      </c>
      <c r="AF141" s="3">
        <v>0</v>
      </c>
      <c r="AG141" s="3">
        <v>0</v>
      </c>
      <c r="AH141" s="3">
        <v>0</v>
      </c>
      <c r="AI141" s="3">
        <v>0</v>
      </c>
      <c r="AJ141" s="3">
        <v>0</v>
      </c>
      <c r="AK141" s="3">
        <v>0</v>
      </c>
      <c r="AL141" s="3" t="s">
        <v>17</v>
      </c>
      <c r="AM141" s="3" t="s">
        <v>3310</v>
      </c>
      <c r="AN141" s="3" t="s">
        <v>1976</v>
      </c>
      <c r="AO141" s="3" t="s">
        <v>50</v>
      </c>
      <c r="AP141" s="3">
        <v>0</v>
      </c>
      <c r="AQ141" s="3">
        <v>0</v>
      </c>
      <c r="AR141">
        <v>0</v>
      </c>
      <c r="AS141">
        <v>3</v>
      </c>
      <c r="AT141" s="6" t="s">
        <v>936</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row>
    <row r="142" spans="1:73" s="9" customFormat="1" ht="15.75" customHeight="1" x14ac:dyDescent="0.2">
      <c r="A142" s="7">
        <f t="shared" si="2"/>
        <v>140</v>
      </c>
      <c r="B142" s="7" t="s">
        <v>975</v>
      </c>
      <c r="C142" s="7" t="s">
        <v>975</v>
      </c>
      <c r="D142" s="8" t="s">
        <v>974</v>
      </c>
      <c r="E142" s="8" t="s">
        <v>973</v>
      </c>
      <c r="F142" s="7">
        <v>0</v>
      </c>
      <c r="G142" s="7">
        <v>0</v>
      </c>
      <c r="H142" s="7">
        <v>0</v>
      </c>
      <c r="I142" s="7">
        <v>50</v>
      </c>
      <c r="J142" s="7">
        <v>3</v>
      </c>
      <c r="K142" s="7">
        <v>0.95</v>
      </c>
      <c r="L142" s="7">
        <v>0</v>
      </c>
      <c r="M142" s="7">
        <v>0</v>
      </c>
      <c r="N142" s="7">
        <v>0</v>
      </c>
      <c r="O142" s="7">
        <v>0</v>
      </c>
      <c r="P142" s="7">
        <v>0</v>
      </c>
      <c r="Q142" s="7">
        <v>0</v>
      </c>
      <c r="R142" s="7">
        <v>0</v>
      </c>
      <c r="S142" s="7">
        <v>0</v>
      </c>
      <c r="T142" s="7">
        <v>0</v>
      </c>
      <c r="U142" s="7">
        <v>0</v>
      </c>
      <c r="V142" s="7">
        <v>0</v>
      </c>
      <c r="W142" s="7">
        <v>0</v>
      </c>
      <c r="X142" s="7">
        <v>0</v>
      </c>
      <c r="Y142" s="7">
        <v>0</v>
      </c>
      <c r="Z142" s="7">
        <v>0</v>
      </c>
      <c r="AA142" s="7">
        <v>0</v>
      </c>
      <c r="AB142" s="7">
        <v>0</v>
      </c>
      <c r="AC142" s="7">
        <v>0</v>
      </c>
      <c r="AD142" s="7">
        <v>0</v>
      </c>
      <c r="AE142" s="7">
        <v>0</v>
      </c>
      <c r="AF142" s="7">
        <v>0</v>
      </c>
      <c r="AG142" s="7">
        <v>0</v>
      </c>
      <c r="AH142" s="7">
        <v>0</v>
      </c>
      <c r="AI142" s="7">
        <v>0</v>
      </c>
      <c r="AJ142" s="7">
        <v>0</v>
      </c>
      <c r="AK142" s="7">
        <v>0</v>
      </c>
      <c r="AL142" s="7" t="s">
        <v>17</v>
      </c>
      <c r="AM142" s="7" t="s">
        <v>972</v>
      </c>
      <c r="AN142" s="7" t="s">
        <v>972</v>
      </c>
      <c r="AO142" s="7" t="s">
        <v>1847</v>
      </c>
      <c r="AP142" s="7">
        <v>0</v>
      </c>
      <c r="AQ142" s="7">
        <v>0</v>
      </c>
      <c r="AR142" s="9">
        <v>0</v>
      </c>
      <c r="AS142" s="9">
        <v>7</v>
      </c>
      <c r="AT142" s="10" t="s">
        <v>50</v>
      </c>
      <c r="AU142" s="10" t="s">
        <v>50</v>
      </c>
      <c r="AV142" s="10" t="s">
        <v>50</v>
      </c>
      <c r="AW142" s="10" t="s">
        <v>50</v>
      </c>
      <c r="AX142" s="10" t="s">
        <v>50</v>
      </c>
      <c r="AY142" s="10" t="s">
        <v>50</v>
      </c>
      <c r="AZ142" s="10" t="s">
        <v>50</v>
      </c>
      <c r="BA142" s="10" t="s">
        <v>50</v>
      </c>
      <c r="BB142" s="10" t="s">
        <v>50</v>
      </c>
      <c r="BC142" s="10" t="s">
        <v>50</v>
      </c>
      <c r="BD142" s="10" t="s">
        <v>50</v>
      </c>
      <c r="BE142" s="10" t="s">
        <v>50</v>
      </c>
      <c r="BF142" s="10" t="s">
        <v>50</v>
      </c>
      <c r="BG142" s="10" t="s">
        <v>50</v>
      </c>
      <c r="BH142" s="10" t="s">
        <v>50</v>
      </c>
      <c r="BI142" s="9">
        <v>0</v>
      </c>
      <c r="BJ142" s="9">
        <v>0</v>
      </c>
      <c r="BK142" s="9">
        <v>1</v>
      </c>
      <c r="BL142" s="9">
        <v>0</v>
      </c>
      <c r="BM142" s="9">
        <v>0</v>
      </c>
      <c r="BN142" s="9">
        <v>0</v>
      </c>
      <c r="BO142" s="9">
        <v>0</v>
      </c>
      <c r="BP142" s="10" t="s">
        <v>50</v>
      </c>
      <c r="BQ142" s="9">
        <v>0</v>
      </c>
      <c r="BR142" s="10" t="s">
        <v>50</v>
      </c>
      <c r="BS142" s="9">
        <v>0</v>
      </c>
      <c r="BT142" s="10" t="s">
        <v>50</v>
      </c>
      <c r="BU142" s="9">
        <v>0</v>
      </c>
    </row>
    <row r="143" spans="1:73" ht="15.75" customHeight="1" x14ac:dyDescent="0.2">
      <c r="A143" s="3">
        <f t="shared" si="2"/>
        <v>141</v>
      </c>
      <c r="B143" s="3" t="s">
        <v>828</v>
      </c>
      <c r="C143" s="3" t="s">
        <v>618</v>
      </c>
      <c r="D143" s="5" t="s">
        <v>617</v>
      </c>
      <c r="E143" s="5" t="s">
        <v>619</v>
      </c>
      <c r="F143" s="3">
        <v>0</v>
      </c>
      <c r="G143" s="3">
        <v>0</v>
      </c>
      <c r="H143" s="3">
        <v>0</v>
      </c>
      <c r="I143" s="3">
        <v>50</v>
      </c>
      <c r="J143" s="3">
        <v>3</v>
      </c>
      <c r="K143" s="3">
        <v>0.95</v>
      </c>
      <c r="L143" s="3">
        <v>0</v>
      </c>
      <c r="M143" s="3">
        <v>1</v>
      </c>
      <c r="N143" s="3">
        <v>0</v>
      </c>
      <c r="O143" s="3">
        <v>0</v>
      </c>
      <c r="P143" s="3">
        <v>0</v>
      </c>
      <c r="Q143" s="3">
        <v>0</v>
      </c>
      <c r="R143" s="3">
        <v>0</v>
      </c>
      <c r="S143" s="3">
        <v>0</v>
      </c>
      <c r="T143" s="3">
        <v>0</v>
      </c>
      <c r="U143" s="3">
        <v>0</v>
      </c>
      <c r="V143" s="3">
        <v>0</v>
      </c>
      <c r="W143" s="3">
        <v>0</v>
      </c>
      <c r="X143" s="3">
        <v>0</v>
      </c>
      <c r="Y143" s="3">
        <v>0</v>
      </c>
      <c r="Z143" s="3">
        <v>10</v>
      </c>
      <c r="AA143" s="3">
        <v>0</v>
      </c>
      <c r="AB143" s="3">
        <v>0</v>
      </c>
      <c r="AC143" s="3">
        <v>0</v>
      </c>
      <c r="AD143" s="3">
        <v>0</v>
      </c>
      <c r="AE143" s="3">
        <v>0</v>
      </c>
      <c r="AF143" s="3">
        <v>0</v>
      </c>
      <c r="AG143" s="3">
        <v>0</v>
      </c>
      <c r="AH143" s="3">
        <v>0</v>
      </c>
      <c r="AI143" s="3">
        <v>0</v>
      </c>
      <c r="AJ143" s="3">
        <v>0</v>
      </c>
      <c r="AK143" s="3">
        <v>0</v>
      </c>
      <c r="AL143" s="3" t="s">
        <v>17</v>
      </c>
      <c r="AM143" s="3" t="s">
        <v>1160</v>
      </c>
      <c r="AN143" s="3" t="s">
        <v>1977</v>
      </c>
      <c r="AO143" s="3" t="s">
        <v>1847</v>
      </c>
      <c r="AP143" s="3">
        <v>0</v>
      </c>
      <c r="AQ143" s="3">
        <v>0</v>
      </c>
      <c r="AR143">
        <v>0</v>
      </c>
      <c r="AS143">
        <v>1</v>
      </c>
      <c r="AT143" s="6" t="s">
        <v>873</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2"/>
        <v>142</v>
      </c>
      <c r="B144" s="3" t="s">
        <v>827</v>
      </c>
      <c r="C144" s="3" t="s">
        <v>822</v>
      </c>
      <c r="D144" s="5" t="s">
        <v>823</v>
      </c>
      <c r="E144" s="5" t="s">
        <v>824</v>
      </c>
      <c r="F144" s="3">
        <v>0</v>
      </c>
      <c r="G144" s="3">
        <v>0</v>
      </c>
      <c r="H144" s="3">
        <v>0</v>
      </c>
      <c r="I144" s="3">
        <v>50</v>
      </c>
      <c r="J144" s="3">
        <v>3</v>
      </c>
      <c r="K144" s="3">
        <v>0.95</v>
      </c>
      <c r="L144" s="3">
        <v>0</v>
      </c>
      <c r="M144" s="3">
        <v>0</v>
      </c>
      <c r="N144" s="3">
        <v>3</v>
      </c>
      <c r="O144" s="3">
        <v>0</v>
      </c>
      <c r="P144" s="3">
        <v>0</v>
      </c>
      <c r="Q144" s="3">
        <v>0</v>
      </c>
      <c r="R144" s="3">
        <v>0</v>
      </c>
      <c r="S144" s="3">
        <v>0</v>
      </c>
      <c r="T144" s="3">
        <v>0</v>
      </c>
      <c r="U144" s="3">
        <v>0</v>
      </c>
      <c r="V144" s="3">
        <v>0</v>
      </c>
      <c r="W144" s="3">
        <v>0</v>
      </c>
      <c r="X144" s="3">
        <v>0</v>
      </c>
      <c r="Y144" s="3">
        <v>0</v>
      </c>
      <c r="Z144" s="3">
        <v>10</v>
      </c>
      <c r="AA144" s="3">
        <v>0</v>
      </c>
      <c r="AB144" s="3">
        <v>0</v>
      </c>
      <c r="AC144" s="3">
        <v>3</v>
      </c>
      <c r="AD144" s="3">
        <v>0</v>
      </c>
      <c r="AE144" s="3">
        <v>0</v>
      </c>
      <c r="AF144" s="3">
        <v>0</v>
      </c>
      <c r="AG144" s="3">
        <v>5</v>
      </c>
      <c r="AH144" s="3">
        <v>0</v>
      </c>
      <c r="AI144" s="3">
        <v>0</v>
      </c>
      <c r="AJ144" s="3">
        <v>0</v>
      </c>
      <c r="AK144" s="3">
        <v>0</v>
      </c>
      <c r="AL144" s="3" t="s">
        <v>17</v>
      </c>
      <c r="AM144" s="3" t="s">
        <v>1160</v>
      </c>
      <c r="AN144" s="3" t="s">
        <v>1978</v>
      </c>
      <c r="AO144" s="3" t="s">
        <v>1847</v>
      </c>
      <c r="AP144" s="3">
        <v>0</v>
      </c>
      <c r="AQ144" s="3">
        <v>0</v>
      </c>
      <c r="AR144">
        <v>0</v>
      </c>
      <c r="AS144">
        <v>2</v>
      </c>
      <c r="AT144" s="6" t="s">
        <v>835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2"/>
        <v>143</v>
      </c>
      <c r="B145" s="3" t="s">
        <v>941</v>
      </c>
      <c r="C145" s="3" t="s">
        <v>941</v>
      </c>
      <c r="D145" s="5" t="s">
        <v>940</v>
      </c>
      <c r="E145" s="5" t="s">
        <v>1320</v>
      </c>
      <c r="F145" s="3">
        <v>0</v>
      </c>
      <c r="G145" s="3">
        <v>0</v>
      </c>
      <c r="H145" s="3">
        <v>0</v>
      </c>
      <c r="I145" s="3">
        <v>50</v>
      </c>
      <c r="J145" s="3">
        <v>3</v>
      </c>
      <c r="K145" s="3">
        <v>0.95</v>
      </c>
      <c r="L145" s="3">
        <v>0</v>
      </c>
      <c r="M145" s="3">
        <v>0</v>
      </c>
      <c r="N145" s="3">
        <v>7</v>
      </c>
      <c r="O145" s="3">
        <v>0</v>
      </c>
      <c r="P145" s="3">
        <v>0</v>
      </c>
      <c r="Q145" s="3">
        <v>0</v>
      </c>
      <c r="R145" s="3">
        <v>0</v>
      </c>
      <c r="S145" s="3">
        <v>0</v>
      </c>
      <c r="T145" s="3">
        <v>0</v>
      </c>
      <c r="U145" s="3">
        <v>0</v>
      </c>
      <c r="V145" s="3">
        <v>0</v>
      </c>
      <c r="W145" s="3">
        <v>0</v>
      </c>
      <c r="X145" s="3">
        <v>0</v>
      </c>
      <c r="Y145" s="3">
        <v>0</v>
      </c>
      <c r="Z145" s="3">
        <v>16</v>
      </c>
      <c r="AA145" s="3">
        <v>0</v>
      </c>
      <c r="AB145" s="3">
        <v>0</v>
      </c>
      <c r="AC145" s="3">
        <v>3</v>
      </c>
      <c r="AD145" s="3">
        <v>0</v>
      </c>
      <c r="AE145" s="3">
        <v>0</v>
      </c>
      <c r="AF145" s="3">
        <v>0</v>
      </c>
      <c r="AG145" s="3">
        <v>5</v>
      </c>
      <c r="AH145" s="3">
        <v>0</v>
      </c>
      <c r="AI145" s="3">
        <v>0</v>
      </c>
      <c r="AJ145" s="3">
        <v>0</v>
      </c>
      <c r="AK145" s="3">
        <v>0</v>
      </c>
      <c r="AL145" s="3" t="s">
        <v>17</v>
      </c>
      <c r="AM145" s="3" t="s">
        <v>1160</v>
      </c>
      <c r="AN145" s="3" t="s">
        <v>1979</v>
      </c>
      <c r="AO145" s="3" t="s">
        <v>1847</v>
      </c>
      <c r="AP145" s="3">
        <v>0</v>
      </c>
      <c r="AQ145" s="3">
        <v>0</v>
      </c>
      <c r="AR145">
        <v>0</v>
      </c>
      <c r="AS145">
        <v>5</v>
      </c>
      <c r="AT145" s="6" t="s">
        <v>992</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2"/>
        <v>144</v>
      </c>
      <c r="B146" s="3" t="s">
        <v>1044</v>
      </c>
      <c r="C146" s="3" t="s">
        <v>1044</v>
      </c>
      <c r="D146" s="5" t="s">
        <v>1043</v>
      </c>
      <c r="E146" s="5" t="s">
        <v>1318</v>
      </c>
      <c r="F146" s="3">
        <v>0</v>
      </c>
      <c r="G146" s="3">
        <v>0</v>
      </c>
      <c r="H146" s="3">
        <v>0</v>
      </c>
      <c r="I146" s="3">
        <v>50</v>
      </c>
      <c r="J146" s="3">
        <v>3</v>
      </c>
      <c r="K146" s="3">
        <v>0.95</v>
      </c>
      <c r="L146" s="3">
        <v>0</v>
      </c>
      <c r="M146" s="3">
        <v>3</v>
      </c>
      <c r="N146" s="3">
        <v>4</v>
      </c>
      <c r="O146" s="3">
        <v>0</v>
      </c>
      <c r="P146" s="3">
        <v>0</v>
      </c>
      <c r="Q146" s="3">
        <v>0</v>
      </c>
      <c r="R146" s="3">
        <v>0</v>
      </c>
      <c r="S146" s="3">
        <v>0</v>
      </c>
      <c r="T146" s="3">
        <v>0</v>
      </c>
      <c r="U146" s="3">
        <v>0</v>
      </c>
      <c r="V146" s="3">
        <v>0</v>
      </c>
      <c r="W146" s="3">
        <v>0</v>
      </c>
      <c r="X146" s="3">
        <v>0</v>
      </c>
      <c r="Y146" s="3">
        <v>0</v>
      </c>
      <c r="Z146" s="3">
        <v>13</v>
      </c>
      <c r="AA146" s="3">
        <v>0</v>
      </c>
      <c r="AB146" s="3">
        <v>0</v>
      </c>
      <c r="AC146" s="3">
        <v>3</v>
      </c>
      <c r="AD146" s="3">
        <v>0</v>
      </c>
      <c r="AE146" s="3">
        <v>0</v>
      </c>
      <c r="AF146" s="3">
        <v>0</v>
      </c>
      <c r="AG146" s="3">
        <v>5</v>
      </c>
      <c r="AH146" s="3">
        <v>0</v>
      </c>
      <c r="AI146" s="3">
        <v>0</v>
      </c>
      <c r="AJ146" s="3">
        <v>0</v>
      </c>
      <c r="AK146" s="3">
        <v>0</v>
      </c>
      <c r="AL146" s="3" t="s">
        <v>17</v>
      </c>
      <c r="AM146" s="3" t="s">
        <v>1160</v>
      </c>
      <c r="AN146" s="3" t="s">
        <v>1980</v>
      </c>
      <c r="AO146" s="3" t="s">
        <v>1847</v>
      </c>
      <c r="AP146" s="3">
        <v>0</v>
      </c>
      <c r="AQ146" s="3">
        <v>0</v>
      </c>
      <c r="AR146">
        <v>0</v>
      </c>
      <c r="AS146">
        <v>5</v>
      </c>
      <c r="AT146" s="6" t="s">
        <v>1141</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row>
    <row r="147" spans="1:73" ht="15.75" customHeight="1" x14ac:dyDescent="0.2">
      <c r="A147" s="3">
        <f t="shared" si="2"/>
        <v>145</v>
      </c>
      <c r="B147" s="3" t="s">
        <v>1046</v>
      </c>
      <c r="C147" s="3" t="s">
        <v>1046</v>
      </c>
      <c r="D147" s="5" t="s">
        <v>1045</v>
      </c>
      <c r="E147" s="5" t="s">
        <v>1319</v>
      </c>
      <c r="F147" s="3">
        <v>0</v>
      </c>
      <c r="G147" s="3">
        <v>0</v>
      </c>
      <c r="H147" s="3">
        <v>0</v>
      </c>
      <c r="I147" s="3">
        <v>50</v>
      </c>
      <c r="J147" s="3">
        <v>3</v>
      </c>
      <c r="K147" s="3">
        <v>0.95</v>
      </c>
      <c r="L147" s="3">
        <v>0</v>
      </c>
      <c r="M147" s="3">
        <v>3</v>
      </c>
      <c r="N147" s="3">
        <v>3</v>
      </c>
      <c r="O147" s="3">
        <v>0</v>
      </c>
      <c r="P147" s="3">
        <v>0</v>
      </c>
      <c r="Q147" s="3">
        <v>0</v>
      </c>
      <c r="R147" s="3">
        <v>0</v>
      </c>
      <c r="S147" s="3">
        <v>0</v>
      </c>
      <c r="T147" s="3">
        <v>0</v>
      </c>
      <c r="U147" s="3">
        <v>0</v>
      </c>
      <c r="V147" s="3">
        <v>0</v>
      </c>
      <c r="W147" s="3">
        <v>0</v>
      </c>
      <c r="X147" s="3">
        <v>0</v>
      </c>
      <c r="Y147" s="3">
        <v>0</v>
      </c>
      <c r="Z147" s="3">
        <v>18</v>
      </c>
      <c r="AA147" s="3">
        <v>0</v>
      </c>
      <c r="AB147" s="3">
        <v>0</v>
      </c>
      <c r="AC147" s="3">
        <v>3</v>
      </c>
      <c r="AD147" s="3">
        <v>0</v>
      </c>
      <c r="AE147" s="3">
        <v>0</v>
      </c>
      <c r="AF147" s="3">
        <v>0</v>
      </c>
      <c r="AG147" s="3">
        <v>5</v>
      </c>
      <c r="AH147" s="3">
        <v>0</v>
      </c>
      <c r="AI147" s="3">
        <v>0</v>
      </c>
      <c r="AJ147" s="3">
        <v>0</v>
      </c>
      <c r="AK147" s="3">
        <v>0</v>
      </c>
      <c r="AL147" s="3" t="s">
        <v>17</v>
      </c>
      <c r="AM147" s="3" t="s">
        <v>1160</v>
      </c>
      <c r="AN147" s="3" t="s">
        <v>1981</v>
      </c>
      <c r="AO147" s="3" t="s">
        <v>1847</v>
      </c>
      <c r="AP147" s="3">
        <v>0</v>
      </c>
      <c r="AQ147" s="3">
        <v>0</v>
      </c>
      <c r="AR147">
        <v>0</v>
      </c>
      <c r="AS147">
        <v>5</v>
      </c>
      <c r="AT147" s="6" t="s">
        <v>1142</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row>
    <row r="148" spans="1:73" ht="15.75" customHeight="1" x14ac:dyDescent="0.2">
      <c r="A148" s="3">
        <f t="shared" si="2"/>
        <v>146</v>
      </c>
      <c r="B148" s="3" t="s">
        <v>1260</v>
      </c>
      <c r="C148" s="3" t="s">
        <v>1260</v>
      </c>
      <c r="D148" s="5" t="s">
        <v>1259</v>
      </c>
      <c r="E148" s="5" t="s">
        <v>1261</v>
      </c>
      <c r="F148" s="3">
        <v>0</v>
      </c>
      <c r="G148" s="3">
        <v>0</v>
      </c>
      <c r="H148" s="3">
        <v>0</v>
      </c>
      <c r="I148" s="3">
        <v>50</v>
      </c>
      <c r="J148" s="3">
        <v>3</v>
      </c>
      <c r="K148" s="3">
        <v>0.95</v>
      </c>
      <c r="L148" s="3">
        <v>0</v>
      </c>
      <c r="M148" s="3">
        <v>5</v>
      </c>
      <c r="N148" s="3">
        <v>3</v>
      </c>
      <c r="O148" s="3">
        <v>0</v>
      </c>
      <c r="P148" s="3">
        <v>0</v>
      </c>
      <c r="Q148" s="3">
        <v>0</v>
      </c>
      <c r="R148" s="3">
        <v>0</v>
      </c>
      <c r="S148" s="3">
        <v>0</v>
      </c>
      <c r="T148" s="3">
        <v>0</v>
      </c>
      <c r="U148" s="3">
        <v>0</v>
      </c>
      <c r="V148" s="3">
        <v>0</v>
      </c>
      <c r="W148" s="3">
        <v>0</v>
      </c>
      <c r="X148" s="3">
        <v>0</v>
      </c>
      <c r="Y148" s="3">
        <v>0</v>
      </c>
      <c r="Z148" s="3">
        <v>20</v>
      </c>
      <c r="AA148" s="3">
        <v>0</v>
      </c>
      <c r="AB148" s="3">
        <v>0</v>
      </c>
      <c r="AC148" s="3">
        <v>5</v>
      </c>
      <c r="AD148" s="3">
        <v>0</v>
      </c>
      <c r="AE148" s="3">
        <v>0</v>
      </c>
      <c r="AF148" s="3">
        <v>0</v>
      </c>
      <c r="AG148" s="3">
        <v>5</v>
      </c>
      <c r="AH148" s="3">
        <v>0</v>
      </c>
      <c r="AI148" s="3">
        <v>0</v>
      </c>
      <c r="AJ148" s="3">
        <v>0</v>
      </c>
      <c r="AK148" s="3">
        <v>0</v>
      </c>
      <c r="AL148" s="3" t="s">
        <v>17</v>
      </c>
      <c r="AM148" s="3" t="s">
        <v>1160</v>
      </c>
      <c r="AN148" s="3" t="s">
        <v>1982</v>
      </c>
      <c r="AO148" s="3" t="s">
        <v>1847</v>
      </c>
      <c r="AP148" s="3">
        <v>0</v>
      </c>
      <c r="AQ148" s="3">
        <v>0</v>
      </c>
      <c r="AR148">
        <v>0</v>
      </c>
      <c r="AS148">
        <v>5</v>
      </c>
      <c r="AT148" s="6" t="s">
        <v>1262</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row>
    <row r="149" spans="1:73" ht="15.75" customHeight="1" x14ac:dyDescent="0.2">
      <c r="A149" s="3">
        <f t="shared" si="2"/>
        <v>147</v>
      </c>
      <c r="B149" s="3" t="s">
        <v>1047</v>
      </c>
      <c r="C149" s="3" t="s">
        <v>1047</v>
      </c>
      <c r="D149" s="5" t="s">
        <v>1176</v>
      </c>
      <c r="E149" s="5" t="s">
        <v>1317</v>
      </c>
      <c r="F149" s="3">
        <v>0</v>
      </c>
      <c r="G149" s="3">
        <v>0</v>
      </c>
      <c r="H149" s="3">
        <v>0</v>
      </c>
      <c r="I149" s="3">
        <v>50</v>
      </c>
      <c r="J149" s="3">
        <v>3</v>
      </c>
      <c r="K149" s="3">
        <v>0.95</v>
      </c>
      <c r="L149" s="3">
        <v>0</v>
      </c>
      <c r="M149" s="3">
        <v>5</v>
      </c>
      <c r="N149" s="3">
        <v>2</v>
      </c>
      <c r="O149" s="3">
        <v>0</v>
      </c>
      <c r="P149" s="3">
        <v>0</v>
      </c>
      <c r="Q149" s="3">
        <v>0</v>
      </c>
      <c r="R149" s="3">
        <v>0</v>
      </c>
      <c r="S149" s="3">
        <v>0</v>
      </c>
      <c r="T149" s="3">
        <v>0</v>
      </c>
      <c r="U149" s="3">
        <v>0</v>
      </c>
      <c r="V149" s="3">
        <v>0</v>
      </c>
      <c r="W149" s="3">
        <v>0</v>
      </c>
      <c r="X149" s="3">
        <v>0</v>
      </c>
      <c r="Y149" s="3">
        <v>0</v>
      </c>
      <c r="Z149" s="3">
        <v>10</v>
      </c>
      <c r="AA149" s="3">
        <v>0</v>
      </c>
      <c r="AB149" s="3">
        <v>0</v>
      </c>
      <c r="AC149" s="3">
        <v>5</v>
      </c>
      <c r="AD149" s="3">
        <v>0</v>
      </c>
      <c r="AE149" s="3">
        <v>0</v>
      </c>
      <c r="AF149" s="3">
        <v>0</v>
      </c>
      <c r="AG149" s="3">
        <v>5</v>
      </c>
      <c r="AH149" s="3">
        <v>0</v>
      </c>
      <c r="AI149" s="3">
        <v>0</v>
      </c>
      <c r="AJ149" s="3">
        <v>0</v>
      </c>
      <c r="AK149" s="3">
        <v>0</v>
      </c>
      <c r="AL149" s="3" t="s">
        <v>17</v>
      </c>
      <c r="AM149" s="3" t="s">
        <v>1160</v>
      </c>
      <c r="AN149" s="3" t="s">
        <v>1983</v>
      </c>
      <c r="AO149" s="3" t="s">
        <v>1847</v>
      </c>
      <c r="AP149" s="3">
        <v>0</v>
      </c>
      <c r="AQ149" s="3">
        <v>0</v>
      </c>
      <c r="AR149">
        <v>0</v>
      </c>
      <c r="AS149">
        <v>5</v>
      </c>
      <c r="AT149" s="6" t="s">
        <v>1143</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2</v>
      </c>
      <c r="BL149">
        <v>0</v>
      </c>
      <c r="BM149">
        <v>0</v>
      </c>
      <c r="BN149">
        <v>0</v>
      </c>
      <c r="BO149">
        <v>0</v>
      </c>
      <c r="BP149" s="6" t="s">
        <v>50</v>
      </c>
      <c r="BQ149">
        <v>0</v>
      </c>
      <c r="BR149" s="6" t="s">
        <v>50</v>
      </c>
      <c r="BS149">
        <v>0</v>
      </c>
      <c r="BT149" s="6" t="s">
        <v>50</v>
      </c>
      <c r="BU149">
        <v>0</v>
      </c>
    </row>
    <row r="150" spans="1:73" ht="15.75" customHeight="1" x14ac:dyDescent="0.2">
      <c r="A150" s="3">
        <f t="shared" si="2"/>
        <v>148</v>
      </c>
      <c r="B150" s="3" t="s">
        <v>2238</v>
      </c>
      <c r="C150" s="3" t="s">
        <v>2238</v>
      </c>
      <c r="D150" s="5" t="s">
        <v>2236</v>
      </c>
      <c r="E150" s="5" t="s">
        <v>2237</v>
      </c>
      <c r="F150" s="3">
        <v>0</v>
      </c>
      <c r="G150" s="3">
        <v>0</v>
      </c>
      <c r="H150" s="3">
        <v>0</v>
      </c>
      <c r="I150" s="3">
        <v>50</v>
      </c>
      <c r="J150" s="3">
        <v>3</v>
      </c>
      <c r="K150" s="3">
        <v>0.95</v>
      </c>
      <c r="L150" s="3">
        <v>0</v>
      </c>
      <c r="M150" s="3">
        <v>5</v>
      </c>
      <c r="N150" s="3">
        <v>2</v>
      </c>
      <c r="O150" s="3">
        <v>0</v>
      </c>
      <c r="P150" s="3">
        <v>0</v>
      </c>
      <c r="Q150" s="3">
        <v>0</v>
      </c>
      <c r="R150" s="3">
        <v>0</v>
      </c>
      <c r="S150" s="3">
        <v>0</v>
      </c>
      <c r="T150" s="3">
        <v>0</v>
      </c>
      <c r="U150" s="3">
        <v>0</v>
      </c>
      <c r="V150" s="3">
        <v>0</v>
      </c>
      <c r="W150" s="3">
        <v>0</v>
      </c>
      <c r="X150" s="3">
        <v>0</v>
      </c>
      <c r="Y150" s="3">
        <v>0</v>
      </c>
      <c r="Z150" s="3">
        <v>10</v>
      </c>
      <c r="AA150" s="3">
        <v>0</v>
      </c>
      <c r="AB150" s="3">
        <v>0</v>
      </c>
      <c r="AC150" s="3">
        <v>3</v>
      </c>
      <c r="AD150" s="3">
        <v>0</v>
      </c>
      <c r="AE150" s="3">
        <v>0</v>
      </c>
      <c r="AF150" s="3">
        <v>0</v>
      </c>
      <c r="AG150" s="3">
        <v>3</v>
      </c>
      <c r="AH150" s="3">
        <v>0</v>
      </c>
      <c r="AI150" s="3">
        <v>0</v>
      </c>
      <c r="AJ150" s="3">
        <v>0</v>
      </c>
      <c r="AK150" s="3">
        <v>0</v>
      </c>
      <c r="AL150" s="3" t="s">
        <v>17</v>
      </c>
      <c r="AM150" s="3" t="s">
        <v>1160</v>
      </c>
      <c r="AN150" s="3" t="s">
        <v>2515</v>
      </c>
      <c r="AO150" s="3" t="s">
        <v>50</v>
      </c>
      <c r="AP150" s="3">
        <v>0</v>
      </c>
      <c r="AQ150" s="3">
        <v>0</v>
      </c>
      <c r="AR150">
        <v>0</v>
      </c>
      <c r="AS150">
        <v>5</v>
      </c>
      <c r="AT150" s="6" t="s">
        <v>2532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2</v>
      </c>
      <c r="BL150">
        <v>0</v>
      </c>
      <c r="BM150">
        <v>0</v>
      </c>
      <c r="BN150">
        <v>0</v>
      </c>
      <c r="BO150">
        <v>0</v>
      </c>
      <c r="BP150" s="6" t="s">
        <v>50</v>
      </c>
      <c r="BQ150">
        <v>0</v>
      </c>
      <c r="BR150" s="6" t="s">
        <v>50</v>
      </c>
      <c r="BS150">
        <v>0</v>
      </c>
      <c r="BT150" s="6" t="s">
        <v>50</v>
      </c>
      <c r="BU150">
        <v>0</v>
      </c>
    </row>
    <row r="151" spans="1:73" ht="15.75" customHeight="1" x14ac:dyDescent="0.2">
      <c r="A151" s="3">
        <f t="shared" si="2"/>
        <v>149</v>
      </c>
      <c r="B151" s="3" t="s">
        <v>1868</v>
      </c>
      <c r="C151" s="3" t="s">
        <v>1868</v>
      </c>
      <c r="D151" s="5" t="s">
        <v>1867</v>
      </c>
      <c r="E151" s="5" t="s">
        <v>2230</v>
      </c>
      <c r="F151" s="3">
        <v>0</v>
      </c>
      <c r="G151" s="3">
        <v>0</v>
      </c>
      <c r="H151" s="3">
        <v>0</v>
      </c>
      <c r="I151" s="3">
        <v>50</v>
      </c>
      <c r="J151" s="3">
        <v>3</v>
      </c>
      <c r="K151" s="3">
        <v>0.95</v>
      </c>
      <c r="L151" s="3">
        <v>0</v>
      </c>
      <c r="M151" s="3">
        <v>5</v>
      </c>
      <c r="N151" s="3">
        <v>2</v>
      </c>
      <c r="O151" s="3">
        <v>0</v>
      </c>
      <c r="P151" s="3">
        <v>0</v>
      </c>
      <c r="Q151" s="3">
        <v>0</v>
      </c>
      <c r="R151" s="3">
        <v>0</v>
      </c>
      <c r="S151" s="3">
        <v>0</v>
      </c>
      <c r="T151" s="3">
        <v>0</v>
      </c>
      <c r="U151" s="3">
        <v>0</v>
      </c>
      <c r="V151" s="3">
        <v>0</v>
      </c>
      <c r="W151" s="3">
        <v>0</v>
      </c>
      <c r="X151" s="3">
        <v>0</v>
      </c>
      <c r="Y151" s="3">
        <v>0</v>
      </c>
      <c r="Z151" s="3">
        <v>10</v>
      </c>
      <c r="AA151" s="3">
        <v>0</v>
      </c>
      <c r="AB151" s="3">
        <v>0</v>
      </c>
      <c r="AC151" s="3">
        <v>3</v>
      </c>
      <c r="AD151" s="3">
        <v>0</v>
      </c>
      <c r="AE151" s="3">
        <v>0</v>
      </c>
      <c r="AF151" s="3">
        <v>0</v>
      </c>
      <c r="AG151" s="3">
        <v>3</v>
      </c>
      <c r="AH151" s="3">
        <v>0</v>
      </c>
      <c r="AI151" s="3">
        <v>0</v>
      </c>
      <c r="AJ151" s="3">
        <v>0</v>
      </c>
      <c r="AK151" s="3">
        <v>0</v>
      </c>
      <c r="AL151" s="3" t="s">
        <v>17</v>
      </c>
      <c r="AM151" s="3" t="s">
        <v>1160</v>
      </c>
      <c r="AN151" s="3" t="s">
        <v>1984</v>
      </c>
      <c r="AO151" s="3" t="s">
        <v>50</v>
      </c>
      <c r="AP151" s="3">
        <v>0</v>
      </c>
      <c r="AQ151" s="3">
        <v>0</v>
      </c>
      <c r="AR151">
        <v>0</v>
      </c>
      <c r="AS151">
        <v>5</v>
      </c>
      <c r="AT151" s="6" t="s">
        <v>2516</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3</v>
      </c>
      <c r="BL151">
        <v>0</v>
      </c>
      <c r="BM151">
        <v>0</v>
      </c>
      <c r="BN151">
        <v>0</v>
      </c>
      <c r="BO151">
        <v>0</v>
      </c>
      <c r="BP151" s="6" t="s">
        <v>50</v>
      </c>
      <c r="BQ151">
        <v>0</v>
      </c>
      <c r="BR151" s="6" t="s">
        <v>50</v>
      </c>
      <c r="BS151">
        <v>0</v>
      </c>
      <c r="BT151" s="6" t="s">
        <v>50</v>
      </c>
      <c r="BU151">
        <v>0</v>
      </c>
    </row>
    <row r="152" spans="1:73" ht="15.75" customHeight="1" x14ac:dyDescent="0.2">
      <c r="A152" s="3">
        <f t="shared" si="2"/>
        <v>150</v>
      </c>
      <c r="B152" s="3" t="s">
        <v>395</v>
      </c>
      <c r="C152" s="3" t="s">
        <v>346</v>
      </c>
      <c r="D152" s="5" t="s">
        <v>344</v>
      </c>
      <c r="E152" s="5" t="s">
        <v>345</v>
      </c>
      <c r="F152" s="3">
        <v>0</v>
      </c>
      <c r="G152" s="3">
        <v>0</v>
      </c>
      <c r="H152" s="3">
        <v>0</v>
      </c>
      <c r="I152" s="3">
        <v>50</v>
      </c>
      <c r="J152" s="3">
        <v>30</v>
      </c>
      <c r="K152" s="3">
        <v>0.95</v>
      </c>
      <c r="L152" s="3">
        <v>0</v>
      </c>
      <c r="M152" s="3">
        <v>25</v>
      </c>
      <c r="N152" s="3">
        <v>0</v>
      </c>
      <c r="O152" s="3">
        <v>0</v>
      </c>
      <c r="P152" s="3">
        <v>0</v>
      </c>
      <c r="Q152" s="3">
        <v>0</v>
      </c>
      <c r="R152" s="3">
        <v>15</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17</v>
      </c>
      <c r="AM152" s="3" t="s">
        <v>3505</v>
      </c>
      <c r="AN152" s="3" t="s">
        <v>1985</v>
      </c>
      <c r="AO152" s="3" t="s">
        <v>1847</v>
      </c>
      <c r="AP152" s="3">
        <v>0</v>
      </c>
      <c r="AQ152" s="3">
        <v>0</v>
      </c>
      <c r="AR152">
        <v>0</v>
      </c>
      <c r="AS152">
        <v>5</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2"/>
        <v>151</v>
      </c>
      <c r="B153" s="3" t="s">
        <v>308</v>
      </c>
      <c r="C153" s="3" t="s">
        <v>308</v>
      </c>
      <c r="D153" s="25" t="s">
        <v>307</v>
      </c>
      <c r="E153" s="4" t="s">
        <v>598</v>
      </c>
      <c r="F153" s="3">
        <v>0</v>
      </c>
      <c r="G153" s="3">
        <v>0</v>
      </c>
      <c r="H153" s="3">
        <v>0</v>
      </c>
      <c r="I153" s="3">
        <v>50</v>
      </c>
      <c r="J153" s="3">
        <v>10</v>
      </c>
      <c r="K153" s="3">
        <v>1</v>
      </c>
      <c r="L153" s="3">
        <v>0</v>
      </c>
      <c r="M153" s="3">
        <v>20</v>
      </c>
      <c r="N153" s="3">
        <v>0</v>
      </c>
      <c r="O153" s="3">
        <v>0</v>
      </c>
      <c r="P153" s="3">
        <v>0</v>
      </c>
      <c r="Q153" s="3">
        <v>0</v>
      </c>
      <c r="R153" s="3">
        <v>0</v>
      </c>
      <c r="S153" s="3">
        <v>0</v>
      </c>
      <c r="T153" s="3">
        <v>0</v>
      </c>
      <c r="U153" s="3">
        <v>0</v>
      </c>
      <c r="V153" s="3">
        <v>0</v>
      </c>
      <c r="W153" s="3">
        <v>5</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3504</v>
      </c>
      <c r="AN153" s="3" t="s">
        <v>1986</v>
      </c>
      <c r="AO153" s="3" t="s">
        <v>1847</v>
      </c>
      <c r="AP153" s="3">
        <v>0</v>
      </c>
      <c r="AQ153" s="3">
        <v>0</v>
      </c>
      <c r="AR153">
        <v>0</v>
      </c>
      <c r="AS153">
        <v>1</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2"/>
        <v>152</v>
      </c>
      <c r="B154" s="3" t="s">
        <v>604</v>
      </c>
      <c r="C154" s="3" t="s">
        <v>601</v>
      </c>
      <c r="D154" s="25" t="s">
        <v>641</v>
      </c>
      <c r="E154" s="4" t="s">
        <v>599</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653</v>
      </c>
      <c r="AN154" s="3" t="s">
        <v>1987</v>
      </c>
      <c r="AO154" s="3" t="s">
        <v>1847</v>
      </c>
      <c r="AP154" s="3">
        <v>0</v>
      </c>
      <c r="AQ154" s="3">
        <v>0</v>
      </c>
      <c r="AR154">
        <v>0</v>
      </c>
      <c r="AS154">
        <v>1</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2"/>
        <v>153</v>
      </c>
      <c r="B155" s="3" t="s">
        <v>604</v>
      </c>
      <c r="C155" s="3" t="s">
        <v>970</v>
      </c>
      <c r="D155" s="25" t="s">
        <v>968</v>
      </c>
      <c r="E155" s="4" t="s">
        <v>969</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653</v>
      </c>
      <c r="AN155" s="3" t="s">
        <v>1987</v>
      </c>
      <c r="AO155" s="3" t="s">
        <v>1847</v>
      </c>
      <c r="AP155" s="3">
        <v>0</v>
      </c>
      <c r="AQ155" s="3">
        <v>0</v>
      </c>
      <c r="AR155">
        <v>0</v>
      </c>
      <c r="AS155">
        <v>1</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s="9" customFormat="1" ht="15.75" customHeight="1" x14ac:dyDescent="0.2">
      <c r="A156" s="7">
        <f t="shared" si="2"/>
        <v>154</v>
      </c>
      <c r="B156" s="7" t="s">
        <v>604</v>
      </c>
      <c r="C156" s="7" t="s">
        <v>688</v>
      </c>
      <c r="D156" s="26" t="s">
        <v>686</v>
      </c>
      <c r="E156" s="11" t="s">
        <v>687</v>
      </c>
      <c r="F156" s="7">
        <v>0</v>
      </c>
      <c r="G156" s="7">
        <v>300</v>
      </c>
      <c r="H156" s="7">
        <v>0</v>
      </c>
      <c r="I156" s="7">
        <v>50</v>
      </c>
      <c r="J156" s="7">
        <v>0</v>
      </c>
      <c r="K156" s="7">
        <v>1</v>
      </c>
      <c r="L156" s="7">
        <v>0</v>
      </c>
      <c r="M156" s="7">
        <v>20</v>
      </c>
      <c r="N156" s="7">
        <v>0</v>
      </c>
      <c r="O156" s="7">
        <v>0</v>
      </c>
      <c r="P156" s="7">
        <v>0</v>
      </c>
      <c r="Q156" s="7">
        <v>0</v>
      </c>
      <c r="R156" s="7">
        <v>0</v>
      </c>
      <c r="S156" s="7">
        <v>0</v>
      </c>
      <c r="T156" s="7">
        <v>0</v>
      </c>
      <c r="U156" s="7">
        <v>0</v>
      </c>
      <c r="V156" s="7">
        <v>0</v>
      </c>
      <c r="W156" s="7">
        <v>0</v>
      </c>
      <c r="X156" s="7">
        <v>0</v>
      </c>
      <c r="Y156" s="7">
        <v>0</v>
      </c>
      <c r="Z156" s="7">
        <v>0</v>
      </c>
      <c r="AA156" s="7">
        <v>0</v>
      </c>
      <c r="AB156" s="7">
        <v>0</v>
      </c>
      <c r="AC156" s="7">
        <v>0</v>
      </c>
      <c r="AD156" s="7">
        <v>0</v>
      </c>
      <c r="AE156" s="7">
        <v>0</v>
      </c>
      <c r="AF156" s="7">
        <v>0</v>
      </c>
      <c r="AG156" s="7">
        <v>0</v>
      </c>
      <c r="AH156" s="7">
        <v>0</v>
      </c>
      <c r="AI156" s="7">
        <v>0</v>
      </c>
      <c r="AJ156" s="7">
        <v>0</v>
      </c>
      <c r="AK156" s="7">
        <v>0</v>
      </c>
      <c r="AL156" s="7" t="s">
        <v>51</v>
      </c>
      <c r="AM156" s="7" t="s">
        <v>653</v>
      </c>
      <c r="AN156" s="7" t="s">
        <v>1987</v>
      </c>
      <c r="AO156" s="7" t="s">
        <v>1847</v>
      </c>
      <c r="AP156" s="7">
        <v>0</v>
      </c>
      <c r="AQ156" s="7">
        <v>0</v>
      </c>
      <c r="AR156" s="9">
        <v>0</v>
      </c>
      <c r="AS156" s="9">
        <v>0</v>
      </c>
      <c r="AT156" s="10" t="s">
        <v>50</v>
      </c>
      <c r="AU156" s="10" t="s">
        <v>50</v>
      </c>
      <c r="AV156" s="10" t="s">
        <v>50</v>
      </c>
      <c r="AW156" s="10" t="s">
        <v>50</v>
      </c>
      <c r="AX156" s="10" t="s">
        <v>50</v>
      </c>
      <c r="AY156" s="10" t="s">
        <v>50</v>
      </c>
      <c r="AZ156" s="10" t="s">
        <v>50</v>
      </c>
      <c r="BA156" s="10" t="s">
        <v>50</v>
      </c>
      <c r="BB156" s="10" t="s">
        <v>50</v>
      </c>
      <c r="BC156" s="10" t="s">
        <v>50</v>
      </c>
      <c r="BD156" s="10" t="s">
        <v>50</v>
      </c>
      <c r="BE156" s="10" t="s">
        <v>50</v>
      </c>
      <c r="BF156" s="10" t="s">
        <v>50</v>
      </c>
      <c r="BG156" s="10" t="s">
        <v>50</v>
      </c>
      <c r="BH156" s="10" t="s">
        <v>50</v>
      </c>
      <c r="BI156" s="9">
        <v>0</v>
      </c>
      <c r="BJ156" s="9">
        <v>0</v>
      </c>
      <c r="BK156" s="9">
        <v>1</v>
      </c>
      <c r="BL156" s="9">
        <v>0</v>
      </c>
      <c r="BM156" s="9">
        <v>0</v>
      </c>
      <c r="BN156" s="9">
        <v>0</v>
      </c>
      <c r="BO156" s="9">
        <v>0</v>
      </c>
      <c r="BP156" s="10" t="s">
        <v>50</v>
      </c>
      <c r="BQ156" s="9">
        <v>0</v>
      </c>
      <c r="BR156" s="10" t="s">
        <v>50</v>
      </c>
      <c r="BS156" s="9">
        <v>0</v>
      </c>
      <c r="BT156" s="10" t="s">
        <v>50</v>
      </c>
      <c r="BU156" s="9">
        <v>0</v>
      </c>
    </row>
    <row r="157" spans="1:73" s="9" customFormat="1" ht="15.75" customHeight="1" x14ac:dyDescent="0.2">
      <c r="A157" s="7">
        <f t="shared" si="2"/>
        <v>155</v>
      </c>
      <c r="B157" s="7" t="s">
        <v>604</v>
      </c>
      <c r="C157" s="7" t="s">
        <v>690</v>
      </c>
      <c r="D157" s="26" t="s">
        <v>689</v>
      </c>
      <c r="E157" s="11" t="s">
        <v>691</v>
      </c>
      <c r="F157" s="7">
        <v>0</v>
      </c>
      <c r="G157" s="7">
        <v>300</v>
      </c>
      <c r="H157" s="7">
        <v>0</v>
      </c>
      <c r="I157" s="7">
        <v>50</v>
      </c>
      <c r="J157" s="7">
        <v>0</v>
      </c>
      <c r="K157" s="7">
        <v>1</v>
      </c>
      <c r="L157" s="7">
        <v>0</v>
      </c>
      <c r="M157" s="7">
        <v>20</v>
      </c>
      <c r="N157" s="7">
        <v>0</v>
      </c>
      <c r="O157" s="7">
        <v>0</v>
      </c>
      <c r="P157" s="7">
        <v>0</v>
      </c>
      <c r="Q157" s="7">
        <v>0</v>
      </c>
      <c r="R157" s="7">
        <v>0</v>
      </c>
      <c r="S157" s="7">
        <v>0</v>
      </c>
      <c r="T157" s="7">
        <v>0</v>
      </c>
      <c r="U157" s="7">
        <v>0</v>
      </c>
      <c r="V157" s="7">
        <v>0</v>
      </c>
      <c r="W157" s="7">
        <v>0</v>
      </c>
      <c r="X157" s="7">
        <v>0</v>
      </c>
      <c r="Y157" s="7">
        <v>0</v>
      </c>
      <c r="Z157" s="7">
        <v>0</v>
      </c>
      <c r="AA157" s="7">
        <v>0</v>
      </c>
      <c r="AB157" s="7">
        <v>0</v>
      </c>
      <c r="AC157" s="7">
        <v>0</v>
      </c>
      <c r="AD157" s="7">
        <v>0</v>
      </c>
      <c r="AE157" s="7">
        <v>0</v>
      </c>
      <c r="AF157" s="7">
        <v>0</v>
      </c>
      <c r="AG157" s="7">
        <v>0</v>
      </c>
      <c r="AH157" s="7">
        <v>0</v>
      </c>
      <c r="AI157" s="7">
        <v>0</v>
      </c>
      <c r="AJ157" s="7">
        <v>0</v>
      </c>
      <c r="AK157" s="7">
        <v>0</v>
      </c>
      <c r="AL157" s="7" t="s">
        <v>51</v>
      </c>
      <c r="AM157" s="7" t="s">
        <v>653</v>
      </c>
      <c r="AN157" s="7" t="s">
        <v>1987</v>
      </c>
      <c r="AO157" s="7" t="s">
        <v>1847</v>
      </c>
      <c r="AP157" s="7">
        <v>0</v>
      </c>
      <c r="AQ157" s="7">
        <v>0</v>
      </c>
      <c r="AR157" s="9">
        <v>0</v>
      </c>
      <c r="AS157" s="9">
        <v>0</v>
      </c>
      <c r="AT157" s="10" t="s">
        <v>50</v>
      </c>
      <c r="AU157" s="10" t="s">
        <v>50</v>
      </c>
      <c r="AV157" s="10" t="s">
        <v>50</v>
      </c>
      <c r="AW157" s="10" t="s">
        <v>50</v>
      </c>
      <c r="AX157" s="10" t="s">
        <v>50</v>
      </c>
      <c r="AY157" s="10" t="s">
        <v>50</v>
      </c>
      <c r="AZ157" s="10" t="s">
        <v>50</v>
      </c>
      <c r="BA157" s="10" t="s">
        <v>50</v>
      </c>
      <c r="BB157" s="10" t="s">
        <v>50</v>
      </c>
      <c r="BC157" s="10" t="s">
        <v>50</v>
      </c>
      <c r="BD157" s="10" t="s">
        <v>50</v>
      </c>
      <c r="BE157" s="10" t="s">
        <v>50</v>
      </c>
      <c r="BF157" s="10" t="s">
        <v>50</v>
      </c>
      <c r="BG157" s="10" t="s">
        <v>50</v>
      </c>
      <c r="BH157" s="10" t="s">
        <v>50</v>
      </c>
      <c r="BI157" s="9">
        <v>0</v>
      </c>
      <c r="BJ157" s="9">
        <v>0</v>
      </c>
      <c r="BK157" s="9">
        <v>1</v>
      </c>
      <c r="BL157" s="9">
        <v>0</v>
      </c>
      <c r="BM157" s="9">
        <v>0</v>
      </c>
      <c r="BN157" s="9">
        <v>0</v>
      </c>
      <c r="BO157" s="9">
        <v>0</v>
      </c>
      <c r="BP157" s="10" t="s">
        <v>50</v>
      </c>
      <c r="BQ157" s="9">
        <v>0</v>
      </c>
      <c r="BR157" s="10" t="s">
        <v>50</v>
      </c>
      <c r="BS157" s="9">
        <v>0</v>
      </c>
      <c r="BT157" s="10" t="s">
        <v>50</v>
      </c>
      <c r="BU157" s="9">
        <v>0</v>
      </c>
    </row>
    <row r="158" spans="1:73" ht="15.75" customHeight="1" x14ac:dyDescent="0.2">
      <c r="A158" s="3">
        <f t="shared" si="2"/>
        <v>156</v>
      </c>
      <c r="B158" s="3" t="s">
        <v>692</v>
      </c>
      <c r="C158" s="3" t="s">
        <v>692</v>
      </c>
      <c r="D158" s="25" t="s">
        <v>693</v>
      </c>
      <c r="E158" s="4" t="s">
        <v>694</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653</v>
      </c>
      <c r="AN158" s="3" t="s">
        <v>1987</v>
      </c>
      <c r="AO158" s="3" t="s">
        <v>1847</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2"/>
        <v>157</v>
      </c>
      <c r="B159" s="3" t="s">
        <v>650</v>
      </c>
      <c r="C159" s="3" t="s">
        <v>650</v>
      </c>
      <c r="D159" s="25" t="s">
        <v>651</v>
      </c>
      <c r="E159" s="4" t="s">
        <v>652</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1987</v>
      </c>
      <c r="AO159" s="3" t="s">
        <v>1847</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2"/>
        <v>158</v>
      </c>
      <c r="B160" s="3" t="s">
        <v>1204</v>
      </c>
      <c r="C160" s="3" t="s">
        <v>1204</v>
      </c>
      <c r="D160" s="25" t="s">
        <v>1203</v>
      </c>
      <c r="E160" s="4" t="s">
        <v>1220</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1987</v>
      </c>
      <c r="AO160" s="3" t="s">
        <v>1847</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ht="15.75" customHeight="1" x14ac:dyDescent="0.2">
      <c r="A161" s="3">
        <f t="shared" si="2"/>
        <v>159</v>
      </c>
      <c r="B161" s="3" t="s">
        <v>1190</v>
      </c>
      <c r="C161" s="3" t="s">
        <v>1190</v>
      </c>
      <c r="D161" s="25" t="s">
        <v>1189</v>
      </c>
      <c r="E161" s="4" t="s">
        <v>1188</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653</v>
      </c>
      <c r="AN161" s="3" t="s">
        <v>1987</v>
      </c>
      <c r="AO161" s="3" t="s">
        <v>1847</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row>
    <row r="162" spans="1:73" ht="15.75" customHeight="1" x14ac:dyDescent="0.2">
      <c r="A162" s="3">
        <f t="shared" si="2"/>
        <v>160</v>
      </c>
      <c r="B162" s="3" t="s">
        <v>1190</v>
      </c>
      <c r="C162" s="3" t="s">
        <v>1193</v>
      </c>
      <c r="D162" s="25" t="s">
        <v>1191</v>
      </c>
      <c r="E162" s="4" t="s">
        <v>1192</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653</v>
      </c>
      <c r="AN162" s="3" t="s">
        <v>1987</v>
      </c>
      <c r="AO162" s="3" t="s">
        <v>1847</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2"/>
        <v>161</v>
      </c>
      <c r="B163" s="3" t="s">
        <v>1199</v>
      </c>
      <c r="C163" s="3" t="s">
        <v>1199</v>
      </c>
      <c r="D163" s="25" t="s">
        <v>1197</v>
      </c>
      <c r="E163" s="4" t="s">
        <v>1198</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1987</v>
      </c>
      <c r="AO163" s="3" t="s">
        <v>1847</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3</v>
      </c>
      <c r="BL163">
        <v>0</v>
      </c>
      <c r="BM163">
        <v>0</v>
      </c>
      <c r="BN163">
        <v>0</v>
      </c>
      <c r="BO163">
        <v>0</v>
      </c>
      <c r="BP163" s="6" t="s">
        <v>50</v>
      </c>
      <c r="BQ163">
        <v>0</v>
      </c>
      <c r="BR163" s="6" t="s">
        <v>50</v>
      </c>
      <c r="BS163">
        <v>0</v>
      </c>
      <c r="BT163" s="6" t="s">
        <v>50</v>
      </c>
      <c r="BU163">
        <v>0</v>
      </c>
    </row>
    <row r="164" spans="1:73" ht="15.75" customHeight="1" x14ac:dyDescent="0.2">
      <c r="A164" s="3">
        <f t="shared" si="2"/>
        <v>162</v>
      </c>
      <c r="B164" s="3" t="s">
        <v>695</v>
      </c>
      <c r="C164" s="3" t="s">
        <v>695</v>
      </c>
      <c r="D164" s="25" t="s">
        <v>696</v>
      </c>
      <c r="E164" s="4" t="s">
        <v>697</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1987</v>
      </c>
      <c r="AO164" s="3" t="s">
        <v>1847</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row>
    <row r="165" spans="1:73" ht="15.75" customHeight="1" x14ac:dyDescent="0.2">
      <c r="A165" s="3">
        <f t="shared" si="2"/>
        <v>163</v>
      </c>
      <c r="B165" s="3" t="s">
        <v>1190</v>
      </c>
      <c r="C165" s="3" t="s">
        <v>1375</v>
      </c>
      <c r="D165" s="25" t="s">
        <v>1376</v>
      </c>
      <c r="E165" s="4" t="s">
        <v>1377</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1987</v>
      </c>
      <c r="AO165" s="3" t="s">
        <v>1847</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row>
    <row r="166" spans="1:73" ht="15.75" customHeight="1" x14ac:dyDescent="0.2">
      <c r="A166" s="3">
        <f t="shared" si="2"/>
        <v>164</v>
      </c>
      <c r="B166" s="3" t="s">
        <v>1394</v>
      </c>
      <c r="C166" s="3" t="s">
        <v>1394</v>
      </c>
      <c r="D166" s="25" t="s">
        <v>1393</v>
      </c>
      <c r="E166" s="4" t="s">
        <v>1395</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1987</v>
      </c>
      <c r="AO166" s="3" t="s">
        <v>1847</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row>
    <row r="167" spans="1:73" ht="15.75" customHeight="1" x14ac:dyDescent="0.2">
      <c r="A167" s="3">
        <f t="shared" si="2"/>
        <v>165</v>
      </c>
      <c r="B167" s="3" t="s">
        <v>1863</v>
      </c>
      <c r="C167" s="3" t="s">
        <v>1863</v>
      </c>
      <c r="D167" s="25" t="s">
        <v>1862</v>
      </c>
      <c r="E167" s="4" t="s">
        <v>1902</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1987</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2</v>
      </c>
      <c r="BL167">
        <v>0</v>
      </c>
      <c r="BM167">
        <v>0</v>
      </c>
      <c r="BN167">
        <v>0</v>
      </c>
      <c r="BO167">
        <v>0</v>
      </c>
      <c r="BP167" s="6" t="s">
        <v>50</v>
      </c>
      <c r="BQ167">
        <v>0</v>
      </c>
      <c r="BR167" s="6" t="s">
        <v>50</v>
      </c>
      <c r="BS167">
        <v>0</v>
      </c>
      <c r="BT167" s="6" t="s">
        <v>50</v>
      </c>
      <c r="BU167">
        <v>0</v>
      </c>
    </row>
    <row r="168" spans="1:73" ht="15.75" customHeight="1" x14ac:dyDescent="0.2">
      <c r="A168" s="3">
        <f t="shared" si="2"/>
        <v>166</v>
      </c>
      <c r="B168" s="3" t="s">
        <v>695</v>
      </c>
      <c r="C168" s="3" t="s">
        <v>1628</v>
      </c>
      <c r="D168" s="25" t="s">
        <v>1627</v>
      </c>
      <c r="E168" s="4" t="s">
        <v>1629</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1987</v>
      </c>
      <c r="AO168" s="3" t="s">
        <v>1847</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1</v>
      </c>
      <c r="BP168" s="6" t="s">
        <v>50</v>
      </c>
      <c r="BQ168">
        <v>0</v>
      </c>
      <c r="BR168" s="6" t="s">
        <v>50</v>
      </c>
      <c r="BS168">
        <v>0</v>
      </c>
      <c r="BT168" s="6" t="s">
        <v>50</v>
      </c>
      <c r="BU168">
        <v>0</v>
      </c>
    </row>
    <row r="169" spans="1:73" ht="15.75" customHeight="1" x14ac:dyDescent="0.2">
      <c r="A169" s="3">
        <f t="shared" si="2"/>
        <v>167</v>
      </c>
      <c r="B169" s="3" t="s">
        <v>3208</v>
      </c>
      <c r="C169" s="3" t="s">
        <v>3208</v>
      </c>
      <c r="D169" s="25" t="s">
        <v>3206</v>
      </c>
      <c r="E169" s="4" t="s">
        <v>3207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1987</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row>
    <row r="170" spans="1:73" ht="15.75" customHeight="1" x14ac:dyDescent="0.2">
      <c r="A170" s="3">
        <f t="shared" si="2"/>
        <v>168</v>
      </c>
      <c r="B170" s="3" t="s">
        <v>3240</v>
      </c>
      <c r="C170" s="3" t="s">
        <v>3240</v>
      </c>
      <c r="D170" s="25" t="s">
        <v>3239</v>
      </c>
      <c r="E170" s="4" t="s">
        <v>3241</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1987</v>
      </c>
      <c r="AO170" s="3" t="s">
        <v>50</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row>
    <row r="171" spans="1:73" ht="15.75" customHeight="1" x14ac:dyDescent="0.2">
      <c r="A171" s="3">
        <f t="shared" si="2"/>
        <v>169</v>
      </c>
      <c r="B171" s="3" t="s">
        <v>3244</v>
      </c>
      <c r="C171" s="3" t="s">
        <v>3244</v>
      </c>
      <c r="D171" s="25" t="s">
        <v>3243</v>
      </c>
      <c r="E171" s="4" t="s">
        <v>3242</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1987</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row>
    <row r="172" spans="1:73" ht="15.75" customHeight="1" x14ac:dyDescent="0.2">
      <c r="A172" s="3">
        <f t="shared" si="2"/>
        <v>170</v>
      </c>
      <c r="B172" s="3" t="s">
        <v>3246</v>
      </c>
      <c r="C172" s="3" t="s">
        <v>3246</v>
      </c>
      <c r="D172" s="25" t="s">
        <v>3346</v>
      </c>
      <c r="E172" s="4" t="s">
        <v>3245</v>
      </c>
      <c r="F172" s="3">
        <v>0</v>
      </c>
      <c r="G172" s="3">
        <v>0</v>
      </c>
      <c r="H172" s="3">
        <v>0</v>
      </c>
      <c r="I172" s="3">
        <v>0</v>
      </c>
      <c r="J172" s="3">
        <v>0</v>
      </c>
      <c r="K172" s="3">
        <v>1</v>
      </c>
      <c r="L172" s="3">
        <v>0</v>
      </c>
      <c r="M172" s="3">
        <v>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2943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c r="BP172" s="6" t="s">
        <v>50</v>
      </c>
      <c r="BQ172">
        <v>0</v>
      </c>
      <c r="BR172" s="6" t="s">
        <v>50</v>
      </c>
      <c r="BS172">
        <v>0</v>
      </c>
      <c r="BT172" s="6" t="s">
        <v>50</v>
      </c>
      <c r="BU172">
        <v>0</v>
      </c>
    </row>
    <row r="173" spans="1:73" s="9" customFormat="1" ht="15.75" customHeight="1" x14ac:dyDescent="0.2">
      <c r="A173" s="7">
        <f t="shared" si="2"/>
        <v>171</v>
      </c>
      <c r="B173" s="7" t="s">
        <v>604</v>
      </c>
      <c r="C173" s="7" t="s">
        <v>2228</v>
      </c>
      <c r="D173" s="26" t="s">
        <v>2229</v>
      </c>
      <c r="E173" s="11" t="s">
        <v>2375</v>
      </c>
      <c r="F173" s="7">
        <v>0</v>
      </c>
      <c r="G173" s="7">
        <v>300</v>
      </c>
      <c r="H173" s="7">
        <v>0</v>
      </c>
      <c r="I173" s="7">
        <v>50</v>
      </c>
      <c r="J173" s="7">
        <v>0</v>
      </c>
      <c r="K173" s="7">
        <v>1</v>
      </c>
      <c r="L173" s="7">
        <v>0</v>
      </c>
      <c r="M173" s="7">
        <v>20</v>
      </c>
      <c r="N173" s="7">
        <v>0</v>
      </c>
      <c r="O173" s="7">
        <v>0</v>
      </c>
      <c r="P173" s="7">
        <v>0</v>
      </c>
      <c r="Q173" s="7">
        <v>0</v>
      </c>
      <c r="R173" s="7">
        <v>0</v>
      </c>
      <c r="S173" s="7">
        <v>0</v>
      </c>
      <c r="T173" s="7">
        <v>0</v>
      </c>
      <c r="U173" s="7">
        <v>0</v>
      </c>
      <c r="V173" s="7">
        <v>0</v>
      </c>
      <c r="W173" s="7">
        <v>0</v>
      </c>
      <c r="X173" s="7">
        <v>0</v>
      </c>
      <c r="Y173" s="7">
        <v>0</v>
      </c>
      <c r="Z173" s="7">
        <v>0</v>
      </c>
      <c r="AA173" s="7">
        <v>0</v>
      </c>
      <c r="AB173" s="7">
        <v>0</v>
      </c>
      <c r="AC173" s="7">
        <v>0</v>
      </c>
      <c r="AD173" s="7">
        <v>0</v>
      </c>
      <c r="AE173" s="7">
        <v>0</v>
      </c>
      <c r="AF173" s="7">
        <v>0</v>
      </c>
      <c r="AG173" s="7">
        <v>0</v>
      </c>
      <c r="AH173" s="7">
        <v>0</v>
      </c>
      <c r="AI173" s="7">
        <v>0</v>
      </c>
      <c r="AJ173" s="7">
        <v>0</v>
      </c>
      <c r="AK173" s="7">
        <v>0</v>
      </c>
      <c r="AL173" s="7" t="s">
        <v>51</v>
      </c>
      <c r="AM173" s="7" t="s">
        <v>653</v>
      </c>
      <c r="AN173" s="7" t="s">
        <v>1987</v>
      </c>
      <c r="AO173" s="7" t="s">
        <v>50</v>
      </c>
      <c r="AP173" s="7">
        <v>0</v>
      </c>
      <c r="AQ173" s="7">
        <v>0</v>
      </c>
      <c r="AR173" s="9">
        <v>0</v>
      </c>
      <c r="AS173" s="9">
        <v>1</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0</v>
      </c>
      <c r="BJ173" s="9">
        <v>0</v>
      </c>
      <c r="BK173" s="9">
        <v>1</v>
      </c>
      <c r="BL173" s="9">
        <v>0</v>
      </c>
      <c r="BM173" s="9">
        <v>0</v>
      </c>
      <c r="BN173" s="9">
        <v>0</v>
      </c>
      <c r="BO173" s="9">
        <v>0</v>
      </c>
      <c r="BP173" s="10" t="s">
        <v>50</v>
      </c>
      <c r="BQ173" s="9">
        <v>0</v>
      </c>
      <c r="BR173" s="10" t="s">
        <v>50</v>
      </c>
      <c r="BS173" s="9">
        <v>0</v>
      </c>
      <c r="BT173" s="10" t="s">
        <v>50</v>
      </c>
      <c r="BU173" s="9">
        <v>0</v>
      </c>
    </row>
    <row r="174" spans="1:73" ht="15.75" customHeight="1" x14ac:dyDescent="0.2">
      <c r="A174" s="3">
        <f t="shared" si="2"/>
        <v>172</v>
      </c>
      <c r="B174" s="3" t="s">
        <v>52</v>
      </c>
      <c r="C174" s="3" t="s">
        <v>179</v>
      </c>
      <c r="D174" s="25" t="s">
        <v>49</v>
      </c>
      <c r="E174" s="4" t="s">
        <v>487</v>
      </c>
      <c r="F174" s="3">
        <v>0</v>
      </c>
      <c r="G174" s="3">
        <v>0</v>
      </c>
      <c r="H174" s="3">
        <v>0</v>
      </c>
      <c r="I174" s="3">
        <v>0</v>
      </c>
      <c r="J174" s="3">
        <v>0</v>
      </c>
      <c r="K174" s="3">
        <v>1</v>
      </c>
      <c r="L174" s="3">
        <v>0</v>
      </c>
      <c r="M174" s="3">
        <v>10</v>
      </c>
      <c r="N174" s="3">
        <v>0</v>
      </c>
      <c r="O174" s="3">
        <v>0</v>
      </c>
      <c r="P174" s="3">
        <v>20</v>
      </c>
      <c r="Q174" s="3">
        <v>0</v>
      </c>
      <c r="R174" s="3">
        <v>20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1988</v>
      </c>
      <c r="AO174" s="3" t="s">
        <v>1847</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row>
    <row r="175" spans="1:73" ht="15.75" customHeight="1" x14ac:dyDescent="0.2">
      <c r="A175" s="3">
        <f t="shared" si="2"/>
        <v>173</v>
      </c>
      <c r="B175" s="3" t="s">
        <v>52</v>
      </c>
      <c r="C175" s="3" t="s">
        <v>488</v>
      </c>
      <c r="D175" s="25" t="s">
        <v>486</v>
      </c>
      <c r="E175" s="4" t="s">
        <v>702</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1988</v>
      </c>
      <c r="AO175" s="3" t="s">
        <v>1847</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row>
    <row r="176" spans="1:73" ht="15.75" customHeight="1" x14ac:dyDescent="0.2">
      <c r="A176" s="3">
        <f t="shared" si="2"/>
        <v>174</v>
      </c>
      <c r="B176" s="3" t="s">
        <v>1486</v>
      </c>
      <c r="C176" s="3" t="s">
        <v>3271</v>
      </c>
      <c r="D176" s="25" t="s">
        <v>1880</v>
      </c>
      <c r="E176" s="4" t="s">
        <v>3274</v>
      </c>
      <c r="F176" s="3">
        <v>0</v>
      </c>
      <c r="G176" s="3">
        <v>0</v>
      </c>
      <c r="H176" s="3">
        <v>0</v>
      </c>
      <c r="I176" s="3">
        <v>0</v>
      </c>
      <c r="J176" s="3">
        <v>0</v>
      </c>
      <c r="K176" s="3">
        <v>1</v>
      </c>
      <c r="L176" s="3">
        <v>0</v>
      </c>
      <c r="M176" s="3">
        <v>10</v>
      </c>
      <c r="N176" s="3">
        <v>0</v>
      </c>
      <c r="O176" s="3">
        <v>0</v>
      </c>
      <c r="P176" s="3">
        <v>20</v>
      </c>
      <c r="Q176" s="3">
        <v>0</v>
      </c>
      <c r="R176" s="3">
        <v>20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1988</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row>
    <row r="177" spans="1:73" ht="15.75" customHeight="1" x14ac:dyDescent="0.2">
      <c r="A177" s="3">
        <f t="shared" si="2"/>
        <v>175</v>
      </c>
      <c r="B177" s="3" t="s">
        <v>3544</v>
      </c>
      <c r="C177" s="3" t="s">
        <v>1879</v>
      </c>
      <c r="D177" s="25" t="s">
        <v>3273</v>
      </c>
      <c r="E177" s="4" t="s">
        <v>3272</v>
      </c>
      <c r="F177" s="3">
        <v>0</v>
      </c>
      <c r="G177" s="3">
        <v>0</v>
      </c>
      <c r="H177" s="3">
        <v>0</v>
      </c>
      <c r="I177" s="3">
        <v>0</v>
      </c>
      <c r="J177" s="3">
        <v>0</v>
      </c>
      <c r="K177" s="3">
        <v>1</v>
      </c>
      <c r="L177" s="3">
        <v>0</v>
      </c>
      <c r="M177" s="3">
        <v>10</v>
      </c>
      <c r="N177" s="3">
        <v>0</v>
      </c>
      <c r="O177" s="3">
        <v>0</v>
      </c>
      <c r="P177" s="3">
        <v>20</v>
      </c>
      <c r="Q177" s="3">
        <v>0</v>
      </c>
      <c r="R177" s="3">
        <v>20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1988</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row>
    <row r="178" spans="1:73" ht="15.75" customHeight="1" x14ac:dyDescent="0.2">
      <c r="A178" s="3">
        <f t="shared" si="2"/>
        <v>176</v>
      </c>
      <c r="B178" s="3" t="s">
        <v>52</v>
      </c>
      <c r="C178" s="3" t="s">
        <v>366</v>
      </c>
      <c r="D178" s="25" t="s">
        <v>380</v>
      </c>
      <c r="E178" s="4" t="s">
        <v>411</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1988</v>
      </c>
      <c r="AO178" s="3" t="s">
        <v>1847</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c r="BP178" s="6" t="s">
        <v>50</v>
      </c>
      <c r="BQ178">
        <v>0</v>
      </c>
      <c r="BR178" s="6" t="s">
        <v>50</v>
      </c>
      <c r="BS178">
        <v>0</v>
      </c>
      <c r="BT178" s="6" t="s">
        <v>50</v>
      </c>
      <c r="BU178">
        <v>0</v>
      </c>
    </row>
    <row r="179" spans="1:73" ht="15.75" customHeight="1" x14ac:dyDescent="0.2">
      <c r="A179" s="3">
        <f t="shared" si="2"/>
        <v>177</v>
      </c>
      <c r="B179" s="3" t="s">
        <v>52</v>
      </c>
      <c r="C179" s="3" t="s">
        <v>410</v>
      </c>
      <c r="D179" s="25" t="s">
        <v>409</v>
      </c>
      <c r="E179" s="4" t="s">
        <v>412</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1988</v>
      </c>
      <c r="AO179" s="3" t="s">
        <v>1847</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row>
    <row r="180" spans="1:73" ht="15.75" customHeight="1" x14ac:dyDescent="0.2">
      <c r="A180" s="3">
        <f t="shared" si="2"/>
        <v>178</v>
      </c>
      <c r="B180" s="3" t="s">
        <v>3424</v>
      </c>
      <c r="C180" s="3" t="s">
        <v>1832</v>
      </c>
      <c r="D180" s="25" t="s">
        <v>1830</v>
      </c>
      <c r="E180" s="4" t="s">
        <v>1831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1988</v>
      </c>
      <c r="AO180" s="3" t="s">
        <v>1847</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row>
    <row r="181" spans="1:73" ht="15.75" customHeight="1" x14ac:dyDescent="0.2">
      <c r="A181" s="3">
        <f t="shared" si="2"/>
        <v>179</v>
      </c>
      <c r="B181" s="3" t="s">
        <v>604</v>
      </c>
      <c r="C181" s="3" t="s">
        <v>2735</v>
      </c>
      <c r="D181" s="25" t="s">
        <v>2734</v>
      </c>
      <c r="E181" s="4" t="s">
        <v>2736</v>
      </c>
      <c r="F181" s="3">
        <v>0</v>
      </c>
      <c r="G181" s="3">
        <v>0</v>
      </c>
      <c r="H181" s="3">
        <v>0</v>
      </c>
      <c r="I181" s="3">
        <v>0</v>
      </c>
      <c r="J181" s="3">
        <v>0</v>
      </c>
      <c r="K181" s="3">
        <v>1</v>
      </c>
      <c r="L181" s="3">
        <v>0</v>
      </c>
      <c r="M181" s="3">
        <v>0</v>
      </c>
      <c r="N181" s="3">
        <v>0</v>
      </c>
      <c r="O181" s="3">
        <v>0</v>
      </c>
      <c r="P181" s="3">
        <v>0</v>
      </c>
      <c r="Q181" s="3">
        <v>0</v>
      </c>
      <c r="R181" s="3">
        <v>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1988</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row>
    <row r="182" spans="1:73" ht="15.75" customHeight="1" x14ac:dyDescent="0.2">
      <c r="A182" s="3">
        <f t="shared" si="2"/>
        <v>180</v>
      </c>
      <c r="B182" s="3" t="s">
        <v>2971</v>
      </c>
      <c r="C182" s="3" t="s">
        <v>2776</v>
      </c>
      <c r="D182" s="25" t="s">
        <v>2924</v>
      </c>
      <c r="E182" s="4" t="s">
        <v>2777</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1988</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row>
    <row r="183" spans="1:73" ht="15.75" customHeight="1" x14ac:dyDescent="0.2">
      <c r="A183" s="3">
        <f t="shared" si="2"/>
        <v>181</v>
      </c>
      <c r="B183" s="3" t="s">
        <v>2954</v>
      </c>
      <c r="C183" s="3" t="s">
        <v>2763</v>
      </c>
      <c r="D183" s="25" t="s">
        <v>2761</v>
      </c>
      <c r="E183" s="4" t="s">
        <v>2762</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1988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row>
    <row r="184" spans="1:73" ht="15.75" customHeight="1" x14ac:dyDescent="0.2">
      <c r="A184" s="3">
        <f t="shared" si="2"/>
        <v>182</v>
      </c>
      <c r="B184" s="3" t="s">
        <v>1486</v>
      </c>
      <c r="C184" s="3" t="s">
        <v>3226</v>
      </c>
      <c r="D184" s="25" t="s">
        <v>3225</v>
      </c>
      <c r="E184" s="5" t="s">
        <v>3224</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1988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row>
    <row r="185" spans="1:73" ht="15.75" customHeight="1" x14ac:dyDescent="0.2">
      <c r="A185" s="3">
        <f t="shared" si="2"/>
        <v>183</v>
      </c>
      <c r="B185" s="3" t="s">
        <v>3422</v>
      </c>
      <c r="C185" s="3" t="s">
        <v>3399</v>
      </c>
      <c r="D185" s="25" t="s">
        <v>3397</v>
      </c>
      <c r="E185" s="4" t="s">
        <v>3398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1988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row>
    <row r="186" spans="1:73" ht="15.75" customHeight="1" x14ac:dyDescent="0.2">
      <c r="A186" s="3">
        <f t="shared" si="2"/>
        <v>184</v>
      </c>
      <c r="B186" s="3" t="s">
        <v>3423</v>
      </c>
      <c r="C186" s="3" t="s">
        <v>3401</v>
      </c>
      <c r="D186" s="25" t="s">
        <v>3400</v>
      </c>
      <c r="E186" s="4" t="s">
        <v>3413</v>
      </c>
      <c r="F186" s="3">
        <v>0</v>
      </c>
      <c r="G186" s="3">
        <v>0</v>
      </c>
      <c r="H186" s="3">
        <v>0</v>
      </c>
      <c r="I186" s="3">
        <v>0</v>
      </c>
      <c r="J186" s="3">
        <v>0</v>
      </c>
      <c r="K186" s="3">
        <v>1</v>
      </c>
      <c r="L186" s="3">
        <v>0</v>
      </c>
      <c r="M186" s="3">
        <v>10</v>
      </c>
      <c r="N186" s="3">
        <v>0</v>
      </c>
      <c r="O186" s="3">
        <v>0</v>
      </c>
      <c r="P186" s="3">
        <v>20</v>
      </c>
      <c r="Q186" s="3">
        <v>0</v>
      </c>
      <c r="R186" s="3">
        <v>20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1988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row>
    <row r="187" spans="1:73" ht="15.75" customHeight="1" x14ac:dyDescent="0.2">
      <c r="A187" s="3">
        <f t="shared" si="2"/>
        <v>185</v>
      </c>
      <c r="B187" s="3" t="s">
        <v>604</v>
      </c>
      <c r="C187" s="3" t="s">
        <v>1001</v>
      </c>
      <c r="D187" s="25" t="s">
        <v>1083</v>
      </c>
      <c r="E187" s="4" t="s">
        <v>1002</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2608</v>
      </c>
      <c r="AN187" s="3" t="s">
        <v>2050</v>
      </c>
      <c r="AO187" s="3" t="s">
        <v>1847</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row>
    <row r="188" spans="1:73" ht="15.75" customHeight="1" x14ac:dyDescent="0.2">
      <c r="A188" s="3">
        <f t="shared" si="2"/>
        <v>186</v>
      </c>
      <c r="B188" s="3" t="s">
        <v>2948</v>
      </c>
      <c r="C188" s="3" t="s">
        <v>2637</v>
      </c>
      <c r="D188" s="25" t="s">
        <v>2635</v>
      </c>
      <c r="E188" s="4" t="s">
        <v>2636</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2608</v>
      </c>
      <c r="AN188" s="3" t="s">
        <v>2050</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row>
    <row r="189" spans="1:73" ht="15.75" customHeight="1" x14ac:dyDescent="0.2">
      <c r="A189" s="3">
        <f t="shared" si="2"/>
        <v>187</v>
      </c>
      <c r="B189" s="3" t="s">
        <v>2947</v>
      </c>
      <c r="C189" s="3" t="s">
        <v>2640</v>
      </c>
      <c r="D189" s="25" t="s">
        <v>2638</v>
      </c>
      <c r="E189" s="4" t="s">
        <v>2639</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2608</v>
      </c>
      <c r="AN189" s="3" t="s">
        <v>2050</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row>
    <row r="190" spans="1:73" ht="15.75" customHeight="1" x14ac:dyDescent="0.2">
      <c r="A190" s="3">
        <f t="shared" si="2"/>
        <v>188</v>
      </c>
      <c r="B190" s="3" t="s">
        <v>2949</v>
      </c>
      <c r="C190" s="3" t="s">
        <v>2650</v>
      </c>
      <c r="D190" s="25" t="s">
        <v>2641</v>
      </c>
      <c r="E190" s="4" t="s">
        <v>2646</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2608</v>
      </c>
      <c r="AN190" s="3" t="s">
        <v>2050</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row>
    <row r="191" spans="1:73" ht="15.75" customHeight="1" x14ac:dyDescent="0.2">
      <c r="A191" s="3">
        <f t="shared" si="2"/>
        <v>189</v>
      </c>
      <c r="B191" s="3" t="s">
        <v>2950</v>
      </c>
      <c r="C191" s="3" t="s">
        <v>2651</v>
      </c>
      <c r="D191" s="25" t="s">
        <v>2642</v>
      </c>
      <c r="E191" s="4" t="s">
        <v>2647</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2608</v>
      </c>
      <c r="AN191" s="3" t="s">
        <v>2050</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row>
    <row r="192" spans="1:73" ht="15.75" customHeight="1" x14ac:dyDescent="0.2">
      <c r="A192" s="3">
        <f t="shared" si="2"/>
        <v>190</v>
      </c>
      <c r="B192" s="3" t="s">
        <v>2951</v>
      </c>
      <c r="C192" s="3" t="s">
        <v>2652</v>
      </c>
      <c r="D192" s="25" t="s">
        <v>2643</v>
      </c>
      <c r="E192" s="4" t="s">
        <v>2648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2608</v>
      </c>
      <c r="AN192" s="3" t="s">
        <v>2050</v>
      </c>
      <c r="AO192" s="3" t="s">
        <v>50</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row>
    <row r="193" spans="1:73" ht="15.75" customHeight="1" x14ac:dyDescent="0.2">
      <c r="A193" s="3">
        <f t="shared" si="2"/>
        <v>191</v>
      </c>
      <c r="B193" s="3" t="s">
        <v>2952</v>
      </c>
      <c r="C193" s="3" t="s">
        <v>2653</v>
      </c>
      <c r="D193" s="25" t="s">
        <v>2644</v>
      </c>
      <c r="E193" s="4" t="s">
        <v>2649</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2608</v>
      </c>
      <c r="AN193" s="3" t="s">
        <v>2050</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row>
    <row r="194" spans="1:73" ht="15.75" customHeight="1" x14ac:dyDescent="0.2">
      <c r="A194" s="3">
        <f t="shared" si="2"/>
        <v>192</v>
      </c>
      <c r="B194" s="3" t="s">
        <v>2953</v>
      </c>
      <c r="C194" s="3" t="s">
        <v>2654</v>
      </c>
      <c r="D194" s="25" t="s">
        <v>2645</v>
      </c>
      <c r="E194" s="4" t="s">
        <v>2655</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2608</v>
      </c>
      <c r="AN194" s="3" t="s">
        <v>2050</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row>
    <row r="195" spans="1:73" ht="15.75" customHeight="1" x14ac:dyDescent="0.2">
      <c r="A195" s="3">
        <f t="shared" si="2"/>
        <v>193</v>
      </c>
      <c r="B195" s="3" t="s">
        <v>1486</v>
      </c>
      <c r="C195" s="3" t="s">
        <v>3301</v>
      </c>
      <c r="D195" s="25" t="s">
        <v>3302</v>
      </c>
      <c r="E195" s="4" t="s">
        <v>3303</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2608</v>
      </c>
      <c r="AN195" s="3" t="s">
        <v>2050</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row>
    <row r="196" spans="1:73" ht="15.75" customHeight="1" x14ac:dyDescent="0.2">
      <c r="A196" s="3">
        <f t="shared" si="2"/>
        <v>194</v>
      </c>
      <c r="B196" s="3" t="s">
        <v>604</v>
      </c>
      <c r="C196" s="3" t="s">
        <v>843</v>
      </c>
      <c r="D196" s="25" t="s">
        <v>589</v>
      </c>
      <c r="E196" s="5" t="s">
        <v>585</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1988</v>
      </c>
      <c r="AO196" s="3" t="s">
        <v>1847</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row>
    <row r="197" spans="1:73" ht="15.75" customHeight="1" x14ac:dyDescent="0.2">
      <c r="A197" s="3">
        <f t="shared" si="2"/>
        <v>195</v>
      </c>
      <c r="B197" s="3" t="s">
        <v>604</v>
      </c>
      <c r="C197" s="3" t="s">
        <v>586</v>
      </c>
      <c r="D197" s="25" t="s">
        <v>588</v>
      </c>
      <c r="E197" s="5" t="s">
        <v>587</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1988</v>
      </c>
      <c r="AO197" s="3" t="s">
        <v>1847</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row>
    <row r="198" spans="1:73" ht="15.75" customHeight="1" x14ac:dyDescent="0.2">
      <c r="A198" s="3">
        <f t="shared" ref="A198:A261" si="3">ROW()-2</f>
        <v>196</v>
      </c>
      <c r="B198" s="3" t="s">
        <v>52</v>
      </c>
      <c r="C198" s="3" t="s">
        <v>590</v>
      </c>
      <c r="D198" s="25" t="s">
        <v>846</v>
      </c>
      <c r="E198" s="5" t="s">
        <v>845</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1988</v>
      </c>
      <c r="AO198" s="3" t="s">
        <v>1847</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row>
    <row r="199" spans="1:73" ht="15.75" customHeight="1" x14ac:dyDescent="0.2">
      <c r="A199" s="3">
        <f t="shared" si="3"/>
        <v>197</v>
      </c>
      <c r="B199" s="3" t="s">
        <v>52</v>
      </c>
      <c r="C199" s="3" t="s">
        <v>964</v>
      </c>
      <c r="D199" s="25" t="s">
        <v>963</v>
      </c>
      <c r="E199" s="4" t="s">
        <v>962</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1988</v>
      </c>
      <c r="AO199" s="3" t="s">
        <v>1847</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row>
    <row r="200" spans="1:73" ht="15.75" customHeight="1" x14ac:dyDescent="0.2">
      <c r="A200" s="3">
        <f t="shared" si="3"/>
        <v>198</v>
      </c>
      <c r="B200" s="3" t="s">
        <v>52</v>
      </c>
      <c r="C200" s="3" t="s">
        <v>627</v>
      </c>
      <c r="D200" s="25" t="s">
        <v>628</v>
      </c>
      <c r="E200" s="5" t="s">
        <v>629</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270</v>
      </c>
      <c r="AN200" s="3" t="s">
        <v>1988</v>
      </c>
      <c r="AO200" s="3" t="s">
        <v>1847</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row>
    <row r="201" spans="1:73" ht="15.75" customHeight="1" x14ac:dyDescent="0.2">
      <c r="A201" s="3">
        <f t="shared" si="3"/>
        <v>199</v>
      </c>
      <c r="B201" s="3" t="s">
        <v>52</v>
      </c>
      <c r="C201" s="3" t="s">
        <v>979</v>
      </c>
      <c r="D201" s="25" t="s">
        <v>978</v>
      </c>
      <c r="E201" s="5" t="s">
        <v>977</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1988</v>
      </c>
      <c r="AO201" s="3" t="s">
        <v>1847</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row>
    <row r="202" spans="1:73" ht="15.75" customHeight="1" x14ac:dyDescent="0.2">
      <c r="A202" s="3">
        <f t="shared" si="3"/>
        <v>200</v>
      </c>
      <c r="B202" s="3" t="s">
        <v>2751</v>
      </c>
      <c r="C202" s="3" t="s">
        <v>2751</v>
      </c>
      <c r="D202" s="25" t="s">
        <v>2750</v>
      </c>
      <c r="E202" s="4" t="s">
        <v>2768</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1988</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row>
    <row r="203" spans="1:73" ht="15.75" customHeight="1" x14ac:dyDescent="0.2">
      <c r="A203" s="3">
        <f t="shared" si="3"/>
        <v>201</v>
      </c>
      <c r="B203" s="3" t="s">
        <v>2742</v>
      </c>
      <c r="C203" s="3" t="s">
        <v>2742</v>
      </c>
      <c r="D203" s="25" t="s">
        <v>2740</v>
      </c>
      <c r="E203" s="5" t="s">
        <v>2741</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1988</v>
      </c>
      <c r="AO203" s="3" t="s">
        <v>50</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row>
    <row r="204" spans="1:73" ht="15.75" customHeight="1" x14ac:dyDescent="0.2">
      <c r="A204" s="3">
        <f t="shared" si="3"/>
        <v>202</v>
      </c>
      <c r="B204" s="3" t="s">
        <v>2743</v>
      </c>
      <c r="C204" s="3" t="s">
        <v>2743</v>
      </c>
      <c r="D204" s="25" t="s">
        <v>2919</v>
      </c>
      <c r="E204" s="5" t="s">
        <v>2744</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1988</v>
      </c>
      <c r="AO204" s="3" t="s">
        <v>50</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row>
    <row r="205" spans="1:73" s="9" customFormat="1" ht="15.75" customHeight="1" x14ac:dyDescent="0.2">
      <c r="A205" s="7">
        <f t="shared" si="3"/>
        <v>203</v>
      </c>
      <c r="B205" s="7" t="s">
        <v>1486</v>
      </c>
      <c r="C205" s="7" t="s">
        <v>1416</v>
      </c>
      <c r="D205" s="26" t="s">
        <v>1417</v>
      </c>
      <c r="E205" s="8" t="s">
        <v>1418</v>
      </c>
      <c r="F205" s="7">
        <v>0</v>
      </c>
      <c r="G205" s="7">
        <v>0</v>
      </c>
      <c r="H205" s="7">
        <v>0</v>
      </c>
      <c r="I205" s="7">
        <v>0</v>
      </c>
      <c r="J205" s="7">
        <v>0</v>
      </c>
      <c r="K205" s="7">
        <v>1</v>
      </c>
      <c r="L205" s="7">
        <v>0</v>
      </c>
      <c r="M205" s="7">
        <v>0</v>
      </c>
      <c r="N205" s="7">
        <v>0</v>
      </c>
      <c r="O205" s="7">
        <v>0</v>
      </c>
      <c r="P205" s="7">
        <v>0</v>
      </c>
      <c r="Q205" s="7">
        <v>0</v>
      </c>
      <c r="R205" s="7">
        <v>0</v>
      </c>
      <c r="S205" s="7">
        <v>0</v>
      </c>
      <c r="T205" s="7">
        <v>0</v>
      </c>
      <c r="U205" s="7">
        <v>0</v>
      </c>
      <c r="V205" s="7">
        <v>0</v>
      </c>
      <c r="W205" s="7">
        <v>0</v>
      </c>
      <c r="X205" s="7">
        <v>0</v>
      </c>
      <c r="Y205" s="7">
        <v>0</v>
      </c>
      <c r="Z205" s="7">
        <v>0</v>
      </c>
      <c r="AA205" s="7">
        <v>0</v>
      </c>
      <c r="AB205" s="7">
        <v>0</v>
      </c>
      <c r="AC205" s="7">
        <v>0</v>
      </c>
      <c r="AD205" s="7">
        <v>0</v>
      </c>
      <c r="AE205" s="7">
        <v>0</v>
      </c>
      <c r="AF205" s="7">
        <v>0</v>
      </c>
      <c r="AG205" s="7">
        <v>0</v>
      </c>
      <c r="AH205" s="7">
        <v>0</v>
      </c>
      <c r="AI205" s="7">
        <v>0</v>
      </c>
      <c r="AJ205" s="7">
        <v>0</v>
      </c>
      <c r="AK205" s="7">
        <v>0</v>
      </c>
      <c r="AL205" s="7" t="s">
        <v>51</v>
      </c>
      <c r="AM205" s="7" t="s">
        <v>270</v>
      </c>
      <c r="AN205" s="7" t="s">
        <v>1988</v>
      </c>
      <c r="AO205" s="7" t="s">
        <v>1847</v>
      </c>
      <c r="AP205" s="7">
        <v>0</v>
      </c>
      <c r="AQ205" s="7">
        <v>0</v>
      </c>
      <c r="AR205" s="9">
        <v>0</v>
      </c>
      <c r="AS205" s="9">
        <v>0</v>
      </c>
      <c r="AT205" s="10" t="s">
        <v>50</v>
      </c>
      <c r="AU205" s="10" t="s">
        <v>50</v>
      </c>
      <c r="AV205" s="10" t="s">
        <v>50</v>
      </c>
      <c r="AW205" s="10" t="s">
        <v>50</v>
      </c>
      <c r="AX205" s="10" t="s">
        <v>50</v>
      </c>
      <c r="AY205" s="10" t="s">
        <v>50</v>
      </c>
      <c r="AZ205" s="10" t="s">
        <v>50</v>
      </c>
      <c r="BA205" s="10" t="s">
        <v>50</v>
      </c>
      <c r="BB205" s="10" t="s">
        <v>50</v>
      </c>
      <c r="BC205" s="10" t="s">
        <v>50</v>
      </c>
      <c r="BD205" s="10" t="s">
        <v>50</v>
      </c>
      <c r="BE205" s="10" t="s">
        <v>50</v>
      </c>
      <c r="BF205" s="10" t="s">
        <v>50</v>
      </c>
      <c r="BG205" s="10" t="s">
        <v>50</v>
      </c>
      <c r="BH205" s="10" t="s">
        <v>50</v>
      </c>
      <c r="BI205" s="9">
        <v>0</v>
      </c>
      <c r="BJ205" s="9">
        <v>0</v>
      </c>
      <c r="BK205" s="9">
        <v>1</v>
      </c>
      <c r="BL205" s="9">
        <v>0</v>
      </c>
      <c r="BM205" s="9">
        <v>0</v>
      </c>
      <c r="BN205" s="9">
        <v>0</v>
      </c>
      <c r="BO205" s="9">
        <v>0</v>
      </c>
      <c r="BP205" s="10" t="s">
        <v>50</v>
      </c>
      <c r="BQ205" s="9">
        <v>0</v>
      </c>
      <c r="BR205" s="10" t="s">
        <v>50</v>
      </c>
      <c r="BS205" s="9">
        <v>0</v>
      </c>
      <c r="BT205" s="10" t="s">
        <v>50</v>
      </c>
      <c r="BU205" s="9">
        <v>0</v>
      </c>
    </row>
    <row r="206" spans="1:73" ht="15.75" customHeight="1" x14ac:dyDescent="0.2">
      <c r="A206" s="3">
        <f t="shared" si="3"/>
        <v>204</v>
      </c>
      <c r="B206" s="3" t="s">
        <v>52</v>
      </c>
      <c r="C206" s="3" t="s">
        <v>437</v>
      </c>
      <c r="D206" s="25" t="s">
        <v>436</v>
      </c>
      <c r="E206" s="4" t="s">
        <v>1082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1988</v>
      </c>
      <c r="AO206" s="3" t="s">
        <v>1847</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row>
    <row r="207" spans="1:73" ht="15.75" customHeight="1" x14ac:dyDescent="0.2">
      <c r="A207" s="3">
        <f t="shared" si="3"/>
        <v>205</v>
      </c>
      <c r="B207" s="3" t="s">
        <v>2891</v>
      </c>
      <c r="C207" s="3" t="s">
        <v>2891</v>
      </c>
      <c r="D207" s="25" t="s">
        <v>2892</v>
      </c>
      <c r="E207" s="4" t="s">
        <v>2955</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3037</v>
      </c>
      <c r="AO207" s="3" t="s">
        <v>50</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row>
    <row r="208" spans="1:73" ht="15.75" customHeight="1" x14ac:dyDescent="0.2">
      <c r="A208" s="3">
        <f t="shared" si="3"/>
        <v>206</v>
      </c>
      <c r="B208" s="3" t="s">
        <v>52</v>
      </c>
      <c r="C208" s="3" t="s">
        <v>1413</v>
      </c>
      <c r="D208" s="25" t="s">
        <v>1414</v>
      </c>
      <c r="E208" s="4" t="s">
        <v>1415</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1988</v>
      </c>
      <c r="AO208" s="3" t="s">
        <v>1847</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row>
    <row r="209" spans="1:73" ht="15.75" customHeight="1" x14ac:dyDescent="0.2">
      <c r="A209" s="3">
        <f t="shared" si="3"/>
        <v>207</v>
      </c>
      <c r="B209" s="3" t="s">
        <v>52</v>
      </c>
      <c r="C209" s="3" t="s">
        <v>440</v>
      </c>
      <c r="D209" s="25" t="s">
        <v>1080</v>
      </c>
      <c r="E209" s="4" t="s">
        <v>1081</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1988</v>
      </c>
      <c r="AO209" s="3" t="s">
        <v>1847</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row>
    <row r="210" spans="1:73" ht="15.75" customHeight="1" x14ac:dyDescent="0.2">
      <c r="A210" s="3">
        <f t="shared" si="3"/>
        <v>208</v>
      </c>
      <c r="B210" s="3" t="s">
        <v>3308</v>
      </c>
      <c r="C210" s="3" t="s">
        <v>3308</v>
      </c>
      <c r="D210" s="25" t="s">
        <v>3275</v>
      </c>
      <c r="E210" s="4" t="s">
        <v>3276</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1988</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row>
    <row r="211" spans="1:73" ht="15.75" customHeight="1" x14ac:dyDescent="0.2">
      <c r="A211" s="3">
        <f t="shared" si="3"/>
        <v>209</v>
      </c>
      <c r="B211" s="3" t="s">
        <v>3309</v>
      </c>
      <c r="C211" s="3" t="s">
        <v>3309</v>
      </c>
      <c r="D211" s="25" t="s">
        <v>3277</v>
      </c>
      <c r="E211" s="4" t="s">
        <v>3278</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1988</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row>
    <row r="212" spans="1:73" ht="15.75" customHeight="1" x14ac:dyDescent="0.2">
      <c r="A212" s="3">
        <f t="shared" si="3"/>
        <v>210</v>
      </c>
      <c r="B212" s="3" t="s">
        <v>3282</v>
      </c>
      <c r="C212" s="3" t="s">
        <v>3282</v>
      </c>
      <c r="D212" s="5" t="s">
        <v>3283</v>
      </c>
      <c r="E212" s="5" t="s">
        <v>3284</v>
      </c>
      <c r="F212" s="3">
        <v>0</v>
      </c>
      <c r="G212" s="3">
        <v>300</v>
      </c>
      <c r="H212" s="3">
        <v>0</v>
      </c>
      <c r="I212" s="3">
        <v>50</v>
      </c>
      <c r="J212" s="3">
        <v>5</v>
      </c>
      <c r="K212" s="3">
        <v>1</v>
      </c>
      <c r="L212" s="3">
        <v>0</v>
      </c>
      <c r="M212" s="3">
        <v>20</v>
      </c>
      <c r="N212" s="3">
        <v>0</v>
      </c>
      <c r="O212" s="3">
        <v>0</v>
      </c>
      <c r="P212" s="3">
        <v>35</v>
      </c>
      <c r="Q212" s="3">
        <v>0</v>
      </c>
      <c r="R212" s="3">
        <v>10</v>
      </c>
      <c r="S212" s="3">
        <v>0</v>
      </c>
      <c r="T212" s="3">
        <v>0</v>
      </c>
      <c r="U212" s="3">
        <v>0</v>
      </c>
      <c r="V212" s="3">
        <v>-3</v>
      </c>
      <c r="W212" s="3">
        <v>10</v>
      </c>
      <c r="X212" s="3">
        <v>0</v>
      </c>
      <c r="Y212" s="3">
        <v>0</v>
      </c>
      <c r="Z212" s="3">
        <v>0</v>
      </c>
      <c r="AA212" s="3">
        <v>0</v>
      </c>
      <c r="AB212" s="3">
        <v>0</v>
      </c>
      <c r="AC212" s="3">
        <v>3</v>
      </c>
      <c r="AD212" s="3">
        <v>0</v>
      </c>
      <c r="AE212" s="3">
        <v>0</v>
      </c>
      <c r="AF212" s="3">
        <v>0</v>
      </c>
      <c r="AG212" s="3">
        <v>10</v>
      </c>
      <c r="AH212" s="3">
        <v>0</v>
      </c>
      <c r="AI212" s="3">
        <v>0</v>
      </c>
      <c r="AJ212" s="3">
        <v>0</v>
      </c>
      <c r="AK212" s="3">
        <v>0</v>
      </c>
      <c r="AL212" s="3" t="s">
        <v>17</v>
      </c>
      <c r="AM212" s="3" t="s">
        <v>270</v>
      </c>
      <c r="AN212" s="3" t="s">
        <v>1988</v>
      </c>
      <c r="AO212" s="3" t="s">
        <v>50</v>
      </c>
      <c r="AP212" s="3">
        <v>0</v>
      </c>
      <c r="AQ212" s="3">
        <v>0</v>
      </c>
      <c r="AR212">
        <v>0</v>
      </c>
      <c r="AS212">
        <v>1</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c r="BP212" s="6" t="s">
        <v>50</v>
      </c>
      <c r="BQ212">
        <v>0</v>
      </c>
      <c r="BR212" s="6" t="s">
        <v>50</v>
      </c>
      <c r="BS212">
        <v>0</v>
      </c>
      <c r="BT212" s="6" t="s">
        <v>50</v>
      </c>
      <c r="BU212">
        <v>0</v>
      </c>
    </row>
    <row r="213" spans="1:73" ht="15.75" customHeight="1" x14ac:dyDescent="0.2">
      <c r="A213" s="3">
        <f t="shared" si="3"/>
        <v>211</v>
      </c>
      <c r="B213" s="3" t="s">
        <v>3234</v>
      </c>
      <c r="C213" s="3" t="s">
        <v>3234</v>
      </c>
      <c r="D213" s="5" t="s">
        <v>3233</v>
      </c>
      <c r="E213" s="5" t="s">
        <v>3235</v>
      </c>
      <c r="F213" s="3">
        <v>0</v>
      </c>
      <c r="G213" s="3">
        <v>300</v>
      </c>
      <c r="H213" s="3">
        <v>0</v>
      </c>
      <c r="I213" s="3">
        <v>50</v>
      </c>
      <c r="J213" s="3">
        <v>5</v>
      </c>
      <c r="K213" s="3">
        <v>1</v>
      </c>
      <c r="L213" s="3">
        <v>0</v>
      </c>
      <c r="M213" s="3">
        <v>20</v>
      </c>
      <c r="N213" s="3">
        <v>0</v>
      </c>
      <c r="O213" s="3">
        <v>0</v>
      </c>
      <c r="P213" s="3">
        <v>35</v>
      </c>
      <c r="Q213" s="3">
        <v>0</v>
      </c>
      <c r="R213" s="3">
        <v>10</v>
      </c>
      <c r="S213" s="3">
        <v>0</v>
      </c>
      <c r="T213" s="3">
        <v>0</v>
      </c>
      <c r="U213" s="3">
        <v>0</v>
      </c>
      <c r="V213" s="3">
        <v>-3</v>
      </c>
      <c r="W213" s="3">
        <v>10</v>
      </c>
      <c r="X213" s="3">
        <v>0</v>
      </c>
      <c r="Y213" s="3">
        <v>0</v>
      </c>
      <c r="Z213" s="3">
        <v>0</v>
      </c>
      <c r="AA213" s="3">
        <v>0</v>
      </c>
      <c r="AB213" s="3">
        <v>0</v>
      </c>
      <c r="AC213" s="3">
        <v>3</v>
      </c>
      <c r="AD213" s="3">
        <v>0</v>
      </c>
      <c r="AE213" s="3">
        <v>0</v>
      </c>
      <c r="AF213" s="3">
        <v>0</v>
      </c>
      <c r="AG213" s="3">
        <v>10</v>
      </c>
      <c r="AH213" s="3">
        <v>0</v>
      </c>
      <c r="AI213" s="3">
        <v>0</v>
      </c>
      <c r="AJ213" s="3">
        <v>0</v>
      </c>
      <c r="AK213" s="3">
        <v>0</v>
      </c>
      <c r="AL213" s="3" t="s">
        <v>17</v>
      </c>
      <c r="AM213" s="3" t="s">
        <v>270</v>
      </c>
      <c r="AN213" s="3" t="s">
        <v>1988</v>
      </c>
      <c r="AO213" s="3" t="s">
        <v>50</v>
      </c>
      <c r="AP213" s="3">
        <v>0</v>
      </c>
      <c r="AQ213" s="3">
        <v>0</v>
      </c>
      <c r="AR213">
        <v>0</v>
      </c>
      <c r="AS213">
        <v>1</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row>
    <row r="214" spans="1:73" ht="15.75" customHeight="1" x14ac:dyDescent="0.2">
      <c r="A214" s="3">
        <f t="shared" si="3"/>
        <v>212</v>
      </c>
      <c r="B214" s="3" t="s">
        <v>3281</v>
      </c>
      <c r="C214" s="3" t="s">
        <v>3281</v>
      </c>
      <c r="D214" s="5" t="s">
        <v>3279</v>
      </c>
      <c r="E214" s="5" t="s">
        <v>3280</v>
      </c>
      <c r="F214" s="3">
        <v>0</v>
      </c>
      <c r="G214" s="3">
        <v>300</v>
      </c>
      <c r="H214" s="3">
        <v>0</v>
      </c>
      <c r="I214" s="3">
        <v>50</v>
      </c>
      <c r="J214" s="3">
        <v>5</v>
      </c>
      <c r="K214" s="3">
        <v>1</v>
      </c>
      <c r="L214" s="3">
        <v>0</v>
      </c>
      <c r="M214" s="3">
        <v>20</v>
      </c>
      <c r="N214" s="3">
        <v>0</v>
      </c>
      <c r="O214" s="3">
        <v>0</v>
      </c>
      <c r="P214" s="3">
        <v>35</v>
      </c>
      <c r="Q214" s="3">
        <v>0</v>
      </c>
      <c r="R214" s="3">
        <v>10</v>
      </c>
      <c r="S214" s="3">
        <v>0</v>
      </c>
      <c r="T214" s="3">
        <v>0</v>
      </c>
      <c r="U214" s="3">
        <v>0</v>
      </c>
      <c r="V214" s="3">
        <v>-3</v>
      </c>
      <c r="W214" s="3">
        <v>10</v>
      </c>
      <c r="X214" s="3">
        <v>0</v>
      </c>
      <c r="Y214" s="3">
        <v>0</v>
      </c>
      <c r="Z214" s="3">
        <v>0</v>
      </c>
      <c r="AA214" s="3">
        <v>0</v>
      </c>
      <c r="AB214" s="3">
        <v>0</v>
      </c>
      <c r="AC214" s="3">
        <v>3</v>
      </c>
      <c r="AD214" s="3">
        <v>0</v>
      </c>
      <c r="AE214" s="3">
        <v>0</v>
      </c>
      <c r="AF214" s="3">
        <v>0</v>
      </c>
      <c r="AG214" s="3">
        <v>10</v>
      </c>
      <c r="AH214" s="3">
        <v>0</v>
      </c>
      <c r="AI214" s="3">
        <v>0</v>
      </c>
      <c r="AJ214" s="3">
        <v>0</v>
      </c>
      <c r="AK214" s="3">
        <v>0</v>
      </c>
      <c r="AL214" s="3" t="s">
        <v>17</v>
      </c>
      <c r="AM214" s="3" t="s">
        <v>270</v>
      </c>
      <c r="AN214" s="3" t="s">
        <v>1988</v>
      </c>
      <c r="AO214" s="3" t="s">
        <v>50</v>
      </c>
      <c r="AP214" s="3">
        <v>0</v>
      </c>
      <c r="AQ214" s="3">
        <v>0</v>
      </c>
      <c r="AR214">
        <v>0</v>
      </c>
      <c r="AS214">
        <v>1</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row>
    <row r="215" spans="1:73" ht="15.75" customHeight="1" x14ac:dyDescent="0.2">
      <c r="A215" s="3">
        <f t="shared" si="3"/>
        <v>213</v>
      </c>
      <c r="B215" s="3" t="s">
        <v>3126</v>
      </c>
      <c r="C215" s="3" t="s">
        <v>3126</v>
      </c>
      <c r="D215" s="5" t="s">
        <v>3184</v>
      </c>
      <c r="E215" s="5" t="s">
        <v>3125</v>
      </c>
      <c r="F215" s="3">
        <v>0</v>
      </c>
      <c r="G215" s="3">
        <v>300</v>
      </c>
      <c r="H215" s="3">
        <v>0</v>
      </c>
      <c r="I215" s="3">
        <v>50</v>
      </c>
      <c r="J215" s="3">
        <v>5</v>
      </c>
      <c r="K215" s="3">
        <v>1</v>
      </c>
      <c r="L215" s="3">
        <v>0</v>
      </c>
      <c r="M215" s="3">
        <v>20</v>
      </c>
      <c r="N215" s="3">
        <v>0</v>
      </c>
      <c r="O215" s="3">
        <v>0</v>
      </c>
      <c r="P215" s="3">
        <v>35</v>
      </c>
      <c r="Q215" s="3">
        <v>0</v>
      </c>
      <c r="R215" s="3">
        <v>10</v>
      </c>
      <c r="S215" s="3">
        <v>0</v>
      </c>
      <c r="T215" s="3">
        <v>0</v>
      </c>
      <c r="U215" s="3">
        <v>0</v>
      </c>
      <c r="V215" s="3">
        <v>-3</v>
      </c>
      <c r="W215" s="3">
        <v>10</v>
      </c>
      <c r="X215" s="3">
        <v>0</v>
      </c>
      <c r="Y215" s="3">
        <v>0</v>
      </c>
      <c r="Z215" s="3">
        <v>0</v>
      </c>
      <c r="AA215" s="3">
        <v>0</v>
      </c>
      <c r="AB215" s="3">
        <v>0</v>
      </c>
      <c r="AC215" s="3">
        <v>3</v>
      </c>
      <c r="AD215" s="3">
        <v>0</v>
      </c>
      <c r="AE215" s="3">
        <v>0</v>
      </c>
      <c r="AF215" s="3">
        <v>0</v>
      </c>
      <c r="AG215" s="3">
        <v>10</v>
      </c>
      <c r="AH215" s="3">
        <v>0</v>
      </c>
      <c r="AI215" s="3">
        <v>0</v>
      </c>
      <c r="AJ215" s="3">
        <v>0</v>
      </c>
      <c r="AK215" s="3">
        <v>0</v>
      </c>
      <c r="AL215" s="3" t="s">
        <v>17</v>
      </c>
      <c r="AM215" s="3" t="s">
        <v>270</v>
      </c>
      <c r="AN215" s="3" t="s">
        <v>1988</v>
      </c>
      <c r="AO215" s="3" t="s">
        <v>50</v>
      </c>
      <c r="AP215" s="3">
        <v>0</v>
      </c>
      <c r="AQ215" s="3">
        <v>0</v>
      </c>
      <c r="AR215">
        <v>0</v>
      </c>
      <c r="AS215">
        <v>1</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row>
    <row r="216" spans="1:73" ht="15.75" customHeight="1" x14ac:dyDescent="0.2">
      <c r="A216" s="3">
        <f t="shared" si="3"/>
        <v>214</v>
      </c>
      <c r="B216" s="3" t="s">
        <v>604</v>
      </c>
      <c r="C216" s="3" t="s">
        <v>439</v>
      </c>
      <c r="D216" s="25" t="s">
        <v>438</v>
      </c>
      <c r="E216" s="4" t="s">
        <v>2739</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1988</v>
      </c>
      <c r="AO216" s="3" t="s">
        <v>1847</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row>
    <row r="217" spans="1:73" ht="15.75" customHeight="1" x14ac:dyDescent="0.2">
      <c r="A217" s="3">
        <f t="shared" si="3"/>
        <v>215</v>
      </c>
      <c r="B217" s="3" t="s">
        <v>3377</v>
      </c>
      <c r="C217" s="3" t="s">
        <v>3218</v>
      </c>
      <c r="D217" s="25" t="s">
        <v>3217</v>
      </c>
      <c r="E217" s="4" t="s">
        <v>3215</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1988</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row>
    <row r="218" spans="1:73" ht="15.75" customHeight="1" x14ac:dyDescent="0.2">
      <c r="A218" s="3">
        <f t="shared" si="3"/>
        <v>216</v>
      </c>
      <c r="B218" s="3" t="s">
        <v>1486</v>
      </c>
      <c r="C218" s="3" t="s">
        <v>3229</v>
      </c>
      <c r="D218" s="25" t="s">
        <v>3228</v>
      </c>
      <c r="E218" s="5" t="s">
        <v>3227</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1988</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row>
    <row r="219" spans="1:73" ht="15.75" customHeight="1" x14ac:dyDescent="0.2">
      <c r="A219" s="3">
        <f t="shared" si="3"/>
        <v>217</v>
      </c>
      <c r="B219" s="3" t="s">
        <v>3204</v>
      </c>
      <c r="C219" s="3" t="s">
        <v>3204</v>
      </c>
      <c r="D219" s="25" t="s">
        <v>3203</v>
      </c>
      <c r="E219" s="4" t="s">
        <v>3205</v>
      </c>
      <c r="F219" s="3">
        <v>0</v>
      </c>
      <c r="G219" s="3">
        <v>0</v>
      </c>
      <c r="H219" s="3">
        <v>0</v>
      </c>
      <c r="I219" s="3">
        <v>0</v>
      </c>
      <c r="J219" s="3">
        <v>0</v>
      </c>
      <c r="K219" s="3">
        <v>1</v>
      </c>
      <c r="L219" s="3">
        <v>0</v>
      </c>
      <c r="M219" s="3">
        <v>0</v>
      </c>
      <c r="N219" s="3">
        <v>0</v>
      </c>
      <c r="O219" s="3">
        <v>0</v>
      </c>
      <c r="P219" s="3">
        <v>0</v>
      </c>
      <c r="Q219" s="3">
        <v>0</v>
      </c>
      <c r="R219" s="3">
        <v>0</v>
      </c>
      <c r="S219" s="3">
        <v>0</v>
      </c>
      <c r="T219" s="3">
        <v>0</v>
      </c>
      <c r="U219" s="3">
        <v>0</v>
      </c>
      <c r="V219" s="3">
        <v>0</v>
      </c>
      <c r="W219" s="3">
        <v>0</v>
      </c>
      <c r="X219" s="3">
        <v>0</v>
      </c>
      <c r="Y219" s="3">
        <v>0</v>
      </c>
      <c r="Z219" s="3">
        <v>0</v>
      </c>
      <c r="AA219" s="3">
        <v>0</v>
      </c>
      <c r="AB219" s="3">
        <v>0</v>
      </c>
      <c r="AC219" s="3">
        <v>0</v>
      </c>
      <c r="AD219" s="3">
        <v>0</v>
      </c>
      <c r="AE219" s="3">
        <v>0</v>
      </c>
      <c r="AF219" s="3">
        <v>0</v>
      </c>
      <c r="AG219" s="3">
        <v>0</v>
      </c>
      <c r="AH219" s="3">
        <v>0</v>
      </c>
      <c r="AI219" s="3">
        <v>0</v>
      </c>
      <c r="AJ219" s="3">
        <v>0</v>
      </c>
      <c r="AK219" s="3">
        <v>0</v>
      </c>
      <c r="AL219" s="3" t="s">
        <v>51</v>
      </c>
      <c r="AM219" s="3" t="s">
        <v>270</v>
      </c>
      <c r="AN219" s="3" t="s">
        <v>1988</v>
      </c>
      <c r="AO219" s="3" t="s">
        <v>50</v>
      </c>
      <c r="AP219" s="3">
        <v>0</v>
      </c>
      <c r="AQ219" s="3">
        <v>0</v>
      </c>
      <c r="AR219">
        <v>0</v>
      </c>
      <c r="AS219">
        <v>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row>
    <row r="220" spans="1:73" ht="15.75" customHeight="1" x14ac:dyDescent="0.2">
      <c r="A220" s="3">
        <f t="shared" si="3"/>
        <v>218</v>
      </c>
      <c r="B220" s="3" t="s">
        <v>2956</v>
      </c>
      <c r="C220" s="3" t="s">
        <v>2858</v>
      </c>
      <c r="D220" s="25" t="s">
        <v>2856</v>
      </c>
      <c r="E220" s="4" t="s">
        <v>2857</v>
      </c>
      <c r="F220" s="3">
        <v>0</v>
      </c>
      <c r="G220" s="3">
        <v>0</v>
      </c>
      <c r="H220" s="3">
        <v>0</v>
      </c>
      <c r="I220" s="3">
        <v>0</v>
      </c>
      <c r="J220" s="3">
        <v>0</v>
      </c>
      <c r="K220" s="3">
        <v>1</v>
      </c>
      <c r="L220" s="3">
        <v>0</v>
      </c>
      <c r="M220" s="3">
        <v>0</v>
      </c>
      <c r="N220" s="3">
        <v>0</v>
      </c>
      <c r="O220" s="3">
        <v>0</v>
      </c>
      <c r="P220" s="3">
        <v>0</v>
      </c>
      <c r="Q220" s="3">
        <v>0</v>
      </c>
      <c r="R220" s="3">
        <v>0</v>
      </c>
      <c r="S220" s="3">
        <v>0</v>
      </c>
      <c r="T220" s="3">
        <v>0</v>
      </c>
      <c r="U220" s="3">
        <v>0</v>
      </c>
      <c r="V220" s="3">
        <v>0</v>
      </c>
      <c r="W220" s="3">
        <v>0</v>
      </c>
      <c r="X220" s="3">
        <v>0</v>
      </c>
      <c r="Y220" s="3">
        <v>0</v>
      </c>
      <c r="Z220" s="3">
        <v>0</v>
      </c>
      <c r="AA220" s="3">
        <v>0</v>
      </c>
      <c r="AB220" s="3">
        <v>0</v>
      </c>
      <c r="AC220" s="3">
        <v>0</v>
      </c>
      <c r="AD220" s="3">
        <v>0</v>
      </c>
      <c r="AE220" s="3">
        <v>0</v>
      </c>
      <c r="AF220" s="3">
        <v>0</v>
      </c>
      <c r="AG220" s="3">
        <v>0</v>
      </c>
      <c r="AH220" s="3">
        <v>0</v>
      </c>
      <c r="AI220" s="3">
        <v>0</v>
      </c>
      <c r="AJ220" s="3">
        <v>0</v>
      </c>
      <c r="AK220" s="3">
        <v>0</v>
      </c>
      <c r="AL220" s="3" t="s">
        <v>51</v>
      </c>
      <c r="AM220" s="3" t="s">
        <v>270</v>
      </c>
      <c r="AN220" s="3" t="s">
        <v>2943</v>
      </c>
      <c r="AO220" s="3" t="s">
        <v>50</v>
      </c>
      <c r="AP220" s="3">
        <v>0</v>
      </c>
      <c r="AQ220" s="3">
        <v>0</v>
      </c>
      <c r="AR220">
        <v>0</v>
      </c>
      <c r="AS220">
        <v>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row>
    <row r="221" spans="1:73" ht="15.75" customHeight="1" x14ac:dyDescent="0.2">
      <c r="A221" s="3">
        <f t="shared" si="3"/>
        <v>219</v>
      </c>
      <c r="B221" s="3" t="s">
        <v>3238</v>
      </c>
      <c r="C221" s="3" t="s">
        <v>3238</v>
      </c>
      <c r="D221" s="25" t="s">
        <v>3236</v>
      </c>
      <c r="E221" s="4" t="s">
        <v>3237</v>
      </c>
      <c r="F221" s="3">
        <v>0</v>
      </c>
      <c r="G221" s="3">
        <v>0</v>
      </c>
      <c r="H221" s="3">
        <v>0</v>
      </c>
      <c r="I221" s="3">
        <v>0</v>
      </c>
      <c r="J221" s="3">
        <v>0</v>
      </c>
      <c r="K221" s="3">
        <v>1</v>
      </c>
      <c r="L221" s="3">
        <v>0</v>
      </c>
      <c r="M221" s="3">
        <v>0</v>
      </c>
      <c r="N221" s="3">
        <v>0</v>
      </c>
      <c r="O221" s="3">
        <v>0</v>
      </c>
      <c r="P221" s="3">
        <v>0</v>
      </c>
      <c r="Q221" s="3">
        <v>0</v>
      </c>
      <c r="R221" s="3">
        <v>0</v>
      </c>
      <c r="S221" s="3">
        <v>0</v>
      </c>
      <c r="T221" s="3">
        <v>0</v>
      </c>
      <c r="U221" s="3">
        <v>0</v>
      </c>
      <c r="V221" s="3">
        <v>0</v>
      </c>
      <c r="W221" s="3">
        <v>0</v>
      </c>
      <c r="X221" s="3">
        <v>0</v>
      </c>
      <c r="Y221" s="3">
        <v>0</v>
      </c>
      <c r="Z221" s="3">
        <v>0</v>
      </c>
      <c r="AA221" s="3">
        <v>0</v>
      </c>
      <c r="AB221" s="3">
        <v>0</v>
      </c>
      <c r="AC221" s="3">
        <v>0</v>
      </c>
      <c r="AD221" s="3">
        <v>0</v>
      </c>
      <c r="AE221" s="3">
        <v>0</v>
      </c>
      <c r="AF221" s="3">
        <v>0</v>
      </c>
      <c r="AG221" s="3">
        <v>0</v>
      </c>
      <c r="AH221" s="3">
        <v>0</v>
      </c>
      <c r="AI221" s="3">
        <v>0</v>
      </c>
      <c r="AJ221" s="3">
        <v>0</v>
      </c>
      <c r="AK221" s="3">
        <v>0</v>
      </c>
      <c r="AL221" s="3" t="s">
        <v>51</v>
      </c>
      <c r="AM221" s="3" t="s">
        <v>270</v>
      </c>
      <c r="AN221" s="3" t="s">
        <v>2943</v>
      </c>
      <c r="AO221" s="3" t="s">
        <v>50</v>
      </c>
      <c r="AP221" s="3">
        <v>0</v>
      </c>
      <c r="AQ221" s="3">
        <v>0</v>
      </c>
      <c r="AR221">
        <v>0</v>
      </c>
      <c r="AS221">
        <v>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row>
    <row r="222" spans="1:73" ht="15.75" customHeight="1" x14ac:dyDescent="0.2">
      <c r="A222" s="3">
        <f t="shared" si="3"/>
        <v>220</v>
      </c>
      <c r="B222" s="3" t="s">
        <v>3244</v>
      </c>
      <c r="C222" s="3" t="s">
        <v>3329</v>
      </c>
      <c r="D222" s="25" t="s">
        <v>3328</v>
      </c>
      <c r="E222" s="4" t="s">
        <v>3330</v>
      </c>
      <c r="F222" s="3">
        <v>0</v>
      </c>
      <c r="G222" s="3">
        <v>0</v>
      </c>
      <c r="H222" s="3">
        <v>0</v>
      </c>
      <c r="I222" s="3">
        <v>0</v>
      </c>
      <c r="J222" s="3">
        <v>0</v>
      </c>
      <c r="K222" s="3">
        <v>1</v>
      </c>
      <c r="L222" s="3">
        <v>0</v>
      </c>
      <c r="M222" s="3">
        <v>0</v>
      </c>
      <c r="N222" s="3">
        <v>0</v>
      </c>
      <c r="O222" s="3">
        <v>0</v>
      </c>
      <c r="P222" s="3">
        <v>0</v>
      </c>
      <c r="Q222" s="3">
        <v>0</v>
      </c>
      <c r="R222" s="3">
        <v>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2943</v>
      </c>
      <c r="AO222" s="3" t="s">
        <v>1031</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row>
    <row r="223" spans="1:73" ht="15.75" customHeight="1" x14ac:dyDescent="0.2">
      <c r="A223" s="3">
        <f t="shared" si="3"/>
        <v>221</v>
      </c>
      <c r="B223" s="3" t="s">
        <v>2587</v>
      </c>
      <c r="C223" s="3" t="s">
        <v>2044</v>
      </c>
      <c r="D223" s="25" t="s">
        <v>2045</v>
      </c>
      <c r="E223" s="4" t="s">
        <v>2057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2049</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row>
    <row r="224" spans="1:73" s="9" customFormat="1" ht="15.75" customHeight="1" x14ac:dyDescent="0.2">
      <c r="A224" s="7">
        <f t="shared" si="3"/>
        <v>222</v>
      </c>
      <c r="B224" s="7" t="s">
        <v>2079</v>
      </c>
      <c r="C224" s="7" t="s">
        <v>2051</v>
      </c>
      <c r="D224" s="26" t="s">
        <v>2086</v>
      </c>
      <c r="E224" s="11" t="s">
        <v>2091</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2049</v>
      </c>
      <c r="AO224" s="7" t="s">
        <v>2146</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c r="BP224" s="10" t="s">
        <v>50</v>
      </c>
      <c r="BQ224" s="9">
        <v>0</v>
      </c>
      <c r="BR224" s="10" t="s">
        <v>50</v>
      </c>
      <c r="BS224" s="9">
        <v>0</v>
      </c>
      <c r="BT224" s="10" t="s">
        <v>50</v>
      </c>
      <c r="BU224" s="9">
        <v>0</v>
      </c>
    </row>
    <row r="225" spans="1:73" s="9" customFormat="1" ht="15.75" customHeight="1" x14ac:dyDescent="0.2">
      <c r="A225" s="7">
        <f t="shared" si="3"/>
        <v>223</v>
      </c>
      <c r="B225" s="7" t="s">
        <v>2079</v>
      </c>
      <c r="C225" s="7" t="s">
        <v>2084</v>
      </c>
      <c r="D225" s="26" t="s">
        <v>2085</v>
      </c>
      <c r="E225" s="11" t="s">
        <v>2090</v>
      </c>
      <c r="F225" s="7">
        <v>0</v>
      </c>
      <c r="G225" s="7">
        <v>0</v>
      </c>
      <c r="H225" s="7">
        <v>0</v>
      </c>
      <c r="I225" s="7">
        <v>0</v>
      </c>
      <c r="J225" s="7">
        <v>0</v>
      </c>
      <c r="K225" s="7">
        <v>1</v>
      </c>
      <c r="L225" s="7">
        <v>0</v>
      </c>
      <c r="M225" s="7">
        <v>10</v>
      </c>
      <c r="N225" s="7">
        <v>0</v>
      </c>
      <c r="O225" s="7">
        <v>0</v>
      </c>
      <c r="P225" s="7">
        <v>20</v>
      </c>
      <c r="Q225" s="7">
        <v>0</v>
      </c>
      <c r="R225" s="7">
        <v>20</v>
      </c>
      <c r="S225" s="7">
        <v>0</v>
      </c>
      <c r="T225" s="7">
        <v>0</v>
      </c>
      <c r="U225" s="7">
        <v>0</v>
      </c>
      <c r="V225" s="7">
        <v>0</v>
      </c>
      <c r="W225" s="7">
        <v>0</v>
      </c>
      <c r="X225" s="7">
        <v>0</v>
      </c>
      <c r="Y225" s="7">
        <v>0</v>
      </c>
      <c r="Z225" s="7">
        <v>0</v>
      </c>
      <c r="AA225" s="7">
        <v>0</v>
      </c>
      <c r="AB225" s="7">
        <v>0</v>
      </c>
      <c r="AC225" s="7">
        <v>0</v>
      </c>
      <c r="AD225" s="7">
        <v>0</v>
      </c>
      <c r="AE225" s="7">
        <v>0</v>
      </c>
      <c r="AF225" s="7">
        <v>0</v>
      </c>
      <c r="AG225" s="7">
        <v>0</v>
      </c>
      <c r="AH225" s="7">
        <v>0</v>
      </c>
      <c r="AI225" s="7">
        <v>0</v>
      </c>
      <c r="AJ225" s="7">
        <v>0</v>
      </c>
      <c r="AK225" s="7">
        <v>0</v>
      </c>
      <c r="AL225" s="7" t="s">
        <v>51</v>
      </c>
      <c r="AM225" s="7" t="s">
        <v>270</v>
      </c>
      <c r="AN225" s="7" t="s">
        <v>2049</v>
      </c>
      <c r="AO225" s="7" t="s">
        <v>2146</v>
      </c>
      <c r="AP225" s="7">
        <v>0</v>
      </c>
      <c r="AQ225" s="7">
        <v>0</v>
      </c>
      <c r="AR225" s="9">
        <v>0</v>
      </c>
      <c r="AS225" s="9">
        <v>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1</v>
      </c>
      <c r="BL225" s="9">
        <v>0</v>
      </c>
      <c r="BM225" s="9">
        <v>0</v>
      </c>
      <c r="BN225" s="9">
        <v>0</v>
      </c>
      <c r="BO225" s="9">
        <v>0</v>
      </c>
      <c r="BP225" s="10" t="s">
        <v>50</v>
      </c>
      <c r="BQ225" s="9">
        <v>0</v>
      </c>
      <c r="BR225" s="10" t="s">
        <v>50</v>
      </c>
      <c r="BS225" s="9">
        <v>0</v>
      </c>
      <c r="BT225" s="10" t="s">
        <v>50</v>
      </c>
      <c r="BU225" s="9">
        <v>0</v>
      </c>
    </row>
    <row r="226" spans="1:73" s="37" customFormat="1" ht="15.75" customHeight="1" x14ac:dyDescent="0.2">
      <c r="A226" s="34">
        <f t="shared" si="3"/>
        <v>224</v>
      </c>
      <c r="B226" s="34" t="s">
        <v>2083</v>
      </c>
      <c r="C226" s="34" t="s">
        <v>2709</v>
      </c>
      <c r="D226" s="35" t="s">
        <v>2977</v>
      </c>
      <c r="E226" s="36" t="s">
        <v>2056</v>
      </c>
      <c r="F226" s="34">
        <v>0</v>
      </c>
      <c r="G226" s="34">
        <v>0</v>
      </c>
      <c r="H226" s="34">
        <v>0</v>
      </c>
      <c r="I226" s="34">
        <v>0</v>
      </c>
      <c r="J226" s="34">
        <v>0</v>
      </c>
      <c r="K226" s="34">
        <v>1</v>
      </c>
      <c r="L226" s="34">
        <v>0</v>
      </c>
      <c r="M226" s="34">
        <v>10</v>
      </c>
      <c r="N226" s="34">
        <v>0</v>
      </c>
      <c r="O226" s="34">
        <v>0</v>
      </c>
      <c r="P226" s="34">
        <v>20</v>
      </c>
      <c r="Q226" s="34">
        <v>0</v>
      </c>
      <c r="R226" s="34">
        <v>20</v>
      </c>
      <c r="S226" s="34">
        <v>0</v>
      </c>
      <c r="T226" s="34">
        <v>0</v>
      </c>
      <c r="U226" s="34">
        <v>0</v>
      </c>
      <c r="V226" s="34">
        <v>0</v>
      </c>
      <c r="W226" s="34">
        <v>0</v>
      </c>
      <c r="X226" s="34">
        <v>0</v>
      </c>
      <c r="Y226" s="34">
        <v>0</v>
      </c>
      <c r="Z226" s="34">
        <v>0</v>
      </c>
      <c r="AA226" s="34">
        <v>0</v>
      </c>
      <c r="AB226" s="34">
        <v>0</v>
      </c>
      <c r="AC226" s="34">
        <v>0</v>
      </c>
      <c r="AD226" s="34">
        <v>0</v>
      </c>
      <c r="AE226" s="34">
        <v>0</v>
      </c>
      <c r="AF226" s="34">
        <v>0</v>
      </c>
      <c r="AG226" s="34">
        <v>0</v>
      </c>
      <c r="AH226" s="34">
        <v>0</v>
      </c>
      <c r="AI226" s="34">
        <v>0</v>
      </c>
      <c r="AJ226" s="34">
        <v>0</v>
      </c>
      <c r="AK226" s="34">
        <v>0</v>
      </c>
      <c r="AL226" s="34" t="s">
        <v>51</v>
      </c>
      <c r="AM226" s="34" t="s">
        <v>270</v>
      </c>
      <c r="AN226" s="34" t="s">
        <v>2888</v>
      </c>
      <c r="AO226" s="34" t="s">
        <v>50</v>
      </c>
      <c r="AP226" s="34">
        <v>0</v>
      </c>
      <c r="AQ226" s="34">
        <v>0</v>
      </c>
      <c r="AR226" s="37">
        <v>0</v>
      </c>
      <c r="AS226" s="37">
        <v>0</v>
      </c>
      <c r="AT226" s="38" t="s">
        <v>50</v>
      </c>
      <c r="AU226" s="38" t="s">
        <v>50</v>
      </c>
      <c r="AV226" s="38" t="s">
        <v>50</v>
      </c>
      <c r="AW226" s="38" t="s">
        <v>50</v>
      </c>
      <c r="AX226" s="38" t="s">
        <v>50</v>
      </c>
      <c r="AY226" s="38" t="s">
        <v>50</v>
      </c>
      <c r="AZ226" s="38" t="s">
        <v>50</v>
      </c>
      <c r="BA226" s="38" t="s">
        <v>50</v>
      </c>
      <c r="BB226" s="38" t="s">
        <v>50</v>
      </c>
      <c r="BC226" s="38" t="s">
        <v>50</v>
      </c>
      <c r="BD226" s="38" t="s">
        <v>50</v>
      </c>
      <c r="BE226" s="38" t="s">
        <v>50</v>
      </c>
      <c r="BF226" s="38" t="s">
        <v>50</v>
      </c>
      <c r="BG226" s="38" t="s">
        <v>50</v>
      </c>
      <c r="BH226" s="38" t="s">
        <v>50</v>
      </c>
      <c r="BI226" s="37">
        <v>1</v>
      </c>
      <c r="BJ226" s="37">
        <v>0</v>
      </c>
      <c r="BK226" s="37">
        <v>1</v>
      </c>
      <c r="BL226" s="37">
        <v>0</v>
      </c>
      <c r="BM226" s="37">
        <v>0</v>
      </c>
      <c r="BN226" s="37">
        <v>0</v>
      </c>
      <c r="BO226" s="37">
        <v>0</v>
      </c>
      <c r="BP226" s="38" t="s">
        <v>50</v>
      </c>
      <c r="BQ226" s="37">
        <v>0</v>
      </c>
      <c r="BR226" s="38" t="s">
        <v>50</v>
      </c>
      <c r="BS226" s="37">
        <v>0</v>
      </c>
      <c r="BT226" s="38" t="s">
        <v>50</v>
      </c>
      <c r="BU226" s="37">
        <v>0</v>
      </c>
    </row>
    <row r="227" spans="1:73" ht="15.75" customHeight="1" x14ac:dyDescent="0.2">
      <c r="A227" s="3">
        <f t="shared" si="3"/>
        <v>225</v>
      </c>
      <c r="B227" s="3" t="s">
        <v>2968</v>
      </c>
      <c r="C227" s="3" t="s">
        <v>2055</v>
      </c>
      <c r="D227" s="25" t="s">
        <v>2093</v>
      </c>
      <c r="E227" s="4" t="s">
        <v>2564</v>
      </c>
      <c r="F227" s="3">
        <v>0</v>
      </c>
      <c r="G227" s="3">
        <v>0</v>
      </c>
      <c r="H227" s="3">
        <v>0</v>
      </c>
      <c r="I227" s="3">
        <v>0</v>
      </c>
      <c r="J227" s="3">
        <v>0</v>
      </c>
      <c r="K227" s="3">
        <v>1</v>
      </c>
      <c r="L227" s="3">
        <v>0</v>
      </c>
      <c r="M227" s="3">
        <v>10</v>
      </c>
      <c r="N227" s="3">
        <v>0</v>
      </c>
      <c r="O227" s="3">
        <v>0</v>
      </c>
      <c r="P227" s="3">
        <v>20</v>
      </c>
      <c r="Q227" s="3">
        <v>0</v>
      </c>
      <c r="R227" s="3">
        <v>20</v>
      </c>
      <c r="S227" s="3">
        <v>0</v>
      </c>
      <c r="T227" s="3">
        <v>0</v>
      </c>
      <c r="U227" s="3">
        <v>0</v>
      </c>
      <c r="V227" s="3">
        <v>0</v>
      </c>
      <c r="W227" s="3">
        <v>0</v>
      </c>
      <c r="X227" s="3">
        <v>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2076</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row>
    <row r="228" spans="1:73" ht="15.75" customHeight="1" x14ac:dyDescent="0.2">
      <c r="A228" s="3">
        <f t="shared" si="3"/>
        <v>226</v>
      </c>
      <c r="B228" s="3" t="s">
        <v>2970</v>
      </c>
      <c r="C228" s="3" t="s">
        <v>2100</v>
      </c>
      <c r="D228" s="25" t="s">
        <v>2099</v>
      </c>
      <c r="E228" s="4" t="s">
        <v>2563</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3038</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row>
    <row r="229" spans="1:73" s="9" customFormat="1" ht="15.75" customHeight="1" x14ac:dyDescent="0.2">
      <c r="A229" s="7">
        <f t="shared" si="3"/>
        <v>227</v>
      </c>
      <c r="B229" s="7" t="s">
        <v>1486</v>
      </c>
      <c r="C229" s="7" t="s">
        <v>2102</v>
      </c>
      <c r="D229" s="26" t="s">
        <v>2101</v>
      </c>
      <c r="E229" s="11" t="s">
        <v>2565</v>
      </c>
      <c r="F229" s="7">
        <v>0</v>
      </c>
      <c r="G229" s="7">
        <v>0</v>
      </c>
      <c r="H229" s="7">
        <v>0</v>
      </c>
      <c r="I229" s="7">
        <v>0</v>
      </c>
      <c r="J229" s="7">
        <v>0</v>
      </c>
      <c r="K229" s="7">
        <v>1</v>
      </c>
      <c r="L229" s="7">
        <v>0</v>
      </c>
      <c r="M229" s="7">
        <v>10</v>
      </c>
      <c r="N229" s="7">
        <v>0</v>
      </c>
      <c r="O229" s="7">
        <v>0</v>
      </c>
      <c r="P229" s="7">
        <v>20</v>
      </c>
      <c r="Q229" s="7">
        <v>0</v>
      </c>
      <c r="R229" s="7">
        <v>20</v>
      </c>
      <c r="S229" s="7">
        <v>0</v>
      </c>
      <c r="T229" s="7">
        <v>0</v>
      </c>
      <c r="U229" s="7">
        <v>0</v>
      </c>
      <c r="V229" s="7">
        <v>0</v>
      </c>
      <c r="W229" s="7">
        <v>0</v>
      </c>
      <c r="X229" s="7">
        <v>0</v>
      </c>
      <c r="Y229" s="7">
        <v>0</v>
      </c>
      <c r="Z229" s="7">
        <v>0</v>
      </c>
      <c r="AA229" s="7">
        <v>0</v>
      </c>
      <c r="AB229" s="7">
        <v>0</v>
      </c>
      <c r="AC229" s="7">
        <v>0</v>
      </c>
      <c r="AD229" s="7">
        <v>0</v>
      </c>
      <c r="AE229" s="7">
        <v>0</v>
      </c>
      <c r="AF229" s="7">
        <v>0</v>
      </c>
      <c r="AG229" s="7">
        <v>0</v>
      </c>
      <c r="AH229" s="7">
        <v>0</v>
      </c>
      <c r="AI229" s="7">
        <v>0</v>
      </c>
      <c r="AJ229" s="7">
        <v>0</v>
      </c>
      <c r="AK229" s="7">
        <v>0</v>
      </c>
      <c r="AL229" s="7" t="s">
        <v>51</v>
      </c>
      <c r="AM229" s="7" t="s">
        <v>270</v>
      </c>
      <c r="AN229" s="7" t="s">
        <v>2049</v>
      </c>
      <c r="AO229" s="7" t="s">
        <v>50</v>
      </c>
      <c r="AP229" s="7">
        <v>0</v>
      </c>
      <c r="AQ229" s="7">
        <v>0</v>
      </c>
      <c r="AR229" s="9">
        <v>0</v>
      </c>
      <c r="AS229" s="9">
        <v>0</v>
      </c>
      <c r="AT229" s="10" t="s">
        <v>50</v>
      </c>
      <c r="AU229" s="10" t="s">
        <v>50</v>
      </c>
      <c r="AV229" s="10" t="s">
        <v>50</v>
      </c>
      <c r="AW229" s="10" t="s">
        <v>50</v>
      </c>
      <c r="AX229" s="10" t="s">
        <v>50</v>
      </c>
      <c r="AY229" s="10" t="s">
        <v>50</v>
      </c>
      <c r="AZ229" s="10" t="s">
        <v>50</v>
      </c>
      <c r="BA229" s="10" t="s">
        <v>50</v>
      </c>
      <c r="BB229" s="10" t="s">
        <v>50</v>
      </c>
      <c r="BC229" s="10" t="s">
        <v>50</v>
      </c>
      <c r="BD229" s="10" t="s">
        <v>50</v>
      </c>
      <c r="BE229" s="10" t="s">
        <v>50</v>
      </c>
      <c r="BF229" s="10" t="s">
        <v>50</v>
      </c>
      <c r="BG229" s="10" t="s">
        <v>50</v>
      </c>
      <c r="BH229" s="10" t="s">
        <v>50</v>
      </c>
      <c r="BI229" s="9">
        <v>0</v>
      </c>
      <c r="BJ229" s="9">
        <v>0</v>
      </c>
      <c r="BK229" s="9">
        <v>1</v>
      </c>
      <c r="BL229" s="9">
        <v>0</v>
      </c>
      <c r="BM229" s="9">
        <v>0</v>
      </c>
      <c r="BN229" s="9">
        <v>0</v>
      </c>
      <c r="BO229" s="9">
        <v>0</v>
      </c>
      <c r="BP229" s="10" t="s">
        <v>50</v>
      </c>
      <c r="BQ229" s="9">
        <v>0</v>
      </c>
      <c r="BR229" s="10" t="s">
        <v>50</v>
      </c>
      <c r="BS229" s="9">
        <v>0</v>
      </c>
      <c r="BT229" s="10" t="s">
        <v>50</v>
      </c>
      <c r="BU229" s="9">
        <v>0</v>
      </c>
    </row>
    <row r="230" spans="1:73" ht="15.75" customHeight="1" x14ac:dyDescent="0.2">
      <c r="A230" s="3">
        <f t="shared" si="3"/>
        <v>228</v>
      </c>
      <c r="B230" s="3" t="s">
        <v>2969</v>
      </c>
      <c r="C230" s="3" t="s">
        <v>2810</v>
      </c>
      <c r="D230" s="25" t="s">
        <v>2807</v>
      </c>
      <c r="E230" s="4" t="s">
        <v>2808</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3039</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row>
    <row r="231" spans="1:73" ht="15.75" customHeight="1" x14ac:dyDescent="0.2">
      <c r="A231" s="3">
        <f t="shared" si="3"/>
        <v>229</v>
      </c>
      <c r="B231" s="3" t="s">
        <v>2972</v>
      </c>
      <c r="C231" s="3" t="s">
        <v>2105</v>
      </c>
      <c r="D231" s="25" t="s">
        <v>2103</v>
      </c>
      <c r="E231" s="4" t="s">
        <v>2104</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2049</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c r="BP231" s="6" t="s">
        <v>50</v>
      </c>
      <c r="BQ231">
        <v>0</v>
      </c>
      <c r="BR231" s="6" t="s">
        <v>50</v>
      </c>
      <c r="BS231">
        <v>0</v>
      </c>
      <c r="BT231" s="6" t="s">
        <v>50</v>
      </c>
      <c r="BU231">
        <v>0</v>
      </c>
    </row>
    <row r="232" spans="1:73" s="37" customFormat="1" ht="15.75" customHeight="1" x14ac:dyDescent="0.2">
      <c r="A232" s="34">
        <f t="shared" si="3"/>
        <v>230</v>
      </c>
      <c r="B232" s="34" t="s">
        <v>2975</v>
      </c>
      <c r="C232" s="34" t="s">
        <v>2710</v>
      </c>
      <c r="D232" s="35" t="s">
        <v>2978</v>
      </c>
      <c r="E232" s="36" t="s">
        <v>2056</v>
      </c>
      <c r="F232" s="34">
        <v>0</v>
      </c>
      <c r="G232" s="34">
        <v>0</v>
      </c>
      <c r="H232" s="34">
        <v>0</v>
      </c>
      <c r="I232" s="34">
        <v>0</v>
      </c>
      <c r="J232" s="34">
        <v>0</v>
      </c>
      <c r="K232" s="34">
        <v>1</v>
      </c>
      <c r="L232" s="34">
        <v>0</v>
      </c>
      <c r="M232" s="34">
        <v>10</v>
      </c>
      <c r="N232" s="34">
        <v>0</v>
      </c>
      <c r="O232" s="34">
        <v>0</v>
      </c>
      <c r="P232" s="34">
        <v>20</v>
      </c>
      <c r="Q232" s="34">
        <v>0</v>
      </c>
      <c r="R232" s="34">
        <v>20</v>
      </c>
      <c r="S232" s="34">
        <v>0</v>
      </c>
      <c r="T232" s="34">
        <v>0</v>
      </c>
      <c r="U232" s="34">
        <v>0</v>
      </c>
      <c r="V232" s="34">
        <v>0</v>
      </c>
      <c r="W232" s="34">
        <v>0</v>
      </c>
      <c r="X232" s="34">
        <v>0</v>
      </c>
      <c r="Y232" s="34">
        <v>0</v>
      </c>
      <c r="Z232" s="34">
        <v>0</v>
      </c>
      <c r="AA232" s="34">
        <v>0</v>
      </c>
      <c r="AB232" s="34">
        <v>0</v>
      </c>
      <c r="AC232" s="34">
        <v>0</v>
      </c>
      <c r="AD232" s="34">
        <v>0</v>
      </c>
      <c r="AE232" s="34">
        <v>0</v>
      </c>
      <c r="AF232" s="34">
        <v>0</v>
      </c>
      <c r="AG232" s="34">
        <v>0</v>
      </c>
      <c r="AH232" s="34">
        <v>0</v>
      </c>
      <c r="AI232" s="34">
        <v>0</v>
      </c>
      <c r="AJ232" s="34">
        <v>0</v>
      </c>
      <c r="AK232" s="34">
        <v>0</v>
      </c>
      <c r="AL232" s="34" t="s">
        <v>51</v>
      </c>
      <c r="AM232" s="34" t="s">
        <v>270</v>
      </c>
      <c r="AN232" s="34" t="s">
        <v>2888</v>
      </c>
      <c r="AO232" s="34" t="s">
        <v>50</v>
      </c>
      <c r="AP232" s="34">
        <v>0</v>
      </c>
      <c r="AQ232" s="34">
        <v>0</v>
      </c>
      <c r="AR232" s="37">
        <v>0</v>
      </c>
      <c r="AS232" s="37">
        <v>0</v>
      </c>
      <c r="AT232" s="38" t="s">
        <v>50</v>
      </c>
      <c r="AU232" s="38" t="s">
        <v>50</v>
      </c>
      <c r="AV232" s="38" t="s">
        <v>50</v>
      </c>
      <c r="AW232" s="38" t="s">
        <v>50</v>
      </c>
      <c r="AX232" s="38" t="s">
        <v>50</v>
      </c>
      <c r="AY232" s="38" t="s">
        <v>50</v>
      </c>
      <c r="AZ232" s="38" t="s">
        <v>50</v>
      </c>
      <c r="BA232" s="38" t="s">
        <v>50</v>
      </c>
      <c r="BB232" s="38" t="s">
        <v>50</v>
      </c>
      <c r="BC232" s="38" t="s">
        <v>50</v>
      </c>
      <c r="BD232" s="38" t="s">
        <v>50</v>
      </c>
      <c r="BE232" s="38" t="s">
        <v>50</v>
      </c>
      <c r="BF232" s="38" t="s">
        <v>50</v>
      </c>
      <c r="BG232" s="38" t="s">
        <v>50</v>
      </c>
      <c r="BH232" s="38" t="s">
        <v>50</v>
      </c>
      <c r="BI232" s="37">
        <v>1</v>
      </c>
      <c r="BJ232" s="37">
        <v>0</v>
      </c>
      <c r="BK232" s="37">
        <v>1</v>
      </c>
      <c r="BL232" s="37">
        <v>0</v>
      </c>
      <c r="BM232" s="37">
        <v>0</v>
      </c>
      <c r="BN232" s="37">
        <v>0</v>
      </c>
      <c r="BO232" s="37">
        <v>0</v>
      </c>
      <c r="BP232" s="38" t="s">
        <v>50</v>
      </c>
      <c r="BQ232" s="37">
        <v>0</v>
      </c>
      <c r="BR232" s="38" t="s">
        <v>50</v>
      </c>
      <c r="BS232" s="37">
        <v>0</v>
      </c>
      <c r="BT232" s="38" t="s">
        <v>50</v>
      </c>
      <c r="BU232" s="37">
        <v>0</v>
      </c>
    </row>
    <row r="233" spans="1:73" ht="15.75" customHeight="1" x14ac:dyDescent="0.2">
      <c r="A233" s="3">
        <f t="shared" si="3"/>
        <v>231</v>
      </c>
      <c r="B233" s="3" t="s">
        <v>2973</v>
      </c>
      <c r="C233" s="3" t="s">
        <v>2106</v>
      </c>
      <c r="D233" s="25" t="s">
        <v>2109</v>
      </c>
      <c r="E233" s="4" t="s">
        <v>2564</v>
      </c>
      <c r="F233" s="3">
        <v>0</v>
      </c>
      <c r="G233" s="3">
        <v>0</v>
      </c>
      <c r="H233" s="3">
        <v>0</v>
      </c>
      <c r="I233" s="3">
        <v>0</v>
      </c>
      <c r="J233" s="3">
        <v>0</v>
      </c>
      <c r="K233" s="3">
        <v>1</v>
      </c>
      <c r="L233" s="3">
        <v>0</v>
      </c>
      <c r="M233" s="3">
        <v>10</v>
      </c>
      <c r="N233" s="3">
        <v>0</v>
      </c>
      <c r="O233" s="3">
        <v>0</v>
      </c>
      <c r="P233" s="3">
        <v>20</v>
      </c>
      <c r="Q233" s="3">
        <v>0</v>
      </c>
      <c r="R233" s="3">
        <v>20</v>
      </c>
      <c r="S233" s="3">
        <v>0</v>
      </c>
      <c r="T233" s="3">
        <v>0</v>
      </c>
      <c r="U233" s="3">
        <v>0</v>
      </c>
      <c r="V233" s="3">
        <v>0</v>
      </c>
      <c r="W233" s="3">
        <v>0</v>
      </c>
      <c r="X233" s="3">
        <v>0</v>
      </c>
      <c r="Y233" s="3">
        <v>0</v>
      </c>
      <c r="Z233" s="3">
        <v>0</v>
      </c>
      <c r="AA233" s="3">
        <v>0</v>
      </c>
      <c r="AB233" s="3">
        <v>0</v>
      </c>
      <c r="AC233" s="3">
        <v>0</v>
      </c>
      <c r="AD233" s="3">
        <v>0</v>
      </c>
      <c r="AE233" s="3">
        <v>0</v>
      </c>
      <c r="AF233" s="3">
        <v>0</v>
      </c>
      <c r="AG233" s="3">
        <v>0</v>
      </c>
      <c r="AH233" s="3">
        <v>0</v>
      </c>
      <c r="AI233" s="3">
        <v>0</v>
      </c>
      <c r="AJ233" s="3">
        <v>0</v>
      </c>
      <c r="AK233" s="3">
        <v>0</v>
      </c>
      <c r="AL233" s="3" t="s">
        <v>51</v>
      </c>
      <c r="AM233" s="3" t="s">
        <v>270</v>
      </c>
      <c r="AN233" s="3" t="s">
        <v>2076</v>
      </c>
      <c r="AO233" s="3" t="s">
        <v>50</v>
      </c>
      <c r="AP233" s="3">
        <v>0</v>
      </c>
      <c r="AQ233" s="3">
        <v>0</v>
      </c>
      <c r="AR233">
        <v>0</v>
      </c>
      <c r="AS233">
        <v>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0</v>
      </c>
      <c r="BK233">
        <v>1</v>
      </c>
      <c r="BL233">
        <v>0</v>
      </c>
      <c r="BM233">
        <v>0</v>
      </c>
      <c r="BN233">
        <v>0</v>
      </c>
      <c r="BO233">
        <v>0</v>
      </c>
      <c r="BP233" s="6" t="s">
        <v>50</v>
      </c>
      <c r="BQ233">
        <v>0</v>
      </c>
      <c r="BR233" s="6" t="s">
        <v>50</v>
      </c>
      <c r="BS233">
        <v>0</v>
      </c>
      <c r="BT233" s="6" t="s">
        <v>50</v>
      </c>
      <c r="BU233">
        <v>0</v>
      </c>
    </row>
    <row r="234" spans="1:73" ht="15.75" customHeight="1" x14ac:dyDescent="0.2">
      <c r="A234" s="3">
        <f t="shared" si="3"/>
        <v>232</v>
      </c>
      <c r="B234" s="3" t="s">
        <v>2974</v>
      </c>
      <c r="C234" s="3" t="s">
        <v>2107</v>
      </c>
      <c r="D234" s="25" t="s">
        <v>2110</v>
      </c>
      <c r="E234" s="4" t="s">
        <v>2563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3038</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row>
    <row r="235" spans="1:73" s="9" customFormat="1" ht="15.75" customHeight="1" x14ac:dyDescent="0.2">
      <c r="A235" s="7">
        <f t="shared" si="3"/>
        <v>233</v>
      </c>
      <c r="B235" s="7" t="s">
        <v>1486</v>
      </c>
      <c r="C235" s="7" t="s">
        <v>2108</v>
      </c>
      <c r="D235" s="26" t="s">
        <v>2111</v>
      </c>
      <c r="E235" s="11" t="s">
        <v>2565</v>
      </c>
      <c r="F235" s="7">
        <v>0</v>
      </c>
      <c r="G235" s="7">
        <v>0</v>
      </c>
      <c r="H235" s="7">
        <v>0</v>
      </c>
      <c r="I235" s="7">
        <v>0</v>
      </c>
      <c r="J235" s="7">
        <v>0</v>
      </c>
      <c r="K235" s="7">
        <v>1</v>
      </c>
      <c r="L235" s="7">
        <v>0</v>
      </c>
      <c r="M235" s="7">
        <v>10</v>
      </c>
      <c r="N235" s="7">
        <v>0</v>
      </c>
      <c r="O235" s="7">
        <v>0</v>
      </c>
      <c r="P235" s="7">
        <v>20</v>
      </c>
      <c r="Q235" s="7">
        <v>0</v>
      </c>
      <c r="R235" s="7">
        <v>20</v>
      </c>
      <c r="S235" s="7">
        <v>0</v>
      </c>
      <c r="T235" s="7">
        <v>0</v>
      </c>
      <c r="U235" s="7">
        <v>0</v>
      </c>
      <c r="V235" s="7">
        <v>0</v>
      </c>
      <c r="W235" s="7">
        <v>0</v>
      </c>
      <c r="X235" s="7">
        <v>0</v>
      </c>
      <c r="Y235" s="7">
        <v>0</v>
      </c>
      <c r="Z235" s="7">
        <v>0</v>
      </c>
      <c r="AA235" s="7">
        <v>0</v>
      </c>
      <c r="AB235" s="7">
        <v>0</v>
      </c>
      <c r="AC235" s="7">
        <v>0</v>
      </c>
      <c r="AD235" s="7">
        <v>0</v>
      </c>
      <c r="AE235" s="7">
        <v>0</v>
      </c>
      <c r="AF235" s="7">
        <v>0</v>
      </c>
      <c r="AG235" s="7">
        <v>0</v>
      </c>
      <c r="AH235" s="7">
        <v>0</v>
      </c>
      <c r="AI235" s="7">
        <v>0</v>
      </c>
      <c r="AJ235" s="7">
        <v>0</v>
      </c>
      <c r="AK235" s="7">
        <v>0</v>
      </c>
      <c r="AL235" s="7" t="s">
        <v>51</v>
      </c>
      <c r="AM235" s="7" t="s">
        <v>270</v>
      </c>
      <c r="AN235" s="7" t="s">
        <v>2049</v>
      </c>
      <c r="AO235" s="7" t="s">
        <v>50</v>
      </c>
      <c r="AP235" s="7">
        <v>0</v>
      </c>
      <c r="AQ235" s="7">
        <v>0</v>
      </c>
      <c r="AR235" s="9">
        <v>0</v>
      </c>
      <c r="AS235" s="9">
        <v>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0</v>
      </c>
      <c r="BJ235" s="9">
        <v>0</v>
      </c>
      <c r="BK235" s="9">
        <v>1</v>
      </c>
      <c r="BL235" s="9">
        <v>0</v>
      </c>
      <c r="BM235" s="9">
        <v>0</v>
      </c>
      <c r="BN235" s="9">
        <v>0</v>
      </c>
      <c r="BO235" s="9">
        <v>0</v>
      </c>
      <c r="BP235" s="10" t="s">
        <v>50</v>
      </c>
      <c r="BQ235" s="9">
        <v>0</v>
      </c>
      <c r="BR235" s="10" t="s">
        <v>50</v>
      </c>
      <c r="BS235" s="9">
        <v>0</v>
      </c>
      <c r="BT235" s="10" t="s">
        <v>50</v>
      </c>
      <c r="BU235" s="9">
        <v>0</v>
      </c>
    </row>
    <row r="236" spans="1:73" ht="15.75" customHeight="1" x14ac:dyDescent="0.2">
      <c r="A236" s="3">
        <f t="shared" si="3"/>
        <v>234</v>
      </c>
      <c r="B236" s="3" t="s">
        <v>2976</v>
      </c>
      <c r="C236" s="3" t="s">
        <v>2811</v>
      </c>
      <c r="D236" s="25" t="s">
        <v>2809</v>
      </c>
      <c r="E236" s="4" t="s">
        <v>2808</v>
      </c>
      <c r="F236" s="3">
        <v>0</v>
      </c>
      <c r="G236" s="3">
        <v>0</v>
      </c>
      <c r="H236" s="3">
        <v>0</v>
      </c>
      <c r="I236" s="3">
        <v>0</v>
      </c>
      <c r="J236" s="3">
        <v>0</v>
      </c>
      <c r="K236" s="3">
        <v>1</v>
      </c>
      <c r="L236" s="3">
        <v>0</v>
      </c>
      <c r="M236" s="3">
        <v>10</v>
      </c>
      <c r="N236" s="3">
        <v>0</v>
      </c>
      <c r="O236" s="3">
        <v>0</v>
      </c>
      <c r="P236" s="3">
        <v>20</v>
      </c>
      <c r="Q236" s="3">
        <v>0</v>
      </c>
      <c r="R236" s="3">
        <v>20</v>
      </c>
      <c r="S236" s="3">
        <v>0</v>
      </c>
      <c r="T236" s="3">
        <v>0</v>
      </c>
      <c r="U236" s="3">
        <v>0</v>
      </c>
      <c r="V236" s="3">
        <v>0</v>
      </c>
      <c r="W236" s="3">
        <v>0</v>
      </c>
      <c r="X236" s="3">
        <v>0</v>
      </c>
      <c r="Y236" s="3">
        <v>0</v>
      </c>
      <c r="Z236" s="3">
        <v>0</v>
      </c>
      <c r="AA236" s="3">
        <v>0</v>
      </c>
      <c r="AB236" s="3">
        <v>0</v>
      </c>
      <c r="AC236" s="3">
        <v>0</v>
      </c>
      <c r="AD236" s="3">
        <v>0</v>
      </c>
      <c r="AE236" s="3">
        <v>0</v>
      </c>
      <c r="AF236" s="3">
        <v>0</v>
      </c>
      <c r="AG236" s="3">
        <v>0</v>
      </c>
      <c r="AH236" s="3">
        <v>0</v>
      </c>
      <c r="AI236" s="3">
        <v>0</v>
      </c>
      <c r="AJ236" s="3">
        <v>0</v>
      </c>
      <c r="AK236" s="3">
        <v>0</v>
      </c>
      <c r="AL236" s="3" t="s">
        <v>51</v>
      </c>
      <c r="AM236" s="3" t="s">
        <v>270</v>
      </c>
      <c r="AN236" s="3" t="s">
        <v>3039</v>
      </c>
      <c r="AO236" s="3" t="s">
        <v>50</v>
      </c>
      <c r="AP236" s="3">
        <v>0</v>
      </c>
      <c r="AQ236" s="3">
        <v>0</v>
      </c>
      <c r="AR236">
        <v>0</v>
      </c>
      <c r="AS236">
        <v>0</v>
      </c>
      <c r="AT236" s="6" t="s">
        <v>50</v>
      </c>
      <c r="AU236" s="6" t="s">
        <v>50</v>
      </c>
      <c r="AV236" s="6" t="s">
        <v>50</v>
      </c>
      <c r="AW236" s="6" t="s">
        <v>50</v>
      </c>
      <c r="AX236" s="6" t="s">
        <v>50</v>
      </c>
      <c r="AY236" s="6" t="s">
        <v>50</v>
      </c>
      <c r="AZ236" s="6" t="s">
        <v>50</v>
      </c>
      <c r="BA236" s="6" t="s">
        <v>50</v>
      </c>
      <c r="BB236" s="6" t="s">
        <v>50</v>
      </c>
      <c r="BC236" s="6" t="s">
        <v>50</v>
      </c>
      <c r="BD236" s="6" t="s">
        <v>50</v>
      </c>
      <c r="BE236" s="6" t="s">
        <v>50</v>
      </c>
      <c r="BF236" s="6" t="s">
        <v>50</v>
      </c>
      <c r="BG236" s="6" t="s">
        <v>50</v>
      </c>
      <c r="BH236" s="6" t="s">
        <v>50</v>
      </c>
      <c r="BI236">
        <v>1</v>
      </c>
      <c r="BJ236">
        <v>0</v>
      </c>
      <c r="BK236">
        <v>1</v>
      </c>
      <c r="BL236">
        <v>0</v>
      </c>
      <c r="BM236">
        <v>0</v>
      </c>
      <c r="BN236">
        <v>0</v>
      </c>
      <c r="BO236">
        <v>0</v>
      </c>
      <c r="BP236" s="6" t="s">
        <v>50</v>
      </c>
      <c r="BQ236">
        <v>0</v>
      </c>
      <c r="BR236" s="6" t="s">
        <v>50</v>
      </c>
      <c r="BS236">
        <v>0</v>
      </c>
      <c r="BT236" s="6" t="s">
        <v>50</v>
      </c>
      <c r="BU236">
        <v>0</v>
      </c>
    </row>
    <row r="237" spans="1:73" ht="15.75" customHeight="1" x14ac:dyDescent="0.2">
      <c r="A237" s="3">
        <f t="shared" si="3"/>
        <v>235</v>
      </c>
      <c r="B237" s="3" t="s">
        <v>2980</v>
      </c>
      <c r="C237" s="3" t="s">
        <v>2130</v>
      </c>
      <c r="D237" s="25" t="s">
        <v>2129</v>
      </c>
      <c r="E237" s="4" t="s">
        <v>2724</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2049</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row>
    <row r="238" spans="1:73" s="37" customFormat="1" ht="15.75" customHeight="1" x14ac:dyDescent="0.2">
      <c r="A238" s="34">
        <f t="shared" si="3"/>
        <v>236</v>
      </c>
      <c r="B238" s="34" t="s">
        <v>2981</v>
      </c>
      <c r="C238" s="34" t="s">
        <v>2711</v>
      </c>
      <c r="D238" s="35" t="s">
        <v>2979</v>
      </c>
      <c r="E238" s="36" t="s">
        <v>2056</v>
      </c>
      <c r="F238" s="34">
        <v>0</v>
      </c>
      <c r="G238" s="34">
        <v>0</v>
      </c>
      <c r="H238" s="34">
        <v>0</v>
      </c>
      <c r="I238" s="34">
        <v>0</v>
      </c>
      <c r="J238" s="34">
        <v>0</v>
      </c>
      <c r="K238" s="34">
        <v>1</v>
      </c>
      <c r="L238" s="34">
        <v>0</v>
      </c>
      <c r="M238" s="34">
        <v>10</v>
      </c>
      <c r="N238" s="34">
        <v>0</v>
      </c>
      <c r="O238" s="34">
        <v>0</v>
      </c>
      <c r="P238" s="34">
        <v>20</v>
      </c>
      <c r="Q238" s="34">
        <v>0</v>
      </c>
      <c r="R238" s="34">
        <v>20</v>
      </c>
      <c r="S238" s="34">
        <v>0</v>
      </c>
      <c r="T238" s="34">
        <v>0</v>
      </c>
      <c r="U238" s="34">
        <v>0</v>
      </c>
      <c r="V238" s="34">
        <v>0</v>
      </c>
      <c r="W238" s="34">
        <v>0</v>
      </c>
      <c r="X238" s="34">
        <v>0</v>
      </c>
      <c r="Y238" s="34">
        <v>0</v>
      </c>
      <c r="Z238" s="34">
        <v>0</v>
      </c>
      <c r="AA238" s="34">
        <v>0</v>
      </c>
      <c r="AB238" s="34">
        <v>0</v>
      </c>
      <c r="AC238" s="34">
        <v>0</v>
      </c>
      <c r="AD238" s="34">
        <v>0</v>
      </c>
      <c r="AE238" s="34">
        <v>0</v>
      </c>
      <c r="AF238" s="34">
        <v>0</v>
      </c>
      <c r="AG238" s="34">
        <v>0</v>
      </c>
      <c r="AH238" s="34">
        <v>0</v>
      </c>
      <c r="AI238" s="34">
        <v>0</v>
      </c>
      <c r="AJ238" s="34">
        <v>0</v>
      </c>
      <c r="AK238" s="34">
        <v>0</v>
      </c>
      <c r="AL238" s="34" t="s">
        <v>51</v>
      </c>
      <c r="AM238" s="34" t="s">
        <v>270</v>
      </c>
      <c r="AN238" s="34" t="s">
        <v>2888</v>
      </c>
      <c r="AO238" s="34" t="s">
        <v>50</v>
      </c>
      <c r="AP238" s="34">
        <v>0</v>
      </c>
      <c r="AQ238" s="34">
        <v>0</v>
      </c>
      <c r="AR238" s="37">
        <v>0</v>
      </c>
      <c r="AS238" s="37">
        <v>0</v>
      </c>
      <c r="AT238" s="38" t="s">
        <v>50</v>
      </c>
      <c r="AU238" s="38" t="s">
        <v>50</v>
      </c>
      <c r="AV238" s="38" t="s">
        <v>50</v>
      </c>
      <c r="AW238" s="38" t="s">
        <v>50</v>
      </c>
      <c r="AX238" s="38" t="s">
        <v>50</v>
      </c>
      <c r="AY238" s="38" t="s">
        <v>50</v>
      </c>
      <c r="AZ238" s="38" t="s">
        <v>50</v>
      </c>
      <c r="BA238" s="38" t="s">
        <v>50</v>
      </c>
      <c r="BB238" s="38" t="s">
        <v>50</v>
      </c>
      <c r="BC238" s="38" t="s">
        <v>50</v>
      </c>
      <c r="BD238" s="38" t="s">
        <v>50</v>
      </c>
      <c r="BE238" s="38" t="s">
        <v>50</v>
      </c>
      <c r="BF238" s="38" t="s">
        <v>50</v>
      </c>
      <c r="BG238" s="38" t="s">
        <v>50</v>
      </c>
      <c r="BH238" s="38" t="s">
        <v>50</v>
      </c>
      <c r="BI238" s="37">
        <v>1</v>
      </c>
      <c r="BJ238" s="37">
        <v>0</v>
      </c>
      <c r="BK238" s="37">
        <v>1</v>
      </c>
      <c r="BL238" s="37">
        <v>0</v>
      </c>
      <c r="BM238" s="37">
        <v>0</v>
      </c>
      <c r="BN238" s="37">
        <v>0</v>
      </c>
      <c r="BO238" s="37">
        <v>0</v>
      </c>
      <c r="BP238" s="38" t="s">
        <v>50</v>
      </c>
      <c r="BQ238" s="37">
        <v>0</v>
      </c>
      <c r="BR238" s="38" t="s">
        <v>50</v>
      </c>
      <c r="BS238" s="37">
        <v>0</v>
      </c>
      <c r="BT238" s="38" t="s">
        <v>50</v>
      </c>
      <c r="BU238" s="37">
        <v>0</v>
      </c>
    </row>
    <row r="239" spans="1:73" ht="15.75" customHeight="1" x14ac:dyDescent="0.2">
      <c r="A239" s="3">
        <f t="shared" si="3"/>
        <v>237</v>
      </c>
      <c r="B239" s="3" t="s">
        <v>2982</v>
      </c>
      <c r="C239" s="3" t="s">
        <v>2131</v>
      </c>
      <c r="D239" s="25" t="s">
        <v>2134</v>
      </c>
      <c r="E239" s="4" t="s">
        <v>2564</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2076</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c r="BP239" s="6" t="s">
        <v>50</v>
      </c>
      <c r="BQ239">
        <v>0</v>
      </c>
      <c r="BR239" s="6" t="s">
        <v>50</v>
      </c>
      <c r="BS239">
        <v>0</v>
      </c>
      <c r="BT239" s="6" t="s">
        <v>50</v>
      </c>
      <c r="BU239">
        <v>0</v>
      </c>
    </row>
    <row r="240" spans="1:73" ht="15.75" customHeight="1" x14ac:dyDescent="0.2">
      <c r="A240" s="3">
        <f t="shared" si="3"/>
        <v>238</v>
      </c>
      <c r="B240" s="3" t="s">
        <v>2983</v>
      </c>
      <c r="C240" s="3" t="s">
        <v>2132</v>
      </c>
      <c r="D240" s="25" t="s">
        <v>2135</v>
      </c>
      <c r="E240" s="4" t="s">
        <v>2563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3038</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row>
    <row r="241" spans="1:73" s="9" customFormat="1" ht="15.75" customHeight="1" x14ac:dyDescent="0.2">
      <c r="A241" s="7">
        <f t="shared" si="3"/>
        <v>239</v>
      </c>
      <c r="B241" s="7" t="s">
        <v>1486</v>
      </c>
      <c r="C241" s="7" t="s">
        <v>2133</v>
      </c>
      <c r="D241" s="26" t="s">
        <v>2136</v>
      </c>
      <c r="E241" s="11" t="s">
        <v>2565</v>
      </c>
      <c r="F241" s="7">
        <v>0</v>
      </c>
      <c r="G241" s="7">
        <v>0</v>
      </c>
      <c r="H241" s="7">
        <v>0</v>
      </c>
      <c r="I241" s="7">
        <v>0</v>
      </c>
      <c r="J241" s="7">
        <v>0</v>
      </c>
      <c r="K241" s="7">
        <v>1</v>
      </c>
      <c r="L241" s="7">
        <v>0</v>
      </c>
      <c r="M241" s="7">
        <v>10</v>
      </c>
      <c r="N241" s="7">
        <v>0</v>
      </c>
      <c r="O241" s="7">
        <v>0</v>
      </c>
      <c r="P241" s="7">
        <v>20</v>
      </c>
      <c r="Q241" s="7">
        <v>0</v>
      </c>
      <c r="R241" s="7">
        <v>20</v>
      </c>
      <c r="S241" s="7">
        <v>0</v>
      </c>
      <c r="T241" s="7">
        <v>0</v>
      </c>
      <c r="U241" s="7">
        <v>0</v>
      </c>
      <c r="V241" s="7">
        <v>0</v>
      </c>
      <c r="W241" s="7">
        <v>0</v>
      </c>
      <c r="X241" s="7">
        <v>0</v>
      </c>
      <c r="Y241" s="7">
        <v>0</v>
      </c>
      <c r="Z241" s="7">
        <v>0</v>
      </c>
      <c r="AA241" s="7">
        <v>0</v>
      </c>
      <c r="AB241" s="7">
        <v>0</v>
      </c>
      <c r="AC241" s="7">
        <v>0</v>
      </c>
      <c r="AD241" s="7">
        <v>0</v>
      </c>
      <c r="AE241" s="7">
        <v>0</v>
      </c>
      <c r="AF241" s="7">
        <v>0</v>
      </c>
      <c r="AG241" s="7">
        <v>0</v>
      </c>
      <c r="AH241" s="7">
        <v>0</v>
      </c>
      <c r="AI241" s="7">
        <v>0</v>
      </c>
      <c r="AJ241" s="7">
        <v>0</v>
      </c>
      <c r="AK241" s="7">
        <v>0</v>
      </c>
      <c r="AL241" s="7" t="s">
        <v>51</v>
      </c>
      <c r="AM241" s="7" t="s">
        <v>270</v>
      </c>
      <c r="AN241" s="7" t="s">
        <v>2049</v>
      </c>
      <c r="AO241" s="7" t="s">
        <v>50</v>
      </c>
      <c r="AP241" s="7">
        <v>0</v>
      </c>
      <c r="AQ241" s="7">
        <v>0</v>
      </c>
      <c r="AR241" s="9">
        <v>0</v>
      </c>
      <c r="AS241" s="9">
        <v>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0</v>
      </c>
      <c r="BJ241" s="9">
        <v>0</v>
      </c>
      <c r="BK241" s="9">
        <v>1</v>
      </c>
      <c r="BL241" s="9">
        <v>0</v>
      </c>
      <c r="BM241" s="9">
        <v>0</v>
      </c>
      <c r="BN241" s="9">
        <v>0</v>
      </c>
      <c r="BO241" s="9">
        <v>0</v>
      </c>
      <c r="BP241" s="10" t="s">
        <v>50</v>
      </c>
      <c r="BQ241" s="9">
        <v>0</v>
      </c>
      <c r="BR241" s="10" t="s">
        <v>50</v>
      </c>
      <c r="BS241" s="9">
        <v>0</v>
      </c>
      <c r="BT241" s="10" t="s">
        <v>50</v>
      </c>
      <c r="BU241" s="9">
        <v>0</v>
      </c>
    </row>
    <row r="242" spans="1:73" ht="15.75" customHeight="1" x14ac:dyDescent="0.2">
      <c r="A242" s="3">
        <f t="shared" si="3"/>
        <v>240</v>
      </c>
      <c r="B242" s="3" t="s">
        <v>2984</v>
      </c>
      <c r="C242" s="3" t="s">
        <v>2812</v>
      </c>
      <c r="D242" s="25" t="s">
        <v>2813</v>
      </c>
      <c r="E242" s="4" t="s">
        <v>2808</v>
      </c>
      <c r="F242" s="3">
        <v>0</v>
      </c>
      <c r="G242" s="3">
        <v>0</v>
      </c>
      <c r="H242" s="3">
        <v>0</v>
      </c>
      <c r="I242" s="3">
        <v>0</v>
      </c>
      <c r="J242" s="3">
        <v>0</v>
      </c>
      <c r="K242" s="3">
        <v>1</v>
      </c>
      <c r="L242" s="3">
        <v>0</v>
      </c>
      <c r="M242" s="3">
        <v>10</v>
      </c>
      <c r="N242" s="3">
        <v>0</v>
      </c>
      <c r="O242" s="3">
        <v>0</v>
      </c>
      <c r="P242" s="3">
        <v>20</v>
      </c>
      <c r="Q242" s="3">
        <v>0</v>
      </c>
      <c r="R242" s="3">
        <v>20</v>
      </c>
      <c r="S242" s="3">
        <v>0</v>
      </c>
      <c r="T242" s="3">
        <v>0</v>
      </c>
      <c r="U242" s="3">
        <v>0</v>
      </c>
      <c r="V242" s="3">
        <v>0</v>
      </c>
      <c r="W242" s="3">
        <v>0</v>
      </c>
      <c r="X242" s="3">
        <v>0</v>
      </c>
      <c r="Y242" s="3">
        <v>0</v>
      </c>
      <c r="Z242" s="3">
        <v>0</v>
      </c>
      <c r="AA242" s="3">
        <v>0</v>
      </c>
      <c r="AB242" s="3">
        <v>0</v>
      </c>
      <c r="AC242" s="3">
        <v>0</v>
      </c>
      <c r="AD242" s="3">
        <v>0</v>
      </c>
      <c r="AE242" s="3">
        <v>0</v>
      </c>
      <c r="AF242" s="3">
        <v>0</v>
      </c>
      <c r="AG242" s="3">
        <v>0</v>
      </c>
      <c r="AH242" s="3">
        <v>0</v>
      </c>
      <c r="AI242" s="3">
        <v>0</v>
      </c>
      <c r="AJ242" s="3">
        <v>0</v>
      </c>
      <c r="AK242" s="3">
        <v>0</v>
      </c>
      <c r="AL242" s="3" t="s">
        <v>51</v>
      </c>
      <c r="AM242" s="3" t="s">
        <v>270</v>
      </c>
      <c r="AN242" s="3" t="s">
        <v>3039</v>
      </c>
      <c r="AO242" s="3" t="s">
        <v>50</v>
      </c>
      <c r="AP242" s="3">
        <v>0</v>
      </c>
      <c r="AQ242" s="3">
        <v>0</v>
      </c>
      <c r="AR242">
        <v>0</v>
      </c>
      <c r="AS242">
        <v>0</v>
      </c>
      <c r="AT242" s="6" t="s">
        <v>50</v>
      </c>
      <c r="AU242" s="6" t="s">
        <v>50</v>
      </c>
      <c r="AV242" s="6" t="s">
        <v>50</v>
      </c>
      <c r="AW242" s="6" t="s">
        <v>50</v>
      </c>
      <c r="AX242" s="6" t="s">
        <v>50</v>
      </c>
      <c r="AY242" s="6" t="s">
        <v>50</v>
      </c>
      <c r="AZ242" s="6" t="s">
        <v>50</v>
      </c>
      <c r="BA242" s="6" t="s">
        <v>50</v>
      </c>
      <c r="BB242" s="6" t="s">
        <v>50</v>
      </c>
      <c r="BC242" s="6" t="s">
        <v>50</v>
      </c>
      <c r="BD242" s="6" t="s">
        <v>50</v>
      </c>
      <c r="BE242" s="6" t="s">
        <v>50</v>
      </c>
      <c r="BF242" s="6" t="s">
        <v>50</v>
      </c>
      <c r="BG242" s="6" t="s">
        <v>50</v>
      </c>
      <c r="BH242" s="6" t="s">
        <v>50</v>
      </c>
      <c r="BI242">
        <v>1</v>
      </c>
      <c r="BJ242">
        <v>0</v>
      </c>
      <c r="BK242">
        <v>1</v>
      </c>
      <c r="BL242">
        <v>0</v>
      </c>
      <c r="BM242">
        <v>0</v>
      </c>
      <c r="BN242">
        <v>0</v>
      </c>
      <c r="BO242">
        <v>0</v>
      </c>
      <c r="BP242" s="6" t="s">
        <v>50</v>
      </c>
      <c r="BQ242">
        <v>0</v>
      </c>
      <c r="BR242" s="6" t="s">
        <v>50</v>
      </c>
      <c r="BS242">
        <v>0</v>
      </c>
      <c r="BT242" s="6" t="s">
        <v>50</v>
      </c>
      <c r="BU242">
        <v>0</v>
      </c>
    </row>
    <row r="243" spans="1:73" ht="15.75" customHeight="1" x14ac:dyDescent="0.2">
      <c r="A243" s="3">
        <f t="shared" si="3"/>
        <v>241</v>
      </c>
      <c r="B243" s="3" t="s">
        <v>2985</v>
      </c>
      <c r="C243" s="3" t="s">
        <v>2723</v>
      </c>
      <c r="D243" s="25" t="s">
        <v>2717</v>
      </c>
      <c r="E243" s="4" t="s">
        <v>2779</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2049</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50</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row>
    <row r="244" spans="1:73" ht="15.75" customHeight="1" x14ac:dyDescent="0.2">
      <c r="A244" s="3">
        <f t="shared" si="3"/>
        <v>242</v>
      </c>
      <c r="B244" s="3" t="s">
        <v>3473</v>
      </c>
      <c r="C244" s="3" t="s">
        <v>3406</v>
      </c>
      <c r="D244" s="25" t="s">
        <v>3430</v>
      </c>
      <c r="E244" s="4" t="s">
        <v>3458</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2049</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50</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row>
    <row r="245" spans="1:73" ht="15.75" customHeight="1" x14ac:dyDescent="0.2">
      <c r="A245" s="3">
        <f t="shared" si="3"/>
        <v>243</v>
      </c>
      <c r="B245" s="3" t="s">
        <v>3457</v>
      </c>
      <c r="C245" s="3" t="s">
        <v>3457</v>
      </c>
      <c r="D245" s="25" t="s">
        <v>3456</v>
      </c>
      <c r="E245" s="4" t="s">
        <v>3459</v>
      </c>
      <c r="F245" s="3">
        <v>0</v>
      </c>
      <c r="G245" s="3">
        <v>0</v>
      </c>
      <c r="H245" s="3">
        <v>0</v>
      </c>
      <c r="I245" s="3">
        <v>0</v>
      </c>
      <c r="J245" s="3">
        <v>0</v>
      </c>
      <c r="K245" s="3">
        <v>1</v>
      </c>
      <c r="L245" s="3">
        <v>0</v>
      </c>
      <c r="M245" s="3">
        <v>10</v>
      </c>
      <c r="N245" s="3">
        <v>0</v>
      </c>
      <c r="O245" s="3">
        <v>0</v>
      </c>
      <c r="P245" s="3">
        <v>20</v>
      </c>
      <c r="Q245" s="3">
        <v>0</v>
      </c>
      <c r="R245" s="3">
        <v>20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270</v>
      </c>
      <c r="AN245" s="3" t="s">
        <v>2049</v>
      </c>
      <c r="AO245" s="3" t="s">
        <v>50</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c r="BP245" s="6" t="s">
        <v>50</v>
      </c>
      <c r="BQ245">
        <v>0</v>
      </c>
      <c r="BR245" s="6" t="s">
        <v>50</v>
      </c>
      <c r="BS245">
        <v>0</v>
      </c>
      <c r="BT245" s="6" t="s">
        <v>50</v>
      </c>
      <c r="BU245">
        <v>0</v>
      </c>
    </row>
    <row r="246" spans="1:73" ht="15.75" customHeight="1" x14ac:dyDescent="0.2">
      <c r="A246" s="3">
        <f t="shared" si="3"/>
        <v>244</v>
      </c>
      <c r="B246" s="3" t="s">
        <v>3474</v>
      </c>
      <c r="C246" s="3" t="s">
        <v>3364</v>
      </c>
      <c r="D246" s="25" t="s">
        <v>3363</v>
      </c>
      <c r="E246" s="4" t="s">
        <v>3365</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2049</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row>
    <row r="247" spans="1:73" s="37" customFormat="1" ht="15.75" customHeight="1" x14ac:dyDescent="0.2">
      <c r="A247" s="34">
        <f t="shared" si="3"/>
        <v>245</v>
      </c>
      <c r="B247" s="34" t="s">
        <v>2079</v>
      </c>
      <c r="C247" s="34" t="s">
        <v>2725</v>
      </c>
      <c r="D247" s="39" t="s">
        <v>2781</v>
      </c>
      <c r="E247" s="39" t="s">
        <v>3530</v>
      </c>
      <c r="F247" s="34">
        <v>0</v>
      </c>
      <c r="G247" s="34">
        <v>0</v>
      </c>
      <c r="H247" s="34">
        <v>0</v>
      </c>
      <c r="I247" s="34">
        <v>50</v>
      </c>
      <c r="J247" s="34">
        <v>3</v>
      </c>
      <c r="K247" s="34">
        <v>1</v>
      </c>
      <c r="L247" s="34">
        <v>0</v>
      </c>
      <c r="M247" s="34">
        <v>0</v>
      </c>
      <c r="N247" s="34">
        <v>0</v>
      </c>
      <c r="O247" s="34">
        <v>0</v>
      </c>
      <c r="P247" s="34">
        <v>0</v>
      </c>
      <c r="Q247" s="34">
        <v>0</v>
      </c>
      <c r="R247" s="34">
        <v>0</v>
      </c>
      <c r="S247" s="34">
        <v>0</v>
      </c>
      <c r="T247" s="34">
        <v>0</v>
      </c>
      <c r="U247" s="34">
        <v>0</v>
      </c>
      <c r="V247" s="34">
        <v>0</v>
      </c>
      <c r="W247" s="34">
        <v>0</v>
      </c>
      <c r="X247" s="34">
        <v>0</v>
      </c>
      <c r="Y247" s="34">
        <v>0</v>
      </c>
      <c r="Z247" s="34">
        <v>0</v>
      </c>
      <c r="AA247" s="34">
        <v>0</v>
      </c>
      <c r="AB247" s="34">
        <v>0</v>
      </c>
      <c r="AC247" s="34">
        <v>0</v>
      </c>
      <c r="AD247" s="34">
        <v>0</v>
      </c>
      <c r="AE247" s="34">
        <v>0</v>
      </c>
      <c r="AF247" s="34">
        <v>0</v>
      </c>
      <c r="AG247" s="34">
        <v>0</v>
      </c>
      <c r="AH247" s="34">
        <v>0</v>
      </c>
      <c r="AI247" s="34">
        <v>0</v>
      </c>
      <c r="AJ247" s="34">
        <v>0</v>
      </c>
      <c r="AK247" s="34">
        <v>0</v>
      </c>
      <c r="AL247" s="34" t="s">
        <v>17</v>
      </c>
      <c r="AM247" s="34" t="s">
        <v>972</v>
      </c>
      <c r="AN247" s="34" t="s">
        <v>3490</v>
      </c>
      <c r="AO247" s="34" t="s">
        <v>50</v>
      </c>
      <c r="AP247" s="34">
        <v>0</v>
      </c>
      <c r="AQ247" s="34">
        <v>0</v>
      </c>
      <c r="AR247" s="37">
        <v>0</v>
      </c>
      <c r="AS247" s="37">
        <v>0</v>
      </c>
      <c r="AT247" s="38" t="s">
        <v>50</v>
      </c>
      <c r="AU247" s="38" t="s">
        <v>50</v>
      </c>
      <c r="AV247" s="38" t="s">
        <v>50</v>
      </c>
      <c r="AW247" s="38" t="s">
        <v>50</v>
      </c>
      <c r="AX247" s="38" t="s">
        <v>50</v>
      </c>
      <c r="AY247" s="38" t="s">
        <v>50</v>
      </c>
      <c r="AZ247" s="38" t="s">
        <v>50</v>
      </c>
      <c r="BA247" s="38" t="s">
        <v>50</v>
      </c>
      <c r="BB247" s="38" t="s">
        <v>50</v>
      </c>
      <c r="BC247" s="38" t="s">
        <v>50</v>
      </c>
      <c r="BD247" s="38" t="s">
        <v>50</v>
      </c>
      <c r="BE247" s="38" t="s">
        <v>50</v>
      </c>
      <c r="BF247" s="38" t="s">
        <v>50</v>
      </c>
      <c r="BG247" s="38" t="s">
        <v>50</v>
      </c>
      <c r="BH247" s="38" t="s">
        <v>50</v>
      </c>
      <c r="BI247" s="37">
        <v>1</v>
      </c>
      <c r="BJ247" s="37">
        <v>0</v>
      </c>
      <c r="BK247" s="37">
        <v>1</v>
      </c>
      <c r="BL247" s="37">
        <v>0</v>
      </c>
      <c r="BM247" s="37">
        <v>0</v>
      </c>
      <c r="BN247" s="37">
        <v>0</v>
      </c>
      <c r="BO247" s="37">
        <v>0</v>
      </c>
      <c r="BP247" s="38" t="s">
        <v>50</v>
      </c>
      <c r="BQ247" s="37">
        <v>0</v>
      </c>
      <c r="BR247" s="38" t="s">
        <v>50</v>
      </c>
      <c r="BS247" s="37">
        <v>0</v>
      </c>
      <c r="BT247" s="38" t="s">
        <v>50</v>
      </c>
      <c r="BU247" s="37">
        <v>0</v>
      </c>
    </row>
    <row r="248" spans="1:73" s="37" customFormat="1" ht="15.75" customHeight="1" x14ac:dyDescent="0.2">
      <c r="A248" s="34">
        <f t="shared" si="3"/>
        <v>246</v>
      </c>
      <c r="B248" s="34" t="s">
        <v>2079</v>
      </c>
      <c r="C248" s="34" t="s">
        <v>2726</v>
      </c>
      <c r="D248" s="39" t="s">
        <v>2780</v>
      </c>
      <c r="E248" s="39" t="s">
        <v>2067</v>
      </c>
      <c r="F248" s="34">
        <v>0</v>
      </c>
      <c r="G248" s="34">
        <v>0</v>
      </c>
      <c r="H248" s="34">
        <v>0</v>
      </c>
      <c r="I248" s="34">
        <v>50</v>
      </c>
      <c r="J248" s="34">
        <v>3</v>
      </c>
      <c r="K248" s="34">
        <v>1</v>
      </c>
      <c r="L248" s="34">
        <v>0</v>
      </c>
      <c r="M248" s="34">
        <v>0</v>
      </c>
      <c r="N248" s="34">
        <v>0</v>
      </c>
      <c r="O248" s="34">
        <v>0</v>
      </c>
      <c r="P248" s="34">
        <v>0</v>
      </c>
      <c r="Q248" s="34">
        <v>0</v>
      </c>
      <c r="R248" s="34">
        <v>0</v>
      </c>
      <c r="S248" s="34">
        <v>0</v>
      </c>
      <c r="T248" s="34">
        <v>0</v>
      </c>
      <c r="U248" s="34">
        <v>0</v>
      </c>
      <c r="V248" s="34">
        <v>0</v>
      </c>
      <c r="W248" s="34">
        <v>0</v>
      </c>
      <c r="X248" s="34">
        <v>0</v>
      </c>
      <c r="Y248" s="34">
        <v>0</v>
      </c>
      <c r="Z248" s="34">
        <v>0</v>
      </c>
      <c r="AA248" s="34">
        <v>0</v>
      </c>
      <c r="AB248" s="34">
        <v>0</v>
      </c>
      <c r="AC248" s="34">
        <v>0</v>
      </c>
      <c r="AD248" s="34">
        <v>0</v>
      </c>
      <c r="AE248" s="34">
        <v>0</v>
      </c>
      <c r="AF248" s="34">
        <v>0</v>
      </c>
      <c r="AG248" s="34">
        <v>0</v>
      </c>
      <c r="AH248" s="34">
        <v>0</v>
      </c>
      <c r="AI248" s="34">
        <v>0</v>
      </c>
      <c r="AJ248" s="34">
        <v>0</v>
      </c>
      <c r="AK248" s="34">
        <v>0</v>
      </c>
      <c r="AL248" s="34" t="s">
        <v>17</v>
      </c>
      <c r="AM248" s="34" t="s">
        <v>972</v>
      </c>
      <c r="AN248" s="34" t="s">
        <v>3490</v>
      </c>
      <c r="AO248" s="34" t="s">
        <v>50</v>
      </c>
      <c r="AP248" s="34">
        <v>0</v>
      </c>
      <c r="AQ248" s="34">
        <v>0</v>
      </c>
      <c r="AR248" s="37">
        <v>0</v>
      </c>
      <c r="AS248" s="37">
        <v>0</v>
      </c>
      <c r="AT248" s="38" t="s">
        <v>50</v>
      </c>
      <c r="AU248" s="38" t="s">
        <v>50</v>
      </c>
      <c r="AV248" s="38" t="s">
        <v>50</v>
      </c>
      <c r="AW248" s="38" t="s">
        <v>50</v>
      </c>
      <c r="AX248" s="38" t="s">
        <v>50</v>
      </c>
      <c r="AY248" s="38" t="s">
        <v>50</v>
      </c>
      <c r="AZ248" s="38" t="s">
        <v>50</v>
      </c>
      <c r="BA248" s="38" t="s">
        <v>50</v>
      </c>
      <c r="BB248" s="38" t="s">
        <v>50</v>
      </c>
      <c r="BC248" s="38" t="s">
        <v>50</v>
      </c>
      <c r="BD248" s="38" t="s">
        <v>50</v>
      </c>
      <c r="BE248" s="38" t="s">
        <v>50</v>
      </c>
      <c r="BF248" s="38" t="s">
        <v>50</v>
      </c>
      <c r="BG248" s="38" t="s">
        <v>50</v>
      </c>
      <c r="BH248" s="38" t="s">
        <v>50</v>
      </c>
      <c r="BI248" s="37">
        <v>1</v>
      </c>
      <c r="BJ248" s="37">
        <v>0</v>
      </c>
      <c r="BK248" s="37">
        <v>1</v>
      </c>
      <c r="BL248" s="37">
        <v>0</v>
      </c>
      <c r="BM248" s="37">
        <v>0</v>
      </c>
      <c r="BN248" s="37">
        <v>0</v>
      </c>
      <c r="BO248" s="37">
        <v>0</v>
      </c>
      <c r="BP248" s="38" t="s">
        <v>50</v>
      </c>
      <c r="BQ248" s="37">
        <v>0</v>
      </c>
      <c r="BR248" s="38" t="s">
        <v>50</v>
      </c>
      <c r="BS248" s="37">
        <v>0</v>
      </c>
      <c r="BT248" s="38" t="s">
        <v>50</v>
      </c>
      <c r="BU248" s="37">
        <v>0</v>
      </c>
    </row>
    <row r="249" spans="1:73" s="37" customFormat="1" ht="15.75" customHeight="1" x14ac:dyDescent="0.2">
      <c r="A249" s="34">
        <f t="shared" si="3"/>
        <v>247</v>
      </c>
      <c r="B249" s="34" t="s">
        <v>2079</v>
      </c>
      <c r="C249" s="34" t="s">
        <v>2727</v>
      </c>
      <c r="D249" s="39" t="s">
        <v>3568</v>
      </c>
      <c r="E249" s="39" t="s">
        <v>3569</v>
      </c>
      <c r="F249" s="34">
        <v>0</v>
      </c>
      <c r="G249" s="34">
        <v>0</v>
      </c>
      <c r="H249" s="34">
        <v>0</v>
      </c>
      <c r="I249" s="34">
        <v>50</v>
      </c>
      <c r="J249" s="34">
        <v>3</v>
      </c>
      <c r="K249" s="34">
        <v>1</v>
      </c>
      <c r="L249" s="34">
        <v>0</v>
      </c>
      <c r="M249" s="34">
        <v>0</v>
      </c>
      <c r="N249" s="34">
        <v>0</v>
      </c>
      <c r="O249" s="34">
        <v>0</v>
      </c>
      <c r="P249" s="34">
        <v>0</v>
      </c>
      <c r="Q249" s="34">
        <v>0</v>
      </c>
      <c r="R249" s="34">
        <v>0</v>
      </c>
      <c r="S249" s="34">
        <v>0</v>
      </c>
      <c r="T249" s="34">
        <v>0</v>
      </c>
      <c r="U249" s="34">
        <v>0</v>
      </c>
      <c r="V249" s="34">
        <v>0</v>
      </c>
      <c r="W249" s="34">
        <v>0</v>
      </c>
      <c r="X249" s="34">
        <v>0</v>
      </c>
      <c r="Y249" s="34">
        <v>0</v>
      </c>
      <c r="Z249" s="34">
        <v>0</v>
      </c>
      <c r="AA249" s="34">
        <v>0</v>
      </c>
      <c r="AB249" s="34">
        <v>0</v>
      </c>
      <c r="AC249" s="34">
        <v>0</v>
      </c>
      <c r="AD249" s="34">
        <v>0</v>
      </c>
      <c r="AE249" s="34">
        <v>0</v>
      </c>
      <c r="AF249" s="34">
        <v>0</v>
      </c>
      <c r="AG249" s="34">
        <v>0</v>
      </c>
      <c r="AH249" s="34">
        <v>0</v>
      </c>
      <c r="AI249" s="34">
        <v>0</v>
      </c>
      <c r="AJ249" s="34">
        <v>0</v>
      </c>
      <c r="AK249" s="34">
        <v>0</v>
      </c>
      <c r="AL249" s="34" t="s">
        <v>17</v>
      </c>
      <c r="AM249" s="34" t="s">
        <v>972</v>
      </c>
      <c r="AN249" s="34" t="s">
        <v>3490</v>
      </c>
      <c r="AO249" s="34" t="s">
        <v>50</v>
      </c>
      <c r="AP249" s="34">
        <v>0</v>
      </c>
      <c r="AQ249" s="34">
        <v>0</v>
      </c>
      <c r="AR249" s="37">
        <v>0</v>
      </c>
      <c r="AS249" s="37">
        <v>0</v>
      </c>
      <c r="AT249" s="38" t="s">
        <v>50</v>
      </c>
      <c r="AU249" s="38" t="s">
        <v>50</v>
      </c>
      <c r="AV249" s="38" t="s">
        <v>50</v>
      </c>
      <c r="AW249" s="38" t="s">
        <v>50</v>
      </c>
      <c r="AX249" s="38" t="s">
        <v>50</v>
      </c>
      <c r="AY249" s="38" t="s">
        <v>50</v>
      </c>
      <c r="AZ249" s="38" t="s">
        <v>50</v>
      </c>
      <c r="BA249" s="38" t="s">
        <v>50</v>
      </c>
      <c r="BB249" s="38" t="s">
        <v>50</v>
      </c>
      <c r="BC249" s="38" t="s">
        <v>50</v>
      </c>
      <c r="BD249" s="38" t="s">
        <v>50</v>
      </c>
      <c r="BE249" s="38" t="s">
        <v>50</v>
      </c>
      <c r="BF249" s="38" t="s">
        <v>50</v>
      </c>
      <c r="BG249" s="38" t="s">
        <v>50</v>
      </c>
      <c r="BH249" s="38" t="s">
        <v>50</v>
      </c>
      <c r="BI249" s="37">
        <v>1</v>
      </c>
      <c r="BJ249" s="37">
        <v>0</v>
      </c>
      <c r="BK249" s="37">
        <v>1</v>
      </c>
      <c r="BL249" s="37">
        <v>0</v>
      </c>
      <c r="BM249" s="37">
        <v>0</v>
      </c>
      <c r="BN249" s="37">
        <v>0</v>
      </c>
      <c r="BO249" s="37">
        <v>0</v>
      </c>
      <c r="BP249" s="38" t="s">
        <v>50</v>
      </c>
      <c r="BQ249" s="37">
        <v>0</v>
      </c>
      <c r="BR249" s="38" t="s">
        <v>50</v>
      </c>
      <c r="BS249" s="37">
        <v>0</v>
      </c>
      <c r="BT249" s="38" t="s">
        <v>50</v>
      </c>
      <c r="BU249" s="37">
        <v>0</v>
      </c>
    </row>
    <row r="250" spans="1:73" ht="15.75" customHeight="1" x14ac:dyDescent="0.2">
      <c r="A250" s="3">
        <f t="shared" si="3"/>
        <v>248</v>
      </c>
      <c r="B250" s="3" t="s">
        <v>382</v>
      </c>
      <c r="C250" s="3" t="s">
        <v>246</v>
      </c>
      <c r="D250" s="25" t="s">
        <v>254</v>
      </c>
      <c r="E250" s="4" t="s">
        <v>240</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972</v>
      </c>
      <c r="AN250" s="3" t="s">
        <v>1988</v>
      </c>
      <c r="AO250" s="3" t="s">
        <v>1847</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row>
    <row r="251" spans="1:73" ht="15.75" customHeight="1" x14ac:dyDescent="0.2">
      <c r="A251" s="3">
        <f t="shared" si="3"/>
        <v>249</v>
      </c>
      <c r="B251" s="3" t="s">
        <v>382</v>
      </c>
      <c r="C251" s="3" t="s">
        <v>507</v>
      </c>
      <c r="D251" s="25" t="s">
        <v>508</v>
      </c>
      <c r="E251" s="4" t="s">
        <v>509</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972</v>
      </c>
      <c r="AN251" s="3" t="s">
        <v>1988</v>
      </c>
      <c r="AO251" s="3" t="s">
        <v>1847</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c r="BP251" s="6" t="s">
        <v>50</v>
      </c>
      <c r="BQ251">
        <v>0</v>
      </c>
      <c r="BR251" s="6" t="s">
        <v>50</v>
      </c>
      <c r="BS251">
        <v>0</v>
      </c>
      <c r="BT251" s="6" t="s">
        <v>50</v>
      </c>
      <c r="BU251">
        <v>0</v>
      </c>
    </row>
    <row r="252" spans="1:73" ht="15.75" customHeight="1" x14ac:dyDescent="0.2">
      <c r="A252" s="3">
        <f t="shared" si="3"/>
        <v>250</v>
      </c>
      <c r="B252" s="3" t="s">
        <v>3119</v>
      </c>
      <c r="C252" s="3" t="s">
        <v>1877</v>
      </c>
      <c r="D252" s="25" t="s">
        <v>1875</v>
      </c>
      <c r="E252" s="4" t="s">
        <v>1876</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972</v>
      </c>
      <c r="AN252" s="3" t="s">
        <v>1988</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row>
    <row r="253" spans="1:73" ht="15.75" customHeight="1" x14ac:dyDescent="0.2">
      <c r="A253" s="3">
        <f t="shared" si="3"/>
        <v>251</v>
      </c>
      <c r="B253" s="3" t="s">
        <v>382</v>
      </c>
      <c r="C253" s="3" t="s">
        <v>2749</v>
      </c>
      <c r="D253" s="25" t="s">
        <v>2769</v>
      </c>
      <c r="E253" s="4" t="s">
        <v>2896</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972</v>
      </c>
      <c r="AN253" s="3" t="s">
        <v>1988</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row>
    <row r="254" spans="1:73" ht="15.75" customHeight="1" x14ac:dyDescent="0.2">
      <c r="A254" s="3">
        <f t="shared" si="3"/>
        <v>252</v>
      </c>
      <c r="B254" s="3" t="s">
        <v>2967</v>
      </c>
      <c r="C254" s="3" t="s">
        <v>2756</v>
      </c>
      <c r="D254" s="25" t="s">
        <v>2755</v>
      </c>
      <c r="E254" s="4" t="s">
        <v>2754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972</v>
      </c>
      <c r="AN254" s="3" t="s">
        <v>1988</v>
      </c>
      <c r="AO254" s="3" t="s">
        <v>50</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c r="BP254" s="6" t="s">
        <v>50</v>
      </c>
      <c r="BQ254">
        <v>0</v>
      </c>
      <c r="BR254" s="6" t="s">
        <v>50</v>
      </c>
      <c r="BS254">
        <v>0</v>
      </c>
      <c r="BT254" s="6" t="s">
        <v>50</v>
      </c>
      <c r="BU254">
        <v>0</v>
      </c>
    </row>
    <row r="255" spans="1:73" ht="15.75" customHeight="1" x14ac:dyDescent="0.2">
      <c r="A255" s="3">
        <f t="shared" si="3"/>
        <v>253</v>
      </c>
      <c r="B255" s="3" t="s">
        <v>2778</v>
      </c>
      <c r="C255" s="3" t="s">
        <v>2778</v>
      </c>
      <c r="D255" s="25" t="s">
        <v>2774</v>
      </c>
      <c r="E255" s="4" t="s">
        <v>2773</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972</v>
      </c>
      <c r="AN255" s="3" t="s">
        <v>1988</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row>
    <row r="256" spans="1:73" ht="15.75" customHeight="1" x14ac:dyDescent="0.2">
      <c r="A256" s="3">
        <f t="shared" si="3"/>
        <v>254</v>
      </c>
      <c r="B256" s="3" t="s">
        <v>2772</v>
      </c>
      <c r="C256" s="3" t="s">
        <v>2772</v>
      </c>
      <c r="D256" s="25" t="s">
        <v>2770</v>
      </c>
      <c r="E256" s="4" t="s">
        <v>2771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972</v>
      </c>
      <c r="AN256" s="3" t="s">
        <v>1988</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row>
    <row r="257" spans="1:73" ht="15.75" customHeight="1" x14ac:dyDescent="0.2">
      <c r="A257" s="3">
        <f t="shared" si="3"/>
        <v>255</v>
      </c>
      <c r="B257" s="3" t="s">
        <v>59</v>
      </c>
      <c r="C257" s="3" t="s">
        <v>59</v>
      </c>
      <c r="D257" s="25" t="s">
        <v>2757</v>
      </c>
      <c r="E257" s="4" t="s">
        <v>2897</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972</v>
      </c>
      <c r="AN257" s="3" t="s">
        <v>1988</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row>
    <row r="258" spans="1:73" ht="15.75" customHeight="1" x14ac:dyDescent="0.2">
      <c r="A258" s="3">
        <f t="shared" si="3"/>
        <v>256</v>
      </c>
      <c r="B258" s="3" t="s">
        <v>2775</v>
      </c>
      <c r="C258" s="3" t="s">
        <v>2775</v>
      </c>
      <c r="D258" s="25" t="s">
        <v>216</v>
      </c>
      <c r="E258" s="4" t="s">
        <v>2921</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972</v>
      </c>
      <c r="AN258" s="3" t="s">
        <v>1988</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row>
    <row r="259" spans="1:73" ht="15.75" customHeight="1" x14ac:dyDescent="0.2">
      <c r="A259" s="3">
        <f t="shared" si="3"/>
        <v>257</v>
      </c>
      <c r="B259" s="3" t="s">
        <v>1486</v>
      </c>
      <c r="C259" s="3" t="s">
        <v>1421</v>
      </c>
      <c r="D259" s="25" t="s">
        <v>1420</v>
      </c>
      <c r="E259" s="4" t="s">
        <v>1422</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972</v>
      </c>
      <c r="AN259" s="3" t="s">
        <v>1988</v>
      </c>
      <c r="AO259" s="3" t="s">
        <v>1847</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row>
    <row r="260" spans="1:73" ht="15.75" customHeight="1" x14ac:dyDescent="0.2">
      <c r="A260" s="3">
        <f t="shared" si="3"/>
        <v>258</v>
      </c>
      <c r="B260" s="3" t="s">
        <v>1138</v>
      </c>
      <c r="C260" s="3" t="s">
        <v>1138</v>
      </c>
      <c r="D260" s="25" t="s">
        <v>1140</v>
      </c>
      <c r="E260" s="4" t="s">
        <v>1139</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972</v>
      </c>
      <c r="AN260" s="3" t="s">
        <v>1988</v>
      </c>
      <c r="AO260" s="3" t="s">
        <v>1847</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row>
    <row r="261" spans="1:73" ht="15.75" customHeight="1" x14ac:dyDescent="0.2">
      <c r="A261" s="3">
        <f t="shared" si="3"/>
        <v>259</v>
      </c>
      <c r="B261" s="3" t="s">
        <v>3345</v>
      </c>
      <c r="C261" s="3" t="s">
        <v>3222</v>
      </c>
      <c r="D261" s="25" t="s">
        <v>3216</v>
      </c>
      <c r="E261" s="4" t="s">
        <v>3220</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1988</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row>
    <row r="262" spans="1:73" ht="15.75" customHeight="1" x14ac:dyDescent="0.2">
      <c r="A262" s="3">
        <f t="shared" ref="A262:A309" si="4">ROW()-2</f>
        <v>260</v>
      </c>
      <c r="B262" s="3" t="s">
        <v>3353</v>
      </c>
      <c r="C262" s="3" t="s">
        <v>3219</v>
      </c>
      <c r="D262" s="25" t="s">
        <v>3221</v>
      </c>
      <c r="E262" s="4" t="s">
        <v>3223</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270</v>
      </c>
      <c r="AN262" s="3" t="s">
        <v>1988</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c r="BP262" s="6" t="s">
        <v>50</v>
      </c>
      <c r="BQ262">
        <v>0</v>
      </c>
      <c r="BR262" s="6" t="s">
        <v>50</v>
      </c>
      <c r="BS262">
        <v>0</v>
      </c>
      <c r="BT262" s="6" t="s">
        <v>50</v>
      </c>
      <c r="BU262">
        <v>0</v>
      </c>
    </row>
    <row r="263" spans="1:73" ht="15.75" customHeight="1" x14ac:dyDescent="0.2">
      <c r="A263" s="3">
        <f t="shared" si="4"/>
        <v>261</v>
      </c>
      <c r="B263" s="3" t="s">
        <v>2760</v>
      </c>
      <c r="C263" s="3" t="s">
        <v>2760</v>
      </c>
      <c r="D263" s="25" t="s">
        <v>2758</v>
      </c>
      <c r="E263" s="4" t="s">
        <v>2759</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972</v>
      </c>
      <c r="AN263" s="3" t="s">
        <v>2872</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c r="BP263" s="6" t="s">
        <v>50</v>
      </c>
      <c r="BQ263">
        <v>0</v>
      </c>
      <c r="BR263" s="6" t="s">
        <v>50</v>
      </c>
      <c r="BS263">
        <v>0</v>
      </c>
      <c r="BT263" s="6" t="s">
        <v>50</v>
      </c>
      <c r="BU263">
        <v>0</v>
      </c>
    </row>
    <row r="264" spans="1:73" ht="15.75" customHeight="1" x14ac:dyDescent="0.2">
      <c r="A264" s="3">
        <f t="shared" si="4"/>
        <v>262</v>
      </c>
      <c r="B264" s="3" t="s">
        <v>2894</v>
      </c>
      <c r="C264" s="3" t="s">
        <v>2894</v>
      </c>
      <c r="D264" s="25" t="s">
        <v>2893</v>
      </c>
      <c r="E264" s="4" t="s">
        <v>2895</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51</v>
      </c>
      <c r="AM264" s="3" t="s">
        <v>972</v>
      </c>
      <c r="AN264" s="3" t="s">
        <v>2872</v>
      </c>
      <c r="AO264" s="3" t="s">
        <v>50</v>
      </c>
      <c r="AP264" s="3">
        <v>0</v>
      </c>
      <c r="AQ264" s="3">
        <v>0</v>
      </c>
      <c r="AR264">
        <v>0</v>
      </c>
      <c r="AS264">
        <v>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1</v>
      </c>
      <c r="BP264" s="6" t="s">
        <v>50</v>
      </c>
      <c r="BQ264">
        <v>0</v>
      </c>
      <c r="BR264" s="6" t="s">
        <v>50</v>
      </c>
      <c r="BS264">
        <v>0</v>
      </c>
      <c r="BT264" s="6" t="s">
        <v>50</v>
      </c>
      <c r="BU264">
        <v>0</v>
      </c>
    </row>
    <row r="265" spans="1:73" ht="15.75" customHeight="1" x14ac:dyDescent="0.2">
      <c r="A265" s="3">
        <f t="shared" si="4"/>
        <v>263</v>
      </c>
      <c r="B265" s="3" t="s">
        <v>2861</v>
      </c>
      <c r="C265" s="3" t="s">
        <v>2861</v>
      </c>
      <c r="D265" s="25" t="s">
        <v>2860</v>
      </c>
      <c r="E265" s="4" t="s">
        <v>2862</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3037</v>
      </c>
      <c r="AO265" s="3" t="s">
        <v>50</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row>
    <row r="266" spans="1:73" ht="15.75" customHeight="1" x14ac:dyDescent="0.2">
      <c r="A266" s="3">
        <f t="shared" si="4"/>
        <v>264</v>
      </c>
      <c r="B266" s="3" t="s">
        <v>2863</v>
      </c>
      <c r="C266" s="3" t="s">
        <v>2863</v>
      </c>
      <c r="D266" s="25" t="s">
        <v>2864</v>
      </c>
      <c r="E266" s="4" t="s">
        <v>2865</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3037</v>
      </c>
      <c r="AO266" s="3" t="s">
        <v>50</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row>
    <row r="267" spans="1:73" ht="15.75" customHeight="1" x14ac:dyDescent="0.2">
      <c r="A267" s="3">
        <f t="shared" si="4"/>
        <v>265</v>
      </c>
      <c r="B267" s="3" t="s">
        <v>2882</v>
      </c>
      <c r="C267" s="3" t="s">
        <v>2882</v>
      </c>
      <c r="D267" s="25" t="s">
        <v>2883</v>
      </c>
      <c r="E267" s="4" t="s">
        <v>2886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3657</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row>
    <row r="268" spans="1:73" ht="15.75" customHeight="1" x14ac:dyDescent="0.2">
      <c r="A268" s="3">
        <f t="shared" si="4"/>
        <v>266</v>
      </c>
      <c r="B268" s="3" t="s">
        <v>2884</v>
      </c>
      <c r="C268" s="3" t="s">
        <v>2884</v>
      </c>
      <c r="D268" s="25" t="s">
        <v>2885</v>
      </c>
      <c r="E268" s="4" t="s">
        <v>2887</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3657</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row>
    <row r="269" spans="1:73" ht="15.75" customHeight="1" x14ac:dyDescent="0.2">
      <c r="A269" s="3">
        <f t="shared" si="4"/>
        <v>267</v>
      </c>
      <c r="B269" s="3" t="s">
        <v>2848</v>
      </c>
      <c r="C269" s="3" t="s">
        <v>2848</v>
      </c>
      <c r="D269" s="5" t="s">
        <v>2847</v>
      </c>
      <c r="E269" s="5" t="s">
        <v>2880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972</v>
      </c>
      <c r="AN269" s="3" t="s">
        <v>2874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row>
    <row r="270" spans="1:73" ht="15.75" customHeight="1" x14ac:dyDescent="0.2">
      <c r="A270" s="3">
        <f t="shared" si="4"/>
        <v>268</v>
      </c>
      <c r="B270" s="3" t="s">
        <v>2853</v>
      </c>
      <c r="C270" s="3" t="s">
        <v>2853</v>
      </c>
      <c r="D270" s="5" t="s">
        <v>2852</v>
      </c>
      <c r="E270" s="5" t="s">
        <v>2879</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972</v>
      </c>
      <c r="AN270" s="3" t="s">
        <v>2874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row>
    <row r="271" spans="1:73" ht="15.75" customHeight="1" x14ac:dyDescent="0.2">
      <c r="A271" s="3">
        <f t="shared" si="4"/>
        <v>269</v>
      </c>
      <c r="B271" s="3" t="s">
        <v>3199</v>
      </c>
      <c r="C271" s="3" t="s">
        <v>3199</v>
      </c>
      <c r="D271" s="5" t="s">
        <v>3200</v>
      </c>
      <c r="E271" s="5" t="s">
        <v>3201</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17</v>
      </c>
      <c r="AM271" s="3" t="s">
        <v>972</v>
      </c>
      <c r="AN271" s="3" t="s">
        <v>3202</v>
      </c>
      <c r="AO271" s="3" t="s">
        <v>50</v>
      </c>
      <c r="AP271" s="3">
        <v>0</v>
      </c>
      <c r="AQ271" s="3">
        <v>0</v>
      </c>
      <c r="AR271">
        <v>0</v>
      </c>
      <c r="AS271">
        <v>2</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row>
    <row r="272" spans="1:73" ht="15.75" customHeight="1" x14ac:dyDescent="0.2">
      <c r="A272" s="3">
        <f t="shared" si="4"/>
        <v>270</v>
      </c>
      <c r="B272" s="3" t="s">
        <v>2854</v>
      </c>
      <c r="C272" s="3" t="s">
        <v>2854</v>
      </c>
      <c r="D272" s="27" t="s">
        <v>2986</v>
      </c>
      <c r="E272" s="5" t="s">
        <v>2855</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17</v>
      </c>
      <c r="AM272" s="3" t="s">
        <v>972</v>
      </c>
      <c r="AN272" s="3" t="s">
        <v>3037</v>
      </c>
      <c r="AO272" s="3" t="s">
        <v>50</v>
      </c>
      <c r="AP272" s="3">
        <v>0</v>
      </c>
      <c r="AQ272" s="3">
        <v>0</v>
      </c>
      <c r="AR272" s="3">
        <v>0</v>
      </c>
      <c r="AS272">
        <v>2</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row>
    <row r="273" spans="1:73" s="9" customFormat="1" ht="15.75" customHeight="1" x14ac:dyDescent="0.2">
      <c r="A273" s="7">
        <f t="shared" si="4"/>
        <v>271</v>
      </c>
      <c r="B273" s="7" t="s">
        <v>2848</v>
      </c>
      <c r="C273" s="7" t="s">
        <v>2871</v>
      </c>
      <c r="D273" s="8" t="s">
        <v>2870</v>
      </c>
      <c r="E273" s="8" t="s">
        <v>2878</v>
      </c>
      <c r="F273" s="7">
        <v>0</v>
      </c>
      <c r="G273" s="7">
        <v>0</v>
      </c>
      <c r="H273" s="7">
        <v>0</v>
      </c>
      <c r="I273" s="7">
        <v>0</v>
      </c>
      <c r="J273" s="7">
        <v>0</v>
      </c>
      <c r="K273" s="7">
        <v>1</v>
      </c>
      <c r="L273" s="7">
        <v>0</v>
      </c>
      <c r="M273" s="7">
        <v>0</v>
      </c>
      <c r="N273" s="7">
        <v>0</v>
      </c>
      <c r="O273" s="7">
        <v>0</v>
      </c>
      <c r="P273" s="7">
        <v>0</v>
      </c>
      <c r="Q273" s="7">
        <v>0</v>
      </c>
      <c r="R273" s="7">
        <v>0</v>
      </c>
      <c r="S273" s="7">
        <v>0</v>
      </c>
      <c r="T273" s="7">
        <v>0</v>
      </c>
      <c r="U273" s="7">
        <v>0</v>
      </c>
      <c r="V273" s="7">
        <v>0</v>
      </c>
      <c r="W273" s="7">
        <v>0</v>
      </c>
      <c r="X273" s="7">
        <v>0</v>
      </c>
      <c r="Y273" s="7">
        <v>0</v>
      </c>
      <c r="Z273" s="7">
        <v>0</v>
      </c>
      <c r="AA273" s="7">
        <v>0</v>
      </c>
      <c r="AB273" s="7">
        <v>0</v>
      </c>
      <c r="AC273" s="7">
        <v>0</v>
      </c>
      <c r="AD273" s="7">
        <v>0</v>
      </c>
      <c r="AE273" s="7">
        <v>0</v>
      </c>
      <c r="AF273" s="7">
        <v>0</v>
      </c>
      <c r="AG273" s="7">
        <v>0</v>
      </c>
      <c r="AH273" s="7">
        <v>0</v>
      </c>
      <c r="AI273" s="7">
        <v>0</v>
      </c>
      <c r="AJ273" s="7">
        <v>0</v>
      </c>
      <c r="AK273" s="7">
        <v>0</v>
      </c>
      <c r="AL273" s="7" t="s">
        <v>17</v>
      </c>
      <c r="AM273" s="7" t="s">
        <v>972</v>
      </c>
      <c r="AN273" s="7" t="s">
        <v>2874</v>
      </c>
      <c r="AO273" s="7" t="s">
        <v>50</v>
      </c>
      <c r="AP273" s="7">
        <v>0</v>
      </c>
      <c r="AQ273" s="7">
        <v>0</v>
      </c>
      <c r="AR273" s="9">
        <v>0</v>
      </c>
      <c r="AS273" s="9">
        <v>2</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0</v>
      </c>
      <c r="BJ273" s="9">
        <v>0</v>
      </c>
      <c r="BK273" s="9">
        <v>1</v>
      </c>
      <c r="BL273" s="9">
        <v>0</v>
      </c>
      <c r="BM273" s="9">
        <v>0</v>
      </c>
      <c r="BN273" s="9">
        <v>0</v>
      </c>
      <c r="BO273" s="9">
        <v>0</v>
      </c>
      <c r="BP273" s="10" t="s">
        <v>50</v>
      </c>
      <c r="BQ273" s="9">
        <v>0</v>
      </c>
      <c r="BR273" s="10" t="s">
        <v>50</v>
      </c>
      <c r="BS273" s="9">
        <v>0</v>
      </c>
      <c r="BT273" s="10" t="s">
        <v>50</v>
      </c>
      <c r="BU273" s="9">
        <v>0</v>
      </c>
    </row>
    <row r="274" spans="1:73" ht="15.75" customHeight="1" x14ac:dyDescent="0.2">
      <c r="A274" s="3">
        <f t="shared" si="4"/>
        <v>272</v>
      </c>
      <c r="B274" s="3" t="s">
        <v>2909</v>
      </c>
      <c r="C274" s="3" t="s">
        <v>2909</v>
      </c>
      <c r="D274" s="5" t="s">
        <v>2908</v>
      </c>
      <c r="E274" s="5" t="s">
        <v>2910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17</v>
      </c>
      <c r="AM274" s="3" t="s">
        <v>972</v>
      </c>
      <c r="AN274" s="3" t="s">
        <v>972</v>
      </c>
      <c r="AO274" s="3" t="s">
        <v>50</v>
      </c>
      <c r="AP274" s="3">
        <v>0</v>
      </c>
      <c r="AQ274" s="3">
        <v>0</v>
      </c>
      <c r="AR274">
        <v>0</v>
      </c>
      <c r="AS274">
        <v>2</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row>
    <row r="275" spans="1:73" ht="15.75" customHeight="1" x14ac:dyDescent="0.2">
      <c r="A275" s="3">
        <f t="shared" si="4"/>
        <v>273</v>
      </c>
      <c r="B275" s="3" t="s">
        <v>3498</v>
      </c>
      <c r="C275" s="3" t="s">
        <v>2916</v>
      </c>
      <c r="D275" s="5" t="s">
        <v>2915</v>
      </c>
      <c r="E275" s="5" t="s">
        <v>2917</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17</v>
      </c>
      <c r="AM275" s="3" t="s">
        <v>972</v>
      </c>
      <c r="AN275" s="3" t="s">
        <v>972</v>
      </c>
      <c r="AO275" s="3" t="s">
        <v>50</v>
      </c>
      <c r="AP275" s="3">
        <v>0</v>
      </c>
      <c r="AQ275" s="3">
        <v>0</v>
      </c>
      <c r="AR275">
        <v>0</v>
      </c>
      <c r="AS275">
        <v>2</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row>
    <row r="276" spans="1:73" ht="15.75" customHeight="1" x14ac:dyDescent="0.2">
      <c r="A276" s="3">
        <f t="shared" si="4"/>
        <v>274</v>
      </c>
      <c r="B276" s="3" t="s">
        <v>334</v>
      </c>
      <c r="C276" s="3" t="s">
        <v>334</v>
      </c>
      <c r="D276" s="25" t="s">
        <v>1067</v>
      </c>
      <c r="E276" s="4" t="s">
        <v>1117</v>
      </c>
      <c r="F276" s="3">
        <v>1</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-50</v>
      </c>
      <c r="Y276" s="3">
        <v>0</v>
      </c>
      <c r="Z276" s="3">
        <v>0</v>
      </c>
      <c r="AA276" s="3">
        <v>0</v>
      </c>
      <c r="AB276" s="3">
        <v>0</v>
      </c>
      <c r="AC276" s="3">
        <v>0</v>
      </c>
      <c r="AD276" s="3">
        <v>0</v>
      </c>
      <c r="AE276" s="3">
        <v>0</v>
      </c>
      <c r="AF276" s="3">
        <v>0</v>
      </c>
      <c r="AG276" s="3">
        <v>0</v>
      </c>
      <c r="AH276" s="3">
        <v>0</v>
      </c>
      <c r="AI276" s="3">
        <v>0</v>
      </c>
      <c r="AJ276" s="3">
        <v>0</v>
      </c>
      <c r="AK276" s="3">
        <v>0</v>
      </c>
      <c r="AL276" s="3" t="s">
        <v>51</v>
      </c>
      <c r="AM276" s="3" t="s">
        <v>972</v>
      </c>
      <c r="AN276" s="3" t="s">
        <v>972</v>
      </c>
      <c r="AO276" s="3" t="s">
        <v>1847</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row>
    <row r="277" spans="1:73" ht="15.75" customHeight="1" x14ac:dyDescent="0.2">
      <c r="A277" s="3">
        <f t="shared" si="4"/>
        <v>275</v>
      </c>
      <c r="B277" s="3" t="s">
        <v>1118</v>
      </c>
      <c r="C277" s="3" t="s">
        <v>1118</v>
      </c>
      <c r="D277" s="25" t="s">
        <v>1119</v>
      </c>
      <c r="E277" s="4" t="s">
        <v>1120</v>
      </c>
      <c r="F277" s="3">
        <v>1</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-50</v>
      </c>
      <c r="Y277" s="3">
        <v>0</v>
      </c>
      <c r="Z277" s="3">
        <v>0</v>
      </c>
      <c r="AA277" s="3">
        <v>0</v>
      </c>
      <c r="AB277" s="3">
        <v>0</v>
      </c>
      <c r="AC277" s="3">
        <v>0</v>
      </c>
      <c r="AD277" s="3">
        <v>0</v>
      </c>
      <c r="AE277" s="3">
        <v>0</v>
      </c>
      <c r="AF277" s="3">
        <v>0</v>
      </c>
      <c r="AG277" s="3">
        <v>0</v>
      </c>
      <c r="AH277" s="3">
        <v>0</v>
      </c>
      <c r="AI277" s="3">
        <v>0</v>
      </c>
      <c r="AJ277" s="3">
        <v>0</v>
      </c>
      <c r="AK277" s="3">
        <v>0</v>
      </c>
      <c r="AL277" s="3" t="s">
        <v>51</v>
      </c>
      <c r="AM277" s="3" t="s">
        <v>972</v>
      </c>
      <c r="AN277" s="3" t="s">
        <v>972</v>
      </c>
      <c r="AO277" s="3" t="s">
        <v>1847</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row>
    <row r="278" spans="1:73" ht="15.75" customHeight="1" x14ac:dyDescent="0.2">
      <c r="A278" s="3">
        <f t="shared" si="4"/>
        <v>276</v>
      </c>
      <c r="B278" s="3" t="s">
        <v>3415</v>
      </c>
      <c r="C278" s="3" t="s">
        <v>3415</v>
      </c>
      <c r="D278" s="25" t="s">
        <v>3414</v>
      </c>
      <c r="E278" s="4" t="s">
        <v>3416</v>
      </c>
      <c r="F278" s="3">
        <v>1</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-50</v>
      </c>
      <c r="Y278" s="3">
        <v>0</v>
      </c>
      <c r="Z278" s="3">
        <v>0</v>
      </c>
      <c r="AA278" s="3">
        <v>0</v>
      </c>
      <c r="AB278" s="3">
        <v>0</v>
      </c>
      <c r="AC278" s="3">
        <v>0</v>
      </c>
      <c r="AD278" s="3">
        <v>0</v>
      </c>
      <c r="AE278" s="3">
        <v>0</v>
      </c>
      <c r="AF278" s="3">
        <v>0</v>
      </c>
      <c r="AG278" s="3">
        <v>0</v>
      </c>
      <c r="AH278" s="3">
        <v>0</v>
      </c>
      <c r="AI278" s="3">
        <v>0</v>
      </c>
      <c r="AJ278" s="3">
        <v>0</v>
      </c>
      <c r="AK278" s="3">
        <v>0</v>
      </c>
      <c r="AL278" s="3" t="s">
        <v>51</v>
      </c>
      <c r="AM278" s="3" t="s">
        <v>972</v>
      </c>
      <c r="AN278" s="3" t="s">
        <v>972</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c r="BP278" s="6" t="s">
        <v>50</v>
      </c>
      <c r="BQ278">
        <v>0</v>
      </c>
      <c r="BR278" s="6" t="s">
        <v>50</v>
      </c>
      <c r="BS278">
        <v>0</v>
      </c>
      <c r="BT278" s="6" t="s">
        <v>50</v>
      </c>
      <c r="BU278">
        <v>0</v>
      </c>
    </row>
    <row r="279" spans="1:73" ht="15.75" customHeight="1" x14ac:dyDescent="0.2">
      <c r="A279" s="3">
        <f t="shared" si="4"/>
        <v>277</v>
      </c>
      <c r="B279" s="3" t="s">
        <v>1077</v>
      </c>
      <c r="C279" s="3" t="s">
        <v>1077</v>
      </c>
      <c r="D279" s="25" t="s">
        <v>1076</v>
      </c>
      <c r="E279" s="4" t="s">
        <v>2794</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972</v>
      </c>
      <c r="AN279" s="3" t="s">
        <v>2060</v>
      </c>
      <c r="AO279" s="3" t="s">
        <v>1847</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c r="BP279" s="6" t="s">
        <v>50</v>
      </c>
      <c r="BQ279">
        <v>0</v>
      </c>
      <c r="BR279" s="6" t="s">
        <v>50</v>
      </c>
      <c r="BS279">
        <v>0</v>
      </c>
      <c r="BT279" s="6" t="s">
        <v>50</v>
      </c>
      <c r="BU279">
        <v>0</v>
      </c>
    </row>
    <row r="280" spans="1:73" ht="15.75" customHeight="1" x14ac:dyDescent="0.2">
      <c r="A280" s="3">
        <f t="shared" si="4"/>
        <v>278</v>
      </c>
      <c r="B280" s="3" t="s">
        <v>1096</v>
      </c>
      <c r="C280" s="3" t="s">
        <v>1096</v>
      </c>
      <c r="D280" s="25" t="s">
        <v>1097</v>
      </c>
      <c r="E280" s="4" t="s">
        <v>1098</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2060</v>
      </c>
      <c r="AO280" s="3" t="s">
        <v>1847</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row>
    <row r="281" spans="1:73" ht="15.75" customHeight="1" x14ac:dyDescent="0.2">
      <c r="A281" s="3">
        <f t="shared" si="4"/>
        <v>279</v>
      </c>
      <c r="B281" s="3" t="s">
        <v>2795</v>
      </c>
      <c r="C281" s="3" t="s">
        <v>2795</v>
      </c>
      <c r="D281" s="25" t="s">
        <v>2796</v>
      </c>
      <c r="E281" s="4" t="s">
        <v>2797</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2060</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row>
    <row r="282" spans="1:73" ht="15.75" customHeight="1" x14ac:dyDescent="0.2">
      <c r="A282" s="3">
        <f t="shared" si="4"/>
        <v>280</v>
      </c>
      <c r="B282" s="3" t="s">
        <v>2938</v>
      </c>
      <c r="C282" s="3" t="s">
        <v>2938</v>
      </c>
      <c r="D282" s="25" t="s">
        <v>2939</v>
      </c>
      <c r="E282" s="4" t="s">
        <v>2944</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2060</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row>
    <row r="283" spans="1:73" ht="15.75" customHeight="1" x14ac:dyDescent="0.2">
      <c r="A283" s="3">
        <f t="shared" si="4"/>
        <v>281</v>
      </c>
      <c r="B283" s="3" t="s">
        <v>3188</v>
      </c>
      <c r="C283" s="3" t="s">
        <v>3188</v>
      </c>
      <c r="D283" s="25" t="s">
        <v>3189</v>
      </c>
      <c r="E283" s="4" t="s">
        <v>3190</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2060</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row>
    <row r="284" spans="1:73" ht="15.75" customHeight="1" x14ac:dyDescent="0.2">
      <c r="A284" s="3">
        <f t="shared" si="4"/>
        <v>282</v>
      </c>
      <c r="B284" s="3" t="s">
        <v>2798</v>
      </c>
      <c r="C284" s="3" t="s">
        <v>2798</v>
      </c>
      <c r="D284" s="25" t="s">
        <v>2800</v>
      </c>
      <c r="E284" s="4" t="s">
        <v>2802</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972</v>
      </c>
      <c r="AN284" s="3" t="s">
        <v>2060</v>
      </c>
      <c r="AO284" s="3" t="s">
        <v>50</v>
      </c>
      <c r="AP284" s="3">
        <v>0</v>
      </c>
      <c r="AQ284" s="3">
        <v>0</v>
      </c>
      <c r="AR284">
        <v>0</v>
      </c>
      <c r="AS284">
        <v>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row>
    <row r="285" spans="1:73" ht="15.75" customHeight="1" x14ac:dyDescent="0.2">
      <c r="A285" s="3">
        <f t="shared" si="4"/>
        <v>283</v>
      </c>
      <c r="B285" s="3" t="s">
        <v>2799</v>
      </c>
      <c r="C285" s="3" t="s">
        <v>2799</v>
      </c>
      <c r="D285" s="25" t="s">
        <v>2801</v>
      </c>
      <c r="E285" s="4" t="s">
        <v>2803</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972</v>
      </c>
      <c r="AN285" s="3" t="s">
        <v>2060</v>
      </c>
      <c r="AO285" s="3" t="s">
        <v>50</v>
      </c>
      <c r="AP285" s="3">
        <v>0</v>
      </c>
      <c r="AQ285" s="3">
        <v>0</v>
      </c>
      <c r="AR285">
        <v>0</v>
      </c>
      <c r="AS285">
        <v>0</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row>
    <row r="286" spans="1:73" ht="15.75" customHeight="1" x14ac:dyDescent="0.2">
      <c r="A286" s="3">
        <f t="shared" si="4"/>
        <v>284</v>
      </c>
      <c r="B286" s="3" t="s">
        <v>2932</v>
      </c>
      <c r="C286" s="3" t="s">
        <v>2932</v>
      </c>
      <c r="D286" s="25" t="s">
        <v>2931</v>
      </c>
      <c r="E286" s="4" t="s">
        <v>2933</v>
      </c>
      <c r="F286" s="3">
        <v>0</v>
      </c>
      <c r="G286" s="3">
        <v>0</v>
      </c>
      <c r="H286" s="3">
        <v>0</v>
      </c>
      <c r="I286" s="3">
        <v>0</v>
      </c>
      <c r="J286" s="3">
        <v>0</v>
      </c>
      <c r="K286" s="3">
        <v>1</v>
      </c>
      <c r="L286" s="3">
        <v>0</v>
      </c>
      <c r="M286" s="3">
        <v>0</v>
      </c>
      <c r="N286" s="3">
        <v>0</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972</v>
      </c>
      <c r="AN286" s="3" t="s">
        <v>2060</v>
      </c>
      <c r="AO286" s="3" t="s">
        <v>50</v>
      </c>
      <c r="AP286" s="3">
        <v>0</v>
      </c>
      <c r="AQ286" s="3">
        <v>0</v>
      </c>
      <c r="AR286">
        <v>0</v>
      </c>
      <c r="AS286">
        <v>0</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row>
    <row r="287" spans="1:73" ht="15.75" customHeight="1" x14ac:dyDescent="0.2">
      <c r="A287" s="3">
        <f t="shared" si="4"/>
        <v>285</v>
      </c>
      <c r="B287" s="3" t="s">
        <v>2428</v>
      </c>
      <c r="C287" s="3" t="s">
        <v>2428</v>
      </c>
      <c r="D287" s="5" t="s">
        <v>2427</v>
      </c>
      <c r="E287" s="5" t="s">
        <v>2432</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1031</v>
      </c>
      <c r="AN287" s="3" t="s">
        <v>2443</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2495</v>
      </c>
      <c r="BE287" s="6" t="s">
        <v>50</v>
      </c>
      <c r="BF287" s="6" t="s">
        <v>50</v>
      </c>
      <c r="BG287" s="6" t="s">
        <v>50</v>
      </c>
      <c r="BH287" s="6" t="s">
        <v>50</v>
      </c>
      <c r="BI287">
        <v>1</v>
      </c>
      <c r="BJ287">
        <v>0</v>
      </c>
      <c r="BK287">
        <v>1</v>
      </c>
      <c r="BL287">
        <v>0</v>
      </c>
      <c r="BM287">
        <v>0</v>
      </c>
      <c r="BN287">
        <v>0</v>
      </c>
      <c r="BO287">
        <v>0</v>
      </c>
      <c r="BP287" s="6" t="s">
        <v>50</v>
      </c>
      <c r="BQ287">
        <v>0</v>
      </c>
      <c r="BR287" s="6" t="s">
        <v>50</v>
      </c>
      <c r="BS287">
        <v>0</v>
      </c>
      <c r="BT287" s="6" t="s">
        <v>50</v>
      </c>
      <c r="BU287">
        <v>0</v>
      </c>
    </row>
    <row r="288" spans="1:73" ht="15.75" customHeight="1" x14ac:dyDescent="0.2">
      <c r="A288" s="3">
        <f t="shared" si="4"/>
        <v>286</v>
      </c>
      <c r="B288" s="3" t="s">
        <v>2440</v>
      </c>
      <c r="C288" s="3" t="s">
        <v>2440</v>
      </c>
      <c r="D288" s="5" t="s">
        <v>2441</v>
      </c>
      <c r="E288" s="5" t="s">
        <v>3476</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1031</v>
      </c>
      <c r="AN288" s="3" t="s">
        <v>2443</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2496</v>
      </c>
      <c r="BE288" s="6" t="s">
        <v>50</v>
      </c>
      <c r="BF288" s="6" t="s">
        <v>50</v>
      </c>
      <c r="BG288" s="6" t="s">
        <v>50</v>
      </c>
      <c r="BH288" s="6" t="s">
        <v>50</v>
      </c>
      <c r="BI288">
        <v>1</v>
      </c>
      <c r="BJ288">
        <v>0</v>
      </c>
      <c r="BK288">
        <v>1</v>
      </c>
      <c r="BL288">
        <v>0</v>
      </c>
      <c r="BM288">
        <v>0</v>
      </c>
      <c r="BN288">
        <v>0</v>
      </c>
      <c r="BO288">
        <v>0</v>
      </c>
      <c r="BP288" s="6" t="s">
        <v>50</v>
      </c>
      <c r="BQ288">
        <v>0</v>
      </c>
      <c r="BR288" s="6" t="s">
        <v>50</v>
      </c>
      <c r="BS288">
        <v>0</v>
      </c>
      <c r="BT288" s="6" t="s">
        <v>50</v>
      </c>
      <c r="BU288">
        <v>0</v>
      </c>
    </row>
    <row r="289" spans="1:73" ht="15.75" customHeight="1" x14ac:dyDescent="0.2">
      <c r="A289" s="3">
        <f t="shared" si="4"/>
        <v>287</v>
      </c>
      <c r="B289" s="3" t="s">
        <v>3499</v>
      </c>
      <c r="C289" s="3" t="s">
        <v>3380</v>
      </c>
      <c r="D289" s="5" t="s">
        <v>3379</v>
      </c>
      <c r="E289" s="5" t="s">
        <v>3659</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1031</v>
      </c>
      <c r="AN289" s="3" t="s">
        <v>2443</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2496</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row>
    <row r="290" spans="1:73" ht="15.75" customHeight="1" x14ac:dyDescent="0.2">
      <c r="A290" s="3">
        <f t="shared" si="4"/>
        <v>288</v>
      </c>
      <c r="B290" s="3" t="s">
        <v>2542</v>
      </c>
      <c r="C290" s="3" t="s">
        <v>2430</v>
      </c>
      <c r="D290" s="5" t="s">
        <v>2429</v>
      </c>
      <c r="E290" s="5" t="s">
        <v>2431</v>
      </c>
      <c r="F290" s="3">
        <v>0</v>
      </c>
      <c r="G290" s="3">
        <v>0</v>
      </c>
      <c r="H290" s="3">
        <v>0</v>
      </c>
      <c r="I290" s="3">
        <v>50</v>
      </c>
      <c r="J290" s="3">
        <v>5</v>
      </c>
      <c r="K290" s="3">
        <v>1</v>
      </c>
      <c r="L290" s="3">
        <v>0</v>
      </c>
      <c r="M290" s="3">
        <v>0</v>
      </c>
      <c r="N290" s="3">
        <v>3</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1031</v>
      </c>
      <c r="AN290" s="3" t="s">
        <v>2443</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2497</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row>
    <row r="291" spans="1:73" ht="15.75" customHeight="1" x14ac:dyDescent="0.2">
      <c r="A291" s="3">
        <f t="shared" si="4"/>
        <v>289</v>
      </c>
      <c r="B291" s="3" t="s">
        <v>2434</v>
      </c>
      <c r="C291" s="3" t="s">
        <v>2434</v>
      </c>
      <c r="D291" s="5" t="s">
        <v>2433</v>
      </c>
      <c r="E291" s="5" t="s">
        <v>3402</v>
      </c>
      <c r="F291" s="3">
        <v>0</v>
      </c>
      <c r="G291" s="3">
        <v>0</v>
      </c>
      <c r="H291" s="3">
        <v>0</v>
      </c>
      <c r="I291" s="3">
        <v>50</v>
      </c>
      <c r="J291" s="3">
        <v>5</v>
      </c>
      <c r="K291" s="3">
        <v>1</v>
      </c>
      <c r="L291" s="3">
        <v>0</v>
      </c>
      <c r="M291" s="3">
        <v>0</v>
      </c>
      <c r="N291" s="3">
        <v>3</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1031</v>
      </c>
      <c r="AN291" s="3" t="s">
        <v>2443</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2498</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row>
    <row r="292" spans="1:73" ht="15.75" customHeight="1" x14ac:dyDescent="0.2">
      <c r="A292" s="3">
        <f t="shared" si="4"/>
        <v>290</v>
      </c>
      <c r="B292" s="3" t="s">
        <v>2436</v>
      </c>
      <c r="C292" s="3" t="s">
        <v>2436</v>
      </c>
      <c r="D292" s="5" t="s">
        <v>2435</v>
      </c>
      <c r="E292" s="5" t="s">
        <v>3403</v>
      </c>
      <c r="F292" s="3">
        <v>0</v>
      </c>
      <c r="G292" s="3">
        <v>0</v>
      </c>
      <c r="H292" s="3">
        <v>0</v>
      </c>
      <c r="I292" s="3">
        <v>50</v>
      </c>
      <c r="J292" s="3">
        <v>5</v>
      </c>
      <c r="K292" s="3">
        <v>1</v>
      </c>
      <c r="L292" s="3">
        <v>0</v>
      </c>
      <c r="M292" s="3">
        <v>0</v>
      </c>
      <c r="N292" s="3">
        <v>3</v>
      </c>
      <c r="O292" s="3">
        <v>0</v>
      </c>
      <c r="P292" s="3">
        <v>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1031</v>
      </c>
      <c r="AN292" s="3" t="s">
        <v>2443</v>
      </c>
      <c r="AO292" s="3" t="s">
        <v>50</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2499</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row>
    <row r="293" spans="1:73" ht="15.75" customHeight="1" x14ac:dyDescent="0.2">
      <c r="A293" s="3">
        <f t="shared" si="4"/>
        <v>291</v>
      </c>
      <c r="B293" s="3" t="s">
        <v>2438</v>
      </c>
      <c r="C293" s="3" t="s">
        <v>2438</v>
      </c>
      <c r="D293" s="5" t="s">
        <v>2437</v>
      </c>
      <c r="E293" s="5" t="s">
        <v>3404</v>
      </c>
      <c r="F293" s="3">
        <v>0</v>
      </c>
      <c r="G293" s="3">
        <v>0</v>
      </c>
      <c r="H293" s="3">
        <v>0</v>
      </c>
      <c r="I293" s="3">
        <v>50</v>
      </c>
      <c r="J293" s="3">
        <v>5</v>
      </c>
      <c r="K293" s="3">
        <v>1</v>
      </c>
      <c r="L293" s="3">
        <v>0</v>
      </c>
      <c r="M293" s="3">
        <v>0</v>
      </c>
      <c r="N293" s="3">
        <v>3</v>
      </c>
      <c r="O293" s="3">
        <v>0</v>
      </c>
      <c r="P293" s="3">
        <v>0</v>
      </c>
      <c r="Q293" s="3">
        <v>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1031</v>
      </c>
      <c r="AN293" s="3" t="s">
        <v>2443</v>
      </c>
      <c r="AO293" s="3" t="s">
        <v>50</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2500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row>
    <row r="294" spans="1:73" ht="15.75" customHeight="1" x14ac:dyDescent="0.2">
      <c r="A294" s="3">
        <f t="shared" si="4"/>
        <v>292</v>
      </c>
      <c r="B294" s="3" t="s">
        <v>2439</v>
      </c>
      <c r="C294" s="3" t="s">
        <v>2439</v>
      </c>
      <c r="D294" s="5" t="s">
        <v>1869</v>
      </c>
      <c r="E294" s="5" t="s">
        <v>2444</v>
      </c>
      <c r="F294" s="3">
        <v>0</v>
      </c>
      <c r="G294" s="3">
        <v>0</v>
      </c>
      <c r="H294" s="3">
        <v>0</v>
      </c>
      <c r="I294" s="3">
        <v>50</v>
      </c>
      <c r="J294" s="3">
        <v>5</v>
      </c>
      <c r="K294" s="3">
        <v>1</v>
      </c>
      <c r="L294" s="3">
        <v>0</v>
      </c>
      <c r="M294" s="3">
        <v>0</v>
      </c>
      <c r="N294" s="3">
        <v>3</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1031</v>
      </c>
      <c r="AN294" s="3" t="s">
        <v>2443</v>
      </c>
      <c r="AO294" s="3" t="s">
        <v>50</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2501</v>
      </c>
      <c r="BE294" s="6" t="s">
        <v>50</v>
      </c>
      <c r="BF294" s="6" t="s">
        <v>50</v>
      </c>
      <c r="BG294" s="6" t="s">
        <v>50</v>
      </c>
      <c r="BH294" s="6" t="s">
        <v>50</v>
      </c>
      <c r="BI294">
        <v>1</v>
      </c>
      <c r="BJ294">
        <v>0</v>
      </c>
      <c r="BK294">
        <v>3</v>
      </c>
      <c r="BL294">
        <v>0</v>
      </c>
      <c r="BM294">
        <v>0</v>
      </c>
      <c r="BN294">
        <v>0</v>
      </c>
      <c r="BO294">
        <v>0</v>
      </c>
      <c r="BP294" s="6" t="s">
        <v>50</v>
      </c>
      <c r="BQ294">
        <v>0</v>
      </c>
      <c r="BR294" s="6" t="s">
        <v>50</v>
      </c>
      <c r="BS294">
        <v>0</v>
      </c>
      <c r="BT294" s="6" t="s">
        <v>50</v>
      </c>
      <c r="BU294">
        <v>0</v>
      </c>
    </row>
    <row r="295" spans="1:73" ht="15.75" customHeight="1" x14ac:dyDescent="0.2">
      <c r="A295" s="3">
        <f t="shared" si="4"/>
        <v>293</v>
      </c>
      <c r="B295" s="3" t="s">
        <v>3517</v>
      </c>
      <c r="C295" s="3" t="s">
        <v>3507</v>
      </c>
      <c r="D295" s="5" t="s">
        <v>3506</v>
      </c>
      <c r="E295" s="5" t="s">
        <v>3508</v>
      </c>
      <c r="F295" s="3">
        <v>0</v>
      </c>
      <c r="G295" s="3">
        <v>0</v>
      </c>
      <c r="H295" s="3">
        <v>0</v>
      </c>
      <c r="I295" s="3">
        <v>50</v>
      </c>
      <c r="J295" s="3">
        <v>5</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2443</v>
      </c>
      <c r="AO295" s="3" t="s">
        <v>50</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3515</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row>
    <row r="296" spans="1:73" ht="15.75" customHeight="1" x14ac:dyDescent="0.2">
      <c r="A296" s="3">
        <f t="shared" si="4"/>
        <v>294</v>
      </c>
      <c r="B296" s="3" t="s">
        <v>3520</v>
      </c>
      <c r="C296" s="3" t="s">
        <v>3510</v>
      </c>
      <c r="D296" s="5" t="s">
        <v>3509</v>
      </c>
      <c r="E296" s="5" t="s">
        <v>3542</v>
      </c>
      <c r="F296" s="3">
        <v>0</v>
      </c>
      <c r="G296" s="3">
        <v>0</v>
      </c>
      <c r="H296" s="3">
        <v>0</v>
      </c>
      <c r="I296" s="3">
        <v>50</v>
      </c>
      <c r="J296" s="3">
        <v>5</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2443</v>
      </c>
      <c r="AO296" s="3" t="s">
        <v>50</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3516</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row>
    <row r="297" spans="1:73" s="9" customFormat="1" ht="15.75" customHeight="1" x14ac:dyDescent="0.2">
      <c r="A297" s="7">
        <f t="shared" si="4"/>
        <v>295</v>
      </c>
      <c r="B297" s="7" t="s">
        <v>52</v>
      </c>
      <c r="C297" s="7" t="s">
        <v>266</v>
      </c>
      <c r="D297" s="26" t="s">
        <v>381</v>
      </c>
      <c r="E297" s="11" t="s">
        <v>269</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0</v>
      </c>
      <c r="Y297" s="7">
        <v>0</v>
      </c>
      <c r="Z297" s="7">
        <v>0</v>
      </c>
      <c r="AA297" s="7">
        <v>0</v>
      </c>
      <c r="AB297" s="7">
        <v>0</v>
      </c>
      <c r="AC297" s="7">
        <v>0</v>
      </c>
      <c r="AD297" s="7">
        <v>0</v>
      </c>
      <c r="AE297" s="7">
        <v>0</v>
      </c>
      <c r="AF297" s="7">
        <v>0</v>
      </c>
      <c r="AG297" s="7">
        <v>0</v>
      </c>
      <c r="AH297" s="7">
        <v>0</v>
      </c>
      <c r="AI297" s="7">
        <v>0</v>
      </c>
      <c r="AJ297" s="7">
        <v>0</v>
      </c>
      <c r="AK297" s="7">
        <v>0</v>
      </c>
      <c r="AL297" s="7" t="s">
        <v>51</v>
      </c>
      <c r="AM297" s="7" t="s">
        <v>270</v>
      </c>
      <c r="AN297" s="7" t="s">
        <v>1988</v>
      </c>
      <c r="AO297" s="7" t="s">
        <v>1847</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c r="BP297" s="10" t="s">
        <v>50</v>
      </c>
      <c r="BQ297" s="9">
        <v>0</v>
      </c>
      <c r="BR297" s="10" t="s">
        <v>50</v>
      </c>
      <c r="BS297" s="9">
        <v>0</v>
      </c>
      <c r="BT297" s="10" t="s">
        <v>50</v>
      </c>
      <c r="BU297" s="9">
        <v>0</v>
      </c>
    </row>
    <row r="298" spans="1:73" s="9" customFormat="1" ht="15.75" customHeight="1" x14ac:dyDescent="0.2">
      <c r="A298" s="7">
        <f t="shared" si="4"/>
        <v>296</v>
      </c>
      <c r="B298" s="7" t="s">
        <v>52</v>
      </c>
      <c r="C298" s="7" t="s">
        <v>58</v>
      </c>
      <c r="D298" s="26" t="s">
        <v>285</v>
      </c>
      <c r="E298" s="11" t="s">
        <v>283</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6</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1989</v>
      </c>
      <c r="AO298" s="7" t="s">
        <v>1847</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c r="BP298" s="10" t="s">
        <v>50</v>
      </c>
      <c r="BQ298" s="9">
        <v>0</v>
      </c>
      <c r="BR298" s="10" t="s">
        <v>50</v>
      </c>
      <c r="BS298" s="9">
        <v>0</v>
      </c>
      <c r="BT298" s="10" t="s">
        <v>50</v>
      </c>
      <c r="BU298" s="9">
        <v>0</v>
      </c>
    </row>
    <row r="299" spans="1:73" s="9" customFormat="1" ht="15.75" customHeight="1" x14ac:dyDescent="0.2">
      <c r="A299" s="7">
        <f t="shared" si="4"/>
        <v>297</v>
      </c>
      <c r="B299" s="7" t="s">
        <v>52</v>
      </c>
      <c r="C299" s="7" t="s">
        <v>279</v>
      </c>
      <c r="D299" s="26" t="s">
        <v>286</v>
      </c>
      <c r="E299" s="11" t="s">
        <v>282</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6</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1989</v>
      </c>
      <c r="AO299" s="7" t="s">
        <v>1847</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c r="BP299" s="10" t="s">
        <v>50</v>
      </c>
      <c r="BQ299" s="9">
        <v>0</v>
      </c>
      <c r="BR299" s="10" t="s">
        <v>50</v>
      </c>
      <c r="BS299" s="9">
        <v>0</v>
      </c>
      <c r="BT299" s="10" t="s">
        <v>50</v>
      </c>
      <c r="BU299" s="9">
        <v>0</v>
      </c>
    </row>
    <row r="300" spans="1:73" s="9" customFormat="1" ht="15.75" customHeight="1" x14ac:dyDescent="0.2">
      <c r="A300" s="7">
        <f t="shared" si="4"/>
        <v>298</v>
      </c>
      <c r="B300" s="7" t="s">
        <v>52</v>
      </c>
      <c r="C300" s="7" t="s">
        <v>194</v>
      </c>
      <c r="D300" s="26" t="s">
        <v>253</v>
      </c>
      <c r="E300" s="11" t="s">
        <v>251</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14</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1989</v>
      </c>
      <c r="AO300" s="7" t="s">
        <v>1847</v>
      </c>
      <c r="AP300" s="7">
        <v>0</v>
      </c>
      <c r="AQ300" s="7">
        <v>0</v>
      </c>
      <c r="AR300" s="9">
        <v>0</v>
      </c>
      <c r="AS300" s="9">
        <v>0</v>
      </c>
      <c r="AT300" s="10" t="s">
        <v>150</v>
      </c>
      <c r="AU300" s="10" t="s">
        <v>150</v>
      </c>
      <c r="AV300" s="10" t="s">
        <v>150</v>
      </c>
      <c r="AW300" s="10" t="s">
        <v>150</v>
      </c>
      <c r="AX300" s="10" t="s">
        <v>150</v>
      </c>
      <c r="AY300" s="10" t="s">
        <v>150</v>
      </c>
      <c r="AZ300" s="10" t="s">
        <v>150</v>
      </c>
      <c r="BA300" s="10" t="s">
        <v>150</v>
      </c>
      <c r="BB300" s="10" t="s">
        <v>150</v>
      </c>
      <c r="BC300" s="10" t="s">
        <v>150</v>
      </c>
      <c r="BD300" s="10" t="s">
        <v>50</v>
      </c>
      <c r="BE300" s="10" t="s">
        <v>50</v>
      </c>
      <c r="BF300" s="10" t="s">
        <v>50</v>
      </c>
      <c r="BG300" s="10" t="s">
        <v>50</v>
      </c>
      <c r="BH300" s="10" t="s">
        <v>50</v>
      </c>
      <c r="BI300" s="9">
        <v>0</v>
      </c>
      <c r="BJ300" s="9">
        <v>0</v>
      </c>
      <c r="BK300" s="9">
        <v>1</v>
      </c>
      <c r="BL300" s="9">
        <v>0</v>
      </c>
      <c r="BM300" s="9">
        <v>0</v>
      </c>
      <c r="BN300" s="9">
        <v>0</v>
      </c>
      <c r="BO300" s="9">
        <v>0</v>
      </c>
      <c r="BP300" s="10" t="s">
        <v>50</v>
      </c>
      <c r="BQ300" s="9">
        <v>0</v>
      </c>
      <c r="BR300" s="10" t="s">
        <v>50</v>
      </c>
      <c r="BS300" s="9">
        <v>0</v>
      </c>
      <c r="BT300" s="10" t="s">
        <v>50</v>
      </c>
      <c r="BU300" s="9">
        <v>0</v>
      </c>
    </row>
    <row r="301" spans="1:73" s="9" customFormat="1" ht="15.75" customHeight="1" x14ac:dyDescent="0.2">
      <c r="A301" s="7">
        <f t="shared" si="4"/>
        <v>299</v>
      </c>
      <c r="B301" s="7" t="s">
        <v>52</v>
      </c>
      <c r="C301" s="7" t="s">
        <v>195</v>
      </c>
      <c r="D301" s="26" t="s">
        <v>196</v>
      </c>
      <c r="E301" s="11" t="s">
        <v>197</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14</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1989</v>
      </c>
      <c r="AO301" s="7" t="s">
        <v>1847</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c r="BP301" s="10" t="s">
        <v>50</v>
      </c>
      <c r="BQ301" s="9">
        <v>0</v>
      </c>
      <c r="BR301" s="10" t="s">
        <v>50</v>
      </c>
      <c r="BS301" s="9">
        <v>0</v>
      </c>
      <c r="BT301" s="10" t="s">
        <v>50</v>
      </c>
      <c r="BU301" s="9">
        <v>0</v>
      </c>
    </row>
    <row r="302" spans="1:73" s="9" customFormat="1" ht="15.75" customHeight="1" x14ac:dyDescent="0.2">
      <c r="A302" s="7">
        <f t="shared" si="4"/>
        <v>300</v>
      </c>
      <c r="B302" s="7" t="s">
        <v>52</v>
      </c>
      <c r="C302" s="7" t="s">
        <v>201</v>
      </c>
      <c r="D302" s="26" t="s">
        <v>202</v>
      </c>
      <c r="E302" s="11" t="s">
        <v>203</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28</v>
      </c>
      <c r="Y302" s="7">
        <v>0</v>
      </c>
      <c r="Z302" s="7">
        <v>0</v>
      </c>
      <c r="AA302" s="7">
        <v>0</v>
      </c>
      <c r="AB302" s="7">
        <v>0</v>
      </c>
      <c r="AC302" s="7">
        <v>0</v>
      </c>
      <c r="AD302" s="7">
        <v>0</v>
      </c>
      <c r="AE302" s="7">
        <v>0</v>
      </c>
      <c r="AF302" s="7">
        <v>0</v>
      </c>
      <c r="AG302" s="7">
        <v>0</v>
      </c>
      <c r="AH302" s="7">
        <v>0</v>
      </c>
      <c r="AI302" s="7">
        <v>0</v>
      </c>
      <c r="AJ302" s="7">
        <v>0</v>
      </c>
      <c r="AK302" s="7">
        <v>0</v>
      </c>
      <c r="AL302" s="7" t="s">
        <v>51</v>
      </c>
      <c r="AM302" s="7" t="s">
        <v>280</v>
      </c>
      <c r="AN302" s="7" t="s">
        <v>1989</v>
      </c>
      <c r="AO302" s="7" t="s">
        <v>1847</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c r="BP302" s="10" t="s">
        <v>50</v>
      </c>
      <c r="BQ302" s="9">
        <v>0</v>
      </c>
      <c r="BR302" s="10" t="s">
        <v>50</v>
      </c>
      <c r="BS302" s="9">
        <v>0</v>
      </c>
      <c r="BT302" s="10" t="s">
        <v>50</v>
      </c>
      <c r="BU302" s="9">
        <v>0</v>
      </c>
    </row>
    <row r="303" spans="1:73" s="9" customFormat="1" ht="15.75" customHeight="1" x14ac:dyDescent="0.2">
      <c r="A303" s="7">
        <f t="shared" si="4"/>
        <v>301</v>
      </c>
      <c r="B303" s="7" t="s">
        <v>52</v>
      </c>
      <c r="C303" s="7" t="s">
        <v>204</v>
      </c>
      <c r="D303" s="26" t="s">
        <v>206</v>
      </c>
      <c r="E303" s="11" t="s">
        <v>205</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28</v>
      </c>
      <c r="Y303" s="7">
        <v>0</v>
      </c>
      <c r="Z303" s="7">
        <v>0</v>
      </c>
      <c r="AA303" s="7">
        <v>0</v>
      </c>
      <c r="AB303" s="7">
        <v>0</v>
      </c>
      <c r="AC303" s="7">
        <v>0</v>
      </c>
      <c r="AD303" s="7">
        <v>0</v>
      </c>
      <c r="AE303" s="7">
        <v>0</v>
      </c>
      <c r="AF303" s="7">
        <v>0</v>
      </c>
      <c r="AG303" s="7">
        <v>0</v>
      </c>
      <c r="AH303" s="7">
        <v>0</v>
      </c>
      <c r="AI303" s="7">
        <v>0</v>
      </c>
      <c r="AJ303" s="7">
        <v>0</v>
      </c>
      <c r="AK303" s="7">
        <v>0</v>
      </c>
      <c r="AL303" s="7" t="s">
        <v>51</v>
      </c>
      <c r="AM303" s="7" t="s">
        <v>280</v>
      </c>
      <c r="AN303" s="7" t="s">
        <v>1989</v>
      </c>
      <c r="AO303" s="7" t="s">
        <v>1847</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c r="BP303" s="10" t="s">
        <v>50</v>
      </c>
      <c r="BQ303" s="9">
        <v>0</v>
      </c>
      <c r="BR303" s="10" t="s">
        <v>50</v>
      </c>
      <c r="BS303" s="9">
        <v>0</v>
      </c>
      <c r="BT303" s="10" t="s">
        <v>50</v>
      </c>
      <c r="BU303" s="9">
        <v>0</v>
      </c>
    </row>
    <row r="304" spans="1:73" s="9" customFormat="1" ht="15.75" customHeight="1" x14ac:dyDescent="0.2">
      <c r="A304" s="7">
        <f t="shared" si="4"/>
        <v>302</v>
      </c>
      <c r="B304" s="7" t="s">
        <v>52</v>
      </c>
      <c r="C304" s="7" t="s">
        <v>208</v>
      </c>
      <c r="D304" s="26" t="s">
        <v>207</v>
      </c>
      <c r="E304" s="11" t="s">
        <v>209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28</v>
      </c>
      <c r="Y304" s="7">
        <v>0</v>
      </c>
      <c r="Z304" s="7">
        <v>0</v>
      </c>
      <c r="AA304" s="7">
        <v>0</v>
      </c>
      <c r="AB304" s="7">
        <v>0</v>
      </c>
      <c r="AC304" s="7">
        <v>0</v>
      </c>
      <c r="AD304" s="7">
        <v>0</v>
      </c>
      <c r="AE304" s="7">
        <v>0</v>
      </c>
      <c r="AF304" s="7">
        <v>0</v>
      </c>
      <c r="AG304" s="7">
        <v>0</v>
      </c>
      <c r="AH304" s="7">
        <v>0</v>
      </c>
      <c r="AI304" s="7">
        <v>0</v>
      </c>
      <c r="AJ304" s="7">
        <v>0</v>
      </c>
      <c r="AK304" s="7">
        <v>0</v>
      </c>
      <c r="AL304" s="7" t="s">
        <v>51</v>
      </c>
      <c r="AM304" s="7" t="s">
        <v>280</v>
      </c>
      <c r="AN304" s="7" t="s">
        <v>1989</v>
      </c>
      <c r="AO304" s="7" t="s">
        <v>1847</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c r="BP304" s="10" t="s">
        <v>50</v>
      </c>
      <c r="BQ304" s="9">
        <v>0</v>
      </c>
      <c r="BR304" s="10" t="s">
        <v>50</v>
      </c>
      <c r="BS304" s="9">
        <v>0</v>
      </c>
      <c r="BT304" s="10" t="s">
        <v>50</v>
      </c>
      <c r="BU304" s="9">
        <v>0</v>
      </c>
    </row>
    <row r="305" spans="1:73" s="9" customFormat="1" ht="15.75" customHeight="1" x14ac:dyDescent="0.2">
      <c r="A305" s="7">
        <f t="shared" si="4"/>
        <v>303</v>
      </c>
      <c r="B305" s="7" t="s">
        <v>52</v>
      </c>
      <c r="C305" s="7" t="s">
        <v>210</v>
      </c>
      <c r="D305" s="26" t="s">
        <v>211</v>
      </c>
      <c r="E305" s="11" t="s">
        <v>212</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28</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1989</v>
      </c>
      <c r="AO305" s="7" t="s">
        <v>1847</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c r="BP305" s="10" t="s">
        <v>50</v>
      </c>
      <c r="BQ305" s="9">
        <v>0</v>
      </c>
      <c r="BR305" s="10" t="s">
        <v>50</v>
      </c>
      <c r="BS305" s="9">
        <v>0</v>
      </c>
      <c r="BT305" s="10" t="s">
        <v>50</v>
      </c>
      <c r="BU305" s="9">
        <v>0</v>
      </c>
    </row>
    <row r="306" spans="1:73" s="9" customFormat="1" ht="15.75" customHeight="1" x14ac:dyDescent="0.2">
      <c r="A306" s="7">
        <f t="shared" si="4"/>
        <v>304</v>
      </c>
      <c r="B306" s="7" t="s">
        <v>52</v>
      </c>
      <c r="C306" s="7" t="s">
        <v>220</v>
      </c>
      <c r="D306" s="26" t="s">
        <v>221</v>
      </c>
      <c r="E306" s="11" t="s">
        <v>222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28</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1989</v>
      </c>
      <c r="AO306" s="7" t="s">
        <v>1847</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c r="BP306" s="10" t="s">
        <v>50</v>
      </c>
      <c r="BQ306" s="9">
        <v>0</v>
      </c>
      <c r="BR306" s="10" t="s">
        <v>50</v>
      </c>
      <c r="BS306" s="9">
        <v>0</v>
      </c>
      <c r="BT306" s="10" t="s">
        <v>50</v>
      </c>
      <c r="BU306" s="9">
        <v>0</v>
      </c>
    </row>
    <row r="307" spans="1:73" s="9" customFormat="1" ht="15.75" customHeight="1" x14ac:dyDescent="0.2">
      <c r="A307" s="7">
        <f t="shared" si="4"/>
        <v>305</v>
      </c>
      <c r="B307" s="7" t="s">
        <v>59</v>
      </c>
      <c r="C307" s="7" t="s">
        <v>2900</v>
      </c>
      <c r="D307" s="26" t="s">
        <v>2898</v>
      </c>
      <c r="E307" s="11" t="s">
        <v>2899</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0</v>
      </c>
      <c r="Y307" s="7">
        <v>0</v>
      </c>
      <c r="Z307" s="7">
        <v>0</v>
      </c>
      <c r="AA307" s="7">
        <v>0</v>
      </c>
      <c r="AB307" s="7">
        <v>0</v>
      </c>
      <c r="AC307" s="7">
        <v>0</v>
      </c>
      <c r="AD307" s="7">
        <v>0</v>
      </c>
      <c r="AE307" s="7">
        <v>0</v>
      </c>
      <c r="AF307" s="7">
        <v>0</v>
      </c>
      <c r="AG307" s="7">
        <v>0</v>
      </c>
      <c r="AH307" s="7">
        <v>0</v>
      </c>
      <c r="AI307" s="7">
        <v>0</v>
      </c>
      <c r="AJ307" s="7">
        <v>0</v>
      </c>
      <c r="AK307" s="7">
        <v>0</v>
      </c>
      <c r="AL307" s="7" t="s">
        <v>51</v>
      </c>
      <c r="AM307" s="7" t="s">
        <v>972</v>
      </c>
      <c r="AN307" s="7" t="s">
        <v>1988</v>
      </c>
      <c r="AO307" s="7" t="s">
        <v>50</v>
      </c>
      <c r="AP307" s="7">
        <v>0</v>
      </c>
      <c r="AQ307" s="7">
        <v>0</v>
      </c>
      <c r="AR307" s="9">
        <v>0</v>
      </c>
      <c r="AS307" s="9">
        <v>0</v>
      </c>
      <c r="AT307" s="10" t="s">
        <v>50</v>
      </c>
      <c r="AU307" s="10" t="s">
        <v>50</v>
      </c>
      <c r="AV307" s="10" t="s">
        <v>50</v>
      </c>
      <c r="AW307" s="10" t="s">
        <v>50</v>
      </c>
      <c r="AX307" s="10" t="s">
        <v>50</v>
      </c>
      <c r="AY307" s="10" t="s">
        <v>50</v>
      </c>
      <c r="AZ307" s="10" t="s">
        <v>50</v>
      </c>
      <c r="BA307" s="10" t="s">
        <v>50</v>
      </c>
      <c r="BB307" s="10" t="s">
        <v>50</v>
      </c>
      <c r="BC307" s="10" t="s">
        <v>50</v>
      </c>
      <c r="BD307" s="10" t="s">
        <v>50</v>
      </c>
      <c r="BE307" s="10" t="s">
        <v>50</v>
      </c>
      <c r="BF307" s="10" t="s">
        <v>50</v>
      </c>
      <c r="BG307" s="10" t="s">
        <v>50</v>
      </c>
      <c r="BH307" s="10" t="s">
        <v>50</v>
      </c>
      <c r="BI307" s="9">
        <v>0</v>
      </c>
      <c r="BJ307" s="9">
        <v>0</v>
      </c>
      <c r="BK307" s="9">
        <v>1</v>
      </c>
      <c r="BL307" s="9">
        <v>0</v>
      </c>
      <c r="BM307" s="9">
        <v>0</v>
      </c>
      <c r="BN307" s="9">
        <v>0</v>
      </c>
      <c r="BO307" s="9">
        <v>0</v>
      </c>
      <c r="BP307" s="10" t="s">
        <v>50</v>
      </c>
      <c r="BQ307" s="9">
        <v>0</v>
      </c>
      <c r="BR307" s="10" t="s">
        <v>50</v>
      </c>
      <c r="BS307" s="9">
        <v>0</v>
      </c>
      <c r="BT307" s="10" t="s">
        <v>50</v>
      </c>
      <c r="BU307" s="9">
        <v>0</v>
      </c>
    </row>
    <row r="308" spans="1:73" s="9" customFormat="1" ht="15.75" customHeight="1" x14ac:dyDescent="0.2">
      <c r="A308" s="7">
        <f t="shared" si="4"/>
        <v>306</v>
      </c>
      <c r="B308" s="7" t="s">
        <v>52</v>
      </c>
      <c r="C308" s="7" t="s">
        <v>60</v>
      </c>
      <c r="D308" s="26" t="s">
        <v>252</v>
      </c>
      <c r="E308" s="11" t="s">
        <v>53</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0</v>
      </c>
      <c r="Y308" s="7">
        <v>0</v>
      </c>
      <c r="Z308" s="7">
        <v>0</v>
      </c>
      <c r="AA308" s="7">
        <v>0</v>
      </c>
      <c r="AB308" s="7">
        <v>0</v>
      </c>
      <c r="AC308" s="7">
        <v>0</v>
      </c>
      <c r="AD308" s="7">
        <v>0</v>
      </c>
      <c r="AE308" s="7">
        <v>0</v>
      </c>
      <c r="AF308" s="7">
        <v>0</v>
      </c>
      <c r="AG308" s="7">
        <v>0</v>
      </c>
      <c r="AH308" s="7">
        <v>0</v>
      </c>
      <c r="AI308" s="7">
        <v>0</v>
      </c>
      <c r="AJ308" s="7">
        <v>0</v>
      </c>
      <c r="AK308" s="7">
        <v>0</v>
      </c>
      <c r="AL308" s="7" t="s">
        <v>51</v>
      </c>
      <c r="AM308" s="7" t="s">
        <v>166</v>
      </c>
      <c r="AN308" s="7" t="s">
        <v>1990</v>
      </c>
      <c r="AO308" s="7" t="s">
        <v>1847</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c r="BP308" s="10" t="s">
        <v>50</v>
      </c>
      <c r="BQ308" s="9">
        <v>0</v>
      </c>
      <c r="BR308" s="10" t="s">
        <v>50</v>
      </c>
      <c r="BS308" s="9">
        <v>0</v>
      </c>
      <c r="BT308" s="10" t="s">
        <v>50</v>
      </c>
      <c r="BU308" s="9">
        <v>0</v>
      </c>
    </row>
    <row r="309" spans="1:73" s="9" customFormat="1" ht="15.75" customHeight="1" x14ac:dyDescent="0.2">
      <c r="A309" s="7">
        <f t="shared" si="4"/>
        <v>307</v>
      </c>
      <c r="B309" s="7" t="s">
        <v>52</v>
      </c>
      <c r="C309" s="7" t="s">
        <v>241</v>
      </c>
      <c r="D309" s="26" t="s">
        <v>247</v>
      </c>
      <c r="E309" s="11" t="s">
        <v>287</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0</v>
      </c>
      <c r="Y309" s="7">
        <v>0</v>
      </c>
      <c r="Z309" s="7">
        <v>0</v>
      </c>
      <c r="AA309" s="7">
        <v>0</v>
      </c>
      <c r="AB309" s="7">
        <v>0</v>
      </c>
      <c r="AC309" s="7">
        <v>0</v>
      </c>
      <c r="AD309" s="7">
        <v>0</v>
      </c>
      <c r="AE309" s="7">
        <v>0</v>
      </c>
      <c r="AF309" s="7">
        <v>0</v>
      </c>
      <c r="AG309" s="7">
        <v>0</v>
      </c>
      <c r="AH309" s="7">
        <v>0</v>
      </c>
      <c r="AI309" s="7">
        <v>0</v>
      </c>
      <c r="AJ309" s="7">
        <v>0</v>
      </c>
      <c r="AK309" s="7">
        <v>0</v>
      </c>
      <c r="AL309" s="7" t="s">
        <v>51</v>
      </c>
      <c r="AM309" s="7" t="s">
        <v>166</v>
      </c>
      <c r="AN309" s="7" t="s">
        <v>1990</v>
      </c>
      <c r="AO309" s="7" t="s">
        <v>1847</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c r="BP309" s="10" t="s">
        <v>50</v>
      </c>
      <c r="BQ309" s="9">
        <v>0</v>
      </c>
      <c r="BR309" s="10" t="s">
        <v>50</v>
      </c>
      <c r="BS309" s="9">
        <v>0</v>
      </c>
      <c r="BT309" s="10" t="s">
        <v>50</v>
      </c>
      <c r="BU309"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U392"/>
  <sheetViews>
    <sheetView topLeftCell="A247" zoomScaleNormal="100" workbookViewId="0">
      <selection activeCell="R273" sqref="R273"/>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 t="shared" ref="A2:A66" si="0">ROW()+1998</f>
        <v>2000</v>
      </c>
      <c r="B2" s="3" t="s">
        <v>84</v>
      </c>
      <c r="C2" s="3" t="s">
        <v>84</v>
      </c>
      <c r="D2" s="27"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1991</v>
      </c>
      <c r="AO2" s="3" t="s">
        <v>1847</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row>
    <row r="3" spans="1:73" ht="15.75" customHeight="1" x14ac:dyDescent="0.2">
      <c r="A3" s="3">
        <f t="shared" si="0"/>
        <v>2001</v>
      </c>
      <c r="B3" s="3" t="s">
        <v>575</v>
      </c>
      <c r="C3" s="3" t="s">
        <v>571</v>
      </c>
      <c r="D3" s="27" t="s">
        <v>1106</v>
      </c>
      <c r="E3" s="5" t="s">
        <v>1521</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1991</v>
      </c>
      <c r="AO3" s="3" t="s">
        <v>1847</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3615</v>
      </c>
      <c r="BQ3">
        <v>5</v>
      </c>
      <c r="BR3" s="6" t="s">
        <v>3643</v>
      </c>
      <c r="BS3">
        <v>20</v>
      </c>
      <c r="BT3" s="6" t="s">
        <v>50</v>
      </c>
      <c r="BU3">
        <v>0</v>
      </c>
    </row>
    <row r="4" spans="1:73" ht="15.75" customHeight="1" x14ac:dyDescent="0.2">
      <c r="A4" s="3">
        <f t="shared" si="0"/>
        <v>2002</v>
      </c>
      <c r="B4" s="3" t="s">
        <v>576</v>
      </c>
      <c r="C4" s="3" t="s">
        <v>572</v>
      </c>
      <c r="D4" s="27" t="s">
        <v>1107</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1991</v>
      </c>
      <c r="AO4" s="3" t="s">
        <v>1847</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3615</v>
      </c>
      <c r="BQ4">
        <v>5</v>
      </c>
      <c r="BR4" s="6" t="s">
        <v>3643</v>
      </c>
      <c r="BS4">
        <v>20</v>
      </c>
      <c r="BT4" s="6" t="s">
        <v>50</v>
      </c>
      <c r="BU4">
        <v>0</v>
      </c>
    </row>
    <row r="5" spans="1:73" ht="15.75" customHeight="1" x14ac:dyDescent="0.2">
      <c r="A5" s="3">
        <f t="shared" si="0"/>
        <v>2003</v>
      </c>
      <c r="B5" s="3" t="s">
        <v>578</v>
      </c>
      <c r="C5" s="3" t="s">
        <v>573</v>
      </c>
      <c r="D5" s="27" t="s">
        <v>1108</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1991</v>
      </c>
      <c r="AO5" s="3" t="s">
        <v>1847</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3615</v>
      </c>
      <c r="BQ5">
        <v>5</v>
      </c>
      <c r="BR5" s="6" t="s">
        <v>3643</v>
      </c>
      <c r="BS5">
        <v>20</v>
      </c>
      <c r="BT5" s="6" t="s">
        <v>50</v>
      </c>
      <c r="BU5">
        <v>0</v>
      </c>
    </row>
    <row r="6" spans="1:73" ht="15.75" customHeight="1" x14ac:dyDescent="0.2">
      <c r="A6" s="3">
        <f t="shared" si="0"/>
        <v>2004</v>
      </c>
      <c r="B6" s="3" t="s">
        <v>580</v>
      </c>
      <c r="C6" s="3" t="s">
        <v>581</v>
      </c>
      <c r="D6" s="27" t="s">
        <v>1109</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1518</v>
      </c>
      <c r="AN6" s="3" t="s">
        <v>1991</v>
      </c>
      <c r="AO6" s="3" t="s">
        <v>1847</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3615</v>
      </c>
      <c r="BQ6">
        <v>5</v>
      </c>
      <c r="BR6" s="6" t="s">
        <v>3643</v>
      </c>
      <c r="BS6">
        <v>20</v>
      </c>
      <c r="BT6" s="6" t="s">
        <v>50</v>
      </c>
      <c r="BU6">
        <v>0</v>
      </c>
    </row>
    <row r="7" spans="1:73" ht="15.75" customHeight="1" x14ac:dyDescent="0.2">
      <c r="A7" s="3">
        <f t="shared" si="0"/>
        <v>2005</v>
      </c>
      <c r="B7" s="3" t="s">
        <v>1126</v>
      </c>
      <c r="C7" s="3" t="s">
        <v>1125</v>
      </c>
      <c r="D7" s="27" t="s">
        <v>1123</v>
      </c>
      <c r="E7" s="5" t="s">
        <v>1124</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1991</v>
      </c>
      <c r="AO7" s="3" t="s">
        <v>1847</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3615</v>
      </c>
      <c r="BQ7">
        <v>5</v>
      </c>
      <c r="BR7" s="6" t="s">
        <v>3643</v>
      </c>
      <c r="BS7">
        <v>20</v>
      </c>
      <c r="BT7" s="6" t="s">
        <v>50</v>
      </c>
      <c r="BU7">
        <v>0</v>
      </c>
    </row>
    <row r="8" spans="1:73" ht="15.75" customHeight="1" x14ac:dyDescent="0.2">
      <c r="A8" s="3">
        <f t="shared" si="0"/>
        <v>2006</v>
      </c>
      <c r="B8" s="3" t="s">
        <v>85</v>
      </c>
      <c r="C8" s="3" t="s">
        <v>85</v>
      </c>
      <c r="D8" s="27" t="s">
        <v>1110</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1991</v>
      </c>
      <c r="AO8" s="3" t="s">
        <v>1847</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row>
    <row r="9" spans="1:73" s="9" customFormat="1" ht="15.75" customHeight="1" x14ac:dyDescent="0.2">
      <c r="A9" s="3">
        <f t="shared" si="0"/>
        <v>2007</v>
      </c>
      <c r="B9" s="7" t="s">
        <v>388</v>
      </c>
      <c r="C9" s="7" t="s">
        <v>304</v>
      </c>
      <c r="D9" s="28" t="s">
        <v>1111</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1991</v>
      </c>
      <c r="AO9" s="7" t="s">
        <v>1847</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row>
    <row r="10" spans="1:73"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1991</v>
      </c>
      <c r="AO10" s="7" t="s">
        <v>1847</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row>
    <row r="11" spans="1:73" ht="15.75" customHeight="1" x14ac:dyDescent="0.2">
      <c r="A11" s="3">
        <f t="shared" si="0"/>
        <v>2009</v>
      </c>
      <c r="B11" s="3" t="s">
        <v>927</v>
      </c>
      <c r="C11" s="3" t="s">
        <v>484</v>
      </c>
      <c r="D11" s="27"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0</v>
      </c>
      <c r="AI11" s="3">
        <v>0</v>
      </c>
      <c r="AJ11" s="3">
        <v>0</v>
      </c>
      <c r="AK11" s="3">
        <v>30</v>
      </c>
      <c r="AL11" s="3" t="s">
        <v>157</v>
      </c>
      <c r="AM11" s="3" t="s">
        <v>32</v>
      </c>
      <c r="AN11" s="3" t="s">
        <v>1991</v>
      </c>
      <c r="AO11" s="3" t="s">
        <v>1847</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row>
    <row r="12" spans="1:73" ht="15.75" customHeight="1" x14ac:dyDescent="0.2">
      <c r="A12" s="3">
        <f t="shared" si="0"/>
        <v>2010</v>
      </c>
      <c r="B12" s="3" t="s">
        <v>930</v>
      </c>
      <c r="C12" s="3" t="s">
        <v>555</v>
      </c>
      <c r="D12" s="27" t="s">
        <v>1105</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0</v>
      </c>
      <c r="AI12" s="3">
        <v>0</v>
      </c>
      <c r="AJ12" s="3">
        <v>0</v>
      </c>
      <c r="AK12" s="3">
        <v>30</v>
      </c>
      <c r="AL12" s="3" t="s">
        <v>157</v>
      </c>
      <c r="AM12" s="3" t="s">
        <v>90</v>
      </c>
      <c r="AN12" s="3" t="s">
        <v>1991</v>
      </c>
      <c r="AO12" s="3" t="s">
        <v>1847</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row>
    <row r="13" spans="1:73" ht="15.75" customHeight="1" x14ac:dyDescent="0.2">
      <c r="A13" s="3">
        <f t="shared" si="0"/>
        <v>2011</v>
      </c>
      <c r="B13" s="3" t="s">
        <v>1104</v>
      </c>
      <c r="C13" s="3" t="s">
        <v>399</v>
      </c>
      <c r="D13" s="27"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0</v>
      </c>
      <c r="AI13" s="3">
        <v>0</v>
      </c>
      <c r="AJ13" s="3">
        <v>0</v>
      </c>
      <c r="AK13" s="3">
        <v>40</v>
      </c>
      <c r="AL13" s="3" t="s">
        <v>31</v>
      </c>
      <c r="AM13" s="3" t="s">
        <v>1424</v>
      </c>
      <c r="AN13" s="3" t="s">
        <v>1992</v>
      </c>
      <c r="AO13" s="3" t="s">
        <v>1847</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row>
    <row r="14" spans="1:73" s="9" customFormat="1" ht="15.75" customHeight="1" x14ac:dyDescent="0.2">
      <c r="A14" s="3">
        <f t="shared" si="0"/>
        <v>2012</v>
      </c>
      <c r="B14" s="7" t="s">
        <v>84</v>
      </c>
      <c r="C14" s="7" t="s">
        <v>625</v>
      </c>
      <c r="D14" s="28"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1991</v>
      </c>
      <c r="AO14" s="7" t="s">
        <v>1847</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row>
    <row r="15" spans="1:73"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1991</v>
      </c>
      <c r="AO15" s="3" t="s">
        <v>1847</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row>
    <row r="16" spans="1:73" ht="15.75" customHeight="1" x14ac:dyDescent="0.2">
      <c r="A16" s="3">
        <f t="shared" si="0"/>
        <v>2014</v>
      </c>
      <c r="B16" s="3" t="s">
        <v>1316</v>
      </c>
      <c r="C16" s="3" t="s">
        <v>1313</v>
      </c>
      <c r="D16" s="27" t="s">
        <v>1314</v>
      </c>
      <c r="E16" s="5" t="s">
        <v>1315</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1991</v>
      </c>
      <c r="AO16" s="3" t="s">
        <v>1847</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row>
    <row r="17" spans="1:73" ht="15.75" customHeight="1" x14ac:dyDescent="0.2">
      <c r="A17" s="3">
        <f t="shared" si="0"/>
        <v>2015</v>
      </c>
      <c r="B17" s="3" t="s">
        <v>379</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1991</v>
      </c>
      <c r="AO17" s="3" t="s">
        <v>1847</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row>
    <row r="18" spans="1:73" ht="15.75" customHeight="1" x14ac:dyDescent="0.2">
      <c r="A18" s="3">
        <f t="shared" si="0"/>
        <v>2016</v>
      </c>
      <c r="B18" s="3" t="s">
        <v>631</v>
      </c>
      <c r="C18" s="3" t="s">
        <v>529</v>
      </c>
      <c r="D18" s="27"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1991</v>
      </c>
      <c r="AO18" s="3" t="s">
        <v>1847</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3615</v>
      </c>
      <c r="BQ18">
        <v>5</v>
      </c>
      <c r="BR18" s="6" t="s">
        <v>50</v>
      </c>
      <c r="BS18">
        <v>0</v>
      </c>
      <c r="BT18" s="6" t="s">
        <v>50</v>
      </c>
      <c r="BU18">
        <v>0</v>
      </c>
    </row>
    <row r="19" spans="1:73" ht="15.75" customHeight="1" x14ac:dyDescent="0.2">
      <c r="A19" s="3">
        <f t="shared" si="0"/>
        <v>2017</v>
      </c>
      <c r="B19" s="3" t="s">
        <v>632</v>
      </c>
      <c r="C19" s="3" t="s">
        <v>531</v>
      </c>
      <c r="D19" s="27"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1991</v>
      </c>
      <c r="AO19" s="3" t="s">
        <v>1847</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row>
    <row r="20" spans="1:73" ht="15.75" customHeight="1" x14ac:dyDescent="0.2">
      <c r="A20" s="3">
        <f t="shared" si="0"/>
        <v>2018</v>
      </c>
      <c r="B20" s="3" t="s">
        <v>633</v>
      </c>
      <c r="C20" s="3" t="s">
        <v>534</v>
      </c>
      <c r="D20" s="27"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1991</v>
      </c>
      <c r="AO20" s="3" t="s">
        <v>1847</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row>
    <row r="21" spans="1:73" ht="15.75" customHeight="1" x14ac:dyDescent="0.2">
      <c r="A21" s="3">
        <f t="shared" si="0"/>
        <v>2019</v>
      </c>
      <c r="B21" s="3" t="s">
        <v>634</v>
      </c>
      <c r="C21" s="3" t="s">
        <v>536</v>
      </c>
      <c r="D21" s="27"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1991</v>
      </c>
      <c r="AO21" s="3" t="s">
        <v>1847</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row>
    <row r="22" spans="1:73" ht="15.75" customHeight="1" x14ac:dyDescent="0.2">
      <c r="A22" s="3">
        <f t="shared" si="0"/>
        <v>2020</v>
      </c>
      <c r="B22" s="3" t="s">
        <v>635</v>
      </c>
      <c r="C22" s="3" t="s">
        <v>538</v>
      </c>
      <c r="D22" s="27"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1991</v>
      </c>
      <c r="AO22" s="3" t="s">
        <v>1847</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3615</v>
      </c>
      <c r="BQ22">
        <v>5</v>
      </c>
      <c r="BR22" s="6" t="s">
        <v>50</v>
      </c>
      <c r="BS22">
        <v>0</v>
      </c>
      <c r="BT22" s="6" t="s">
        <v>50</v>
      </c>
      <c r="BU22">
        <v>0</v>
      </c>
    </row>
    <row r="23" spans="1:73" ht="15.75" customHeight="1" x14ac:dyDescent="0.2">
      <c r="A23" s="3">
        <f t="shared" si="0"/>
        <v>2021</v>
      </c>
      <c r="B23" s="3" t="s">
        <v>638</v>
      </c>
      <c r="C23" s="3" t="s">
        <v>637</v>
      </c>
      <c r="D23" s="27"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1991</v>
      </c>
      <c r="AO23" s="3" t="s">
        <v>1847</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3615</v>
      </c>
      <c r="BQ23">
        <v>5</v>
      </c>
      <c r="BR23" s="6" t="s">
        <v>50</v>
      </c>
      <c r="BS23">
        <v>0</v>
      </c>
      <c r="BT23" s="6" t="s">
        <v>50</v>
      </c>
      <c r="BU23">
        <v>0</v>
      </c>
    </row>
    <row r="24" spans="1:73" ht="15.75" customHeight="1" x14ac:dyDescent="0.2">
      <c r="A24" s="3">
        <f t="shared" si="0"/>
        <v>2022</v>
      </c>
      <c r="B24" s="3" t="s">
        <v>579</v>
      </c>
      <c r="C24" s="3" t="s">
        <v>540</v>
      </c>
      <c r="D24" s="27"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1991</v>
      </c>
      <c r="AO24" s="3" t="s">
        <v>1847</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3615</v>
      </c>
      <c r="BQ24">
        <v>5</v>
      </c>
      <c r="BR24" s="6" t="s">
        <v>50</v>
      </c>
      <c r="BS24">
        <v>0</v>
      </c>
      <c r="BT24" s="6" t="s">
        <v>3644</v>
      </c>
      <c r="BU24">
        <v>30</v>
      </c>
    </row>
    <row r="25" spans="1:73" ht="15.75" customHeight="1" x14ac:dyDescent="0.2">
      <c r="A25" s="3">
        <f t="shared" si="0"/>
        <v>2023</v>
      </c>
      <c r="B25" s="3" t="s">
        <v>3425</v>
      </c>
      <c r="C25" s="3" t="s">
        <v>3411</v>
      </c>
      <c r="D25" s="27" t="s">
        <v>3410</v>
      </c>
      <c r="E25" s="5" t="s">
        <v>3412</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1991</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3615</v>
      </c>
      <c r="BQ25">
        <v>5</v>
      </c>
      <c r="BR25" s="6" t="s">
        <v>50</v>
      </c>
      <c r="BS25">
        <v>0</v>
      </c>
      <c r="BT25" s="6" t="s">
        <v>3646</v>
      </c>
      <c r="BU25">
        <v>30</v>
      </c>
    </row>
    <row r="26" spans="1:73" ht="15.75" customHeight="1" x14ac:dyDescent="0.2">
      <c r="A26" s="3">
        <f t="shared" si="0"/>
        <v>2024</v>
      </c>
      <c r="B26" s="3" t="s">
        <v>389</v>
      </c>
      <c r="C26" s="3" t="s">
        <v>229</v>
      </c>
      <c r="D26" s="27"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1991</v>
      </c>
      <c r="AO26" s="3" t="s">
        <v>1847</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row>
    <row r="27" spans="1:73" ht="15.75" customHeight="1" x14ac:dyDescent="0.2">
      <c r="A27" s="3">
        <f t="shared" si="0"/>
        <v>2025</v>
      </c>
      <c r="B27" s="3" t="s">
        <v>931</v>
      </c>
      <c r="C27" s="3" t="s">
        <v>654</v>
      </c>
      <c r="D27" s="27"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0</v>
      </c>
      <c r="AI27" s="3">
        <v>0</v>
      </c>
      <c r="AJ27" s="3">
        <v>0</v>
      </c>
      <c r="AK27" s="3">
        <v>30</v>
      </c>
      <c r="AL27" s="3" t="s">
        <v>31</v>
      </c>
      <c r="AM27" s="3" t="s">
        <v>90</v>
      </c>
      <c r="AN27" s="3" t="s">
        <v>1991</v>
      </c>
      <c r="AO27" s="3" t="s">
        <v>1847</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row>
    <row r="28" spans="1:73" ht="15.75" customHeight="1" x14ac:dyDescent="0.2">
      <c r="A28" s="3">
        <f t="shared" si="0"/>
        <v>2026</v>
      </c>
      <c r="B28" s="3" t="s">
        <v>1471</v>
      </c>
      <c r="C28" s="3" t="s">
        <v>1454</v>
      </c>
      <c r="D28" s="27" t="s">
        <v>1453</v>
      </c>
      <c r="E28" s="5" t="s">
        <v>1455</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1991</v>
      </c>
      <c r="AO28" s="3" t="s">
        <v>1847</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row>
    <row r="29" spans="1:73" ht="15.75" customHeight="1" x14ac:dyDescent="0.2">
      <c r="A29" s="3">
        <f t="shared" si="0"/>
        <v>2027</v>
      </c>
      <c r="B29" s="3" t="s">
        <v>1472</v>
      </c>
      <c r="C29" s="3" t="s">
        <v>1457</v>
      </c>
      <c r="D29" s="27" t="s">
        <v>1456</v>
      </c>
      <c r="E29" s="5" t="s">
        <v>1458</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1991</v>
      </c>
      <c r="AO29" s="3" t="s">
        <v>1847</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row>
    <row r="30" spans="1:73" ht="15.75" customHeight="1" x14ac:dyDescent="0.2">
      <c r="A30" s="3">
        <f t="shared" si="0"/>
        <v>2028</v>
      </c>
      <c r="B30" s="3" t="s">
        <v>390</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1991</v>
      </c>
      <c r="AO30" s="3" t="s">
        <v>1848</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3615</v>
      </c>
      <c r="BQ30">
        <v>5</v>
      </c>
      <c r="BR30" s="6" t="s">
        <v>50</v>
      </c>
      <c r="BS30">
        <v>0</v>
      </c>
      <c r="BT30" s="6" t="s">
        <v>50</v>
      </c>
      <c r="BU30">
        <v>0</v>
      </c>
    </row>
    <row r="31" spans="1:73" ht="15.75" customHeight="1" x14ac:dyDescent="0.2">
      <c r="A31" s="3">
        <f t="shared" si="0"/>
        <v>2029</v>
      </c>
      <c r="B31" s="3" t="s">
        <v>1821</v>
      </c>
      <c r="C31" s="3" t="s">
        <v>1821</v>
      </c>
      <c r="D31" s="27" t="s">
        <v>1843</v>
      </c>
      <c r="E31" s="5" t="s">
        <v>1822</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1991</v>
      </c>
      <c r="AO31" s="3" t="s">
        <v>1847</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3615</v>
      </c>
      <c r="BQ31">
        <v>5</v>
      </c>
      <c r="BR31" s="6" t="s">
        <v>50</v>
      </c>
      <c r="BS31">
        <v>0</v>
      </c>
      <c r="BT31" s="6" t="s">
        <v>50</v>
      </c>
      <c r="BU31">
        <v>0</v>
      </c>
    </row>
    <row r="32" spans="1:73" ht="15.75" customHeight="1" x14ac:dyDescent="0.2">
      <c r="A32" s="3">
        <f t="shared" si="0"/>
        <v>2030</v>
      </c>
      <c r="B32" s="3" t="s">
        <v>1844</v>
      </c>
      <c r="C32" s="3" t="s">
        <v>1828</v>
      </c>
      <c r="D32" s="27" t="s">
        <v>1827</v>
      </c>
      <c r="E32" s="5" t="s">
        <v>1829</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1991</v>
      </c>
      <c r="AO32" s="3" t="s">
        <v>1847</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3615</v>
      </c>
      <c r="BQ32">
        <v>3</v>
      </c>
      <c r="BR32" s="6" t="s">
        <v>50</v>
      </c>
      <c r="BS32">
        <v>0</v>
      </c>
      <c r="BT32" s="6" t="s">
        <v>50</v>
      </c>
      <c r="BU32">
        <v>0</v>
      </c>
    </row>
    <row r="33" spans="1:73" s="9" customFormat="1" ht="15.75" customHeight="1" x14ac:dyDescent="0.2">
      <c r="A33" s="7">
        <f t="shared" si="0"/>
        <v>2031</v>
      </c>
      <c r="B33" s="7" t="s">
        <v>390</v>
      </c>
      <c r="C33" s="7" t="s">
        <v>1836</v>
      </c>
      <c r="D33" s="28" t="s">
        <v>1835</v>
      </c>
      <c r="E33" s="8" t="s">
        <v>1837</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1991</v>
      </c>
      <c r="AO33" s="7" t="s">
        <v>1847</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row>
    <row r="34" spans="1:73"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1991</v>
      </c>
      <c r="AO34" s="3" t="s">
        <v>1847</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3615</v>
      </c>
      <c r="BQ34">
        <v>5</v>
      </c>
      <c r="BR34" s="6" t="s">
        <v>50</v>
      </c>
      <c r="BS34">
        <v>0</v>
      </c>
      <c r="BT34" s="6" t="s">
        <v>50</v>
      </c>
      <c r="BU34">
        <v>0</v>
      </c>
    </row>
    <row r="35" spans="1:73" ht="15.75" customHeight="1" x14ac:dyDescent="0.2">
      <c r="A35" s="3">
        <f t="shared" si="0"/>
        <v>2033</v>
      </c>
      <c r="B35" s="3" t="s">
        <v>359</v>
      </c>
      <c r="C35" s="3" t="s">
        <v>299</v>
      </c>
      <c r="D35" s="27"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32</v>
      </c>
      <c r="AN35" s="3" t="s">
        <v>1991</v>
      </c>
      <c r="AO35" s="3" t="s">
        <v>1847</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3615</v>
      </c>
      <c r="BQ35">
        <v>5</v>
      </c>
      <c r="BR35" s="6" t="s">
        <v>50</v>
      </c>
      <c r="BS35">
        <v>0</v>
      </c>
      <c r="BT35" s="6" t="s">
        <v>50</v>
      </c>
      <c r="BU35">
        <v>0</v>
      </c>
    </row>
    <row r="36" spans="1:73" ht="15.75" customHeight="1" x14ac:dyDescent="0.2">
      <c r="A36" s="3">
        <f t="shared" si="0"/>
        <v>2034</v>
      </c>
      <c r="B36" s="3" t="s">
        <v>413</v>
      </c>
      <c r="C36" s="3" t="s">
        <v>413</v>
      </c>
      <c r="D36" s="27"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1991</v>
      </c>
      <c r="AO36" s="3" t="s">
        <v>1847</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row>
    <row r="37" spans="1:73" ht="15.75" customHeight="1" x14ac:dyDescent="0.2">
      <c r="A37" s="3">
        <f t="shared" si="0"/>
        <v>2035</v>
      </c>
      <c r="B37" s="3" t="s">
        <v>3072</v>
      </c>
      <c r="C37" s="3" t="s">
        <v>2367</v>
      </c>
      <c r="D37" s="27" t="s">
        <v>2366</v>
      </c>
      <c r="E37" s="5" t="s">
        <v>2368</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1991</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row>
    <row r="38" spans="1:73" ht="15.75" customHeight="1" x14ac:dyDescent="0.2">
      <c r="A38" s="3">
        <f t="shared" si="0"/>
        <v>2036</v>
      </c>
      <c r="B38" s="3" t="s">
        <v>1537</v>
      </c>
      <c r="C38" s="3" t="s">
        <v>1522</v>
      </c>
      <c r="D38" s="27" t="s">
        <v>1523</v>
      </c>
      <c r="E38" s="5" t="s">
        <v>1527</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1991</v>
      </c>
      <c r="AO38" s="3" t="s">
        <v>1847</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3643</v>
      </c>
      <c r="BS38">
        <v>15</v>
      </c>
      <c r="BT38" s="6" t="s">
        <v>50</v>
      </c>
      <c r="BU38">
        <v>0</v>
      </c>
    </row>
    <row r="39" spans="1:73" ht="15.75" customHeight="1" x14ac:dyDescent="0.2">
      <c r="A39" s="3">
        <f t="shared" si="0"/>
        <v>2037</v>
      </c>
      <c r="B39" s="3" t="s">
        <v>1536</v>
      </c>
      <c r="C39" s="3" t="s">
        <v>1524</v>
      </c>
      <c r="D39" s="27" t="s">
        <v>1525</v>
      </c>
      <c r="E39" s="5" t="s">
        <v>1526</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32</v>
      </c>
      <c r="AN39" s="3" t="s">
        <v>1991</v>
      </c>
      <c r="AO39" s="3" t="s">
        <v>1847</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3643</v>
      </c>
      <c r="BS39">
        <v>15</v>
      </c>
      <c r="BT39" s="6" t="s">
        <v>50</v>
      </c>
      <c r="BU39">
        <v>0</v>
      </c>
    </row>
    <row r="40" spans="1:73" ht="15.75" customHeight="1" x14ac:dyDescent="0.2">
      <c r="A40" s="3">
        <f t="shared" si="0"/>
        <v>2038</v>
      </c>
      <c r="B40" s="3" t="s">
        <v>84</v>
      </c>
      <c r="C40" s="3" t="s">
        <v>2221</v>
      </c>
      <c r="D40" s="27" t="s">
        <v>2222</v>
      </c>
      <c r="E40" s="5" t="s">
        <v>2250</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2268</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3643</v>
      </c>
      <c r="BS40">
        <v>5</v>
      </c>
      <c r="BT40" s="6" t="s">
        <v>50</v>
      </c>
      <c r="BU40">
        <v>0</v>
      </c>
    </row>
    <row r="41" spans="1:73" ht="15.75" customHeight="1" x14ac:dyDescent="0.2">
      <c r="A41" s="3">
        <f t="shared" si="0"/>
        <v>2039</v>
      </c>
      <c r="B41" s="3" t="s">
        <v>2215</v>
      </c>
      <c r="C41" s="3" t="s">
        <v>2215</v>
      </c>
      <c r="D41" s="27" t="s">
        <v>2216</v>
      </c>
      <c r="E41" s="5" t="s">
        <v>2249</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2268</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3615</v>
      </c>
      <c r="BQ41">
        <v>10</v>
      </c>
      <c r="BR41" s="6" t="s">
        <v>3643</v>
      </c>
      <c r="BS41">
        <v>20</v>
      </c>
      <c r="BT41" s="6" t="s">
        <v>50</v>
      </c>
      <c r="BU41">
        <v>0</v>
      </c>
    </row>
    <row r="42" spans="1:73" ht="15.75" customHeight="1" x14ac:dyDescent="0.2">
      <c r="A42" s="3">
        <f t="shared" si="0"/>
        <v>2040</v>
      </c>
      <c r="B42" s="3" t="s">
        <v>2218</v>
      </c>
      <c r="C42" s="3" t="s">
        <v>2218</v>
      </c>
      <c r="D42" s="27" t="s">
        <v>3073</v>
      </c>
      <c r="E42" s="5" t="s">
        <v>2247</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2268</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3615</v>
      </c>
      <c r="BQ42">
        <v>10</v>
      </c>
      <c r="BR42" s="6" t="s">
        <v>3643</v>
      </c>
      <c r="BS42">
        <v>20</v>
      </c>
      <c r="BT42" s="6" t="s">
        <v>50</v>
      </c>
      <c r="BU42">
        <v>0</v>
      </c>
    </row>
    <row r="43" spans="1:73" ht="15.75" customHeight="1" x14ac:dyDescent="0.2">
      <c r="A43" s="3">
        <f t="shared" si="0"/>
        <v>2041</v>
      </c>
      <c r="B43" s="3" t="s">
        <v>2220</v>
      </c>
      <c r="C43" s="3" t="s">
        <v>2220</v>
      </c>
      <c r="D43" s="27" t="s">
        <v>2219</v>
      </c>
      <c r="E43" s="5" t="s">
        <v>2248</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2268</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3615</v>
      </c>
      <c r="BQ43">
        <v>10</v>
      </c>
      <c r="BR43" s="6" t="s">
        <v>3643</v>
      </c>
      <c r="BS43">
        <v>20</v>
      </c>
      <c r="BT43" s="6" t="s">
        <v>50</v>
      </c>
      <c r="BU43">
        <v>0</v>
      </c>
    </row>
    <row r="44" spans="1:73" ht="15.75" customHeight="1" x14ac:dyDescent="0.2">
      <c r="A44" s="3">
        <f t="shared" si="0"/>
        <v>2042</v>
      </c>
      <c r="B44" s="3" t="s">
        <v>1537</v>
      </c>
      <c r="C44" s="3" t="s">
        <v>2223</v>
      </c>
      <c r="D44" s="27" t="s">
        <v>2224</v>
      </c>
      <c r="E44" s="5" t="s">
        <v>2225</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2268</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3615</v>
      </c>
      <c r="BQ44">
        <v>10</v>
      </c>
      <c r="BR44" s="6" t="s">
        <v>3643</v>
      </c>
      <c r="BS44">
        <v>20</v>
      </c>
      <c r="BT44" s="6" t="s">
        <v>50</v>
      </c>
      <c r="BU44">
        <v>0</v>
      </c>
    </row>
    <row r="45" spans="1:73" ht="15.75" customHeight="1" x14ac:dyDescent="0.2">
      <c r="A45" s="3">
        <f t="shared" si="0"/>
        <v>2043</v>
      </c>
      <c r="B45" s="3" t="s">
        <v>1536</v>
      </c>
      <c r="C45" s="3" t="s">
        <v>2245</v>
      </c>
      <c r="D45" s="27" t="s">
        <v>2226</v>
      </c>
      <c r="E45" s="5" t="s">
        <v>2251</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1424</v>
      </c>
      <c r="AN45" s="3" t="s">
        <v>2269</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3615</v>
      </c>
      <c r="BQ45">
        <v>10</v>
      </c>
      <c r="BR45" s="6" t="s">
        <v>3643</v>
      </c>
      <c r="BS45">
        <v>20</v>
      </c>
      <c r="BT45" s="6" t="s">
        <v>50</v>
      </c>
      <c r="BU45">
        <v>0</v>
      </c>
    </row>
    <row r="46" spans="1:73" ht="15.75" customHeight="1" x14ac:dyDescent="0.2">
      <c r="A46" s="3">
        <f t="shared" si="0"/>
        <v>2044</v>
      </c>
      <c r="B46" s="3" t="s">
        <v>3040</v>
      </c>
      <c r="C46" s="3" t="s">
        <v>3040</v>
      </c>
      <c r="D46" s="27" t="s">
        <v>3074</v>
      </c>
      <c r="E46" s="5" t="s">
        <v>3041</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2268</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3615</v>
      </c>
      <c r="BQ46">
        <v>10</v>
      </c>
      <c r="BR46" s="6" t="s">
        <v>3643</v>
      </c>
      <c r="BS46">
        <v>20</v>
      </c>
      <c r="BT46" s="6" t="s">
        <v>50</v>
      </c>
      <c r="BU46">
        <v>0</v>
      </c>
    </row>
    <row r="47" spans="1:73" ht="15.75" customHeight="1" x14ac:dyDescent="0.2">
      <c r="A47" s="3">
        <f t="shared" si="0"/>
        <v>2045</v>
      </c>
      <c r="B47" s="3" t="s">
        <v>3075</v>
      </c>
      <c r="C47" s="3" t="s">
        <v>3043</v>
      </c>
      <c r="D47" s="27" t="s">
        <v>3042</v>
      </c>
      <c r="E47" s="5" t="s">
        <v>3044</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2268</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3615</v>
      </c>
      <c r="BQ47">
        <v>10</v>
      </c>
      <c r="BR47" s="6" t="s">
        <v>3643</v>
      </c>
      <c r="BS47">
        <v>20</v>
      </c>
      <c r="BT47" s="6" t="s">
        <v>50</v>
      </c>
      <c r="BU47">
        <v>0</v>
      </c>
    </row>
    <row r="48" spans="1:73" ht="15.75" customHeight="1" x14ac:dyDescent="0.2">
      <c r="A48" s="3">
        <f t="shared" si="0"/>
        <v>2046</v>
      </c>
      <c r="B48" s="3" t="s">
        <v>3089</v>
      </c>
      <c r="C48" s="3" t="s">
        <v>3046</v>
      </c>
      <c r="D48" s="27" t="s">
        <v>3045</v>
      </c>
      <c r="E48" s="5" t="s">
        <v>3047</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2268</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3615</v>
      </c>
      <c r="BQ48">
        <v>10</v>
      </c>
      <c r="BR48" s="6" t="s">
        <v>3643</v>
      </c>
      <c r="BS48">
        <v>20</v>
      </c>
      <c r="BT48" s="6" t="s">
        <v>50</v>
      </c>
      <c r="BU48">
        <v>0</v>
      </c>
    </row>
    <row r="49" spans="1:73" ht="15.75" customHeight="1" x14ac:dyDescent="0.2">
      <c r="A49" s="3">
        <f t="shared" si="0"/>
        <v>2047</v>
      </c>
      <c r="B49" s="3" t="s">
        <v>3090</v>
      </c>
      <c r="C49" s="3" t="s">
        <v>3049</v>
      </c>
      <c r="D49" s="27" t="s">
        <v>3048</v>
      </c>
      <c r="E49" s="5" t="s">
        <v>3050</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2268</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3615</v>
      </c>
      <c r="BQ49">
        <v>10</v>
      </c>
      <c r="BR49" s="6" t="s">
        <v>3643</v>
      </c>
      <c r="BS49">
        <v>20</v>
      </c>
      <c r="BT49" s="6" t="s">
        <v>50</v>
      </c>
      <c r="BU49">
        <v>0</v>
      </c>
    </row>
    <row r="50" spans="1:73" ht="15.75" customHeight="1" x14ac:dyDescent="0.2">
      <c r="A50" s="3">
        <f t="shared" si="0"/>
        <v>2048</v>
      </c>
      <c r="B50" s="3" t="s">
        <v>3091</v>
      </c>
      <c r="C50" s="3" t="s">
        <v>3052</v>
      </c>
      <c r="D50" s="27" t="s">
        <v>3051</v>
      </c>
      <c r="E50" s="5" t="s">
        <v>3053</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2268</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3615</v>
      </c>
      <c r="BQ50">
        <v>10</v>
      </c>
      <c r="BR50" s="6" t="s">
        <v>3643</v>
      </c>
      <c r="BS50">
        <v>20</v>
      </c>
      <c r="BT50" s="6" t="s">
        <v>50</v>
      </c>
      <c r="BU50">
        <v>0</v>
      </c>
    </row>
    <row r="51" spans="1:73"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1991</v>
      </c>
      <c r="AO51" s="7" t="s">
        <v>1847</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row>
    <row r="52" spans="1:73" ht="15.75" customHeight="1" x14ac:dyDescent="0.2">
      <c r="A52" s="3">
        <f t="shared" si="0"/>
        <v>2050</v>
      </c>
      <c r="B52" s="3" t="s">
        <v>2765</v>
      </c>
      <c r="C52" s="3" t="s">
        <v>2765</v>
      </c>
      <c r="D52" s="27" t="s">
        <v>2764</v>
      </c>
      <c r="E52" s="5" t="s">
        <v>2766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0</v>
      </c>
      <c r="AI52" s="3">
        <v>0</v>
      </c>
      <c r="AJ52" s="3">
        <v>0</v>
      </c>
      <c r="AK52" s="3">
        <v>30</v>
      </c>
      <c r="AL52" s="3" t="s">
        <v>157</v>
      </c>
      <c r="AM52" s="3" t="s">
        <v>2767</v>
      </c>
      <c r="AN52" s="3" t="s">
        <v>1991</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row>
    <row r="53" spans="1:73" ht="15.75" customHeight="1" x14ac:dyDescent="0.2">
      <c r="A53" s="3">
        <f t="shared" si="0"/>
        <v>2051</v>
      </c>
      <c r="B53" s="3" t="s">
        <v>2787</v>
      </c>
      <c r="C53" s="3" t="s">
        <v>2787</v>
      </c>
      <c r="D53" s="4" t="s">
        <v>2737</v>
      </c>
      <c r="E53" s="4" t="s">
        <v>2738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1991</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row>
    <row r="54" spans="1:73" ht="15.75" customHeight="1" x14ac:dyDescent="0.2">
      <c r="A54" s="3">
        <f t="shared" si="0"/>
        <v>2052</v>
      </c>
      <c r="B54" s="3" t="s">
        <v>2788</v>
      </c>
      <c r="C54" s="3" t="s">
        <v>2788</v>
      </c>
      <c r="D54" s="4" t="s">
        <v>2786</v>
      </c>
      <c r="E54" s="4" t="s">
        <v>2789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0</v>
      </c>
      <c r="AI54" s="3">
        <v>0</v>
      </c>
      <c r="AJ54" s="3">
        <v>0</v>
      </c>
      <c r="AK54" s="3">
        <v>30</v>
      </c>
      <c r="AL54" s="3" t="s">
        <v>31</v>
      </c>
      <c r="AM54" s="3" t="s">
        <v>2767</v>
      </c>
      <c r="AN54" s="3" t="s">
        <v>1991</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row>
    <row r="55" spans="1:73" ht="15.75" customHeight="1" x14ac:dyDescent="0.2">
      <c r="A55" s="3">
        <f t="shared" si="0"/>
        <v>2053</v>
      </c>
      <c r="B55" s="3" t="s">
        <v>2904</v>
      </c>
      <c r="C55" s="3" t="s">
        <v>2904</v>
      </c>
      <c r="D55" s="4" t="s">
        <v>2901</v>
      </c>
      <c r="E55" s="4" t="s">
        <v>2902</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2767</v>
      </c>
      <c r="AN55" s="3" t="s">
        <v>2913</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row>
    <row r="56" spans="1:73" ht="15.75" customHeight="1" x14ac:dyDescent="0.2">
      <c r="A56" s="3">
        <f t="shared" si="0"/>
        <v>2054</v>
      </c>
      <c r="B56" s="3" t="s">
        <v>2903</v>
      </c>
      <c r="C56" s="3" t="s">
        <v>2903</v>
      </c>
      <c r="D56" s="4" t="s">
        <v>2914</v>
      </c>
      <c r="E56" s="4" t="s">
        <v>2905</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2767</v>
      </c>
      <c r="AN56" s="3" t="s">
        <v>2913</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row>
    <row r="57" spans="1:73" ht="15.75" customHeight="1" x14ac:dyDescent="0.2">
      <c r="A57" s="3">
        <f t="shared" si="0"/>
        <v>2055</v>
      </c>
      <c r="B57" s="3" t="s">
        <v>2907</v>
      </c>
      <c r="C57" s="3" t="s">
        <v>2907</v>
      </c>
      <c r="D57" s="4" t="s">
        <v>2906</v>
      </c>
      <c r="E57" s="4" t="s">
        <v>3352</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2767</v>
      </c>
      <c r="AN57" s="3" t="s">
        <v>2913</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row>
    <row r="58" spans="1:73" ht="15.75" customHeight="1" x14ac:dyDescent="0.2">
      <c r="A58" s="3">
        <f t="shared" si="0"/>
        <v>2056</v>
      </c>
      <c r="B58" s="3" t="s">
        <v>250</v>
      </c>
      <c r="C58" s="3" t="s">
        <v>250</v>
      </c>
      <c r="D58" s="4" t="s">
        <v>193</v>
      </c>
      <c r="E58" s="4" t="s">
        <v>2748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2918</v>
      </c>
      <c r="AO58" s="3" t="s">
        <v>1847</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3615</v>
      </c>
      <c r="BQ58">
        <v>50</v>
      </c>
      <c r="BR58" s="6" t="s">
        <v>50</v>
      </c>
      <c r="BS58">
        <v>0</v>
      </c>
      <c r="BT58" s="6" t="s">
        <v>50</v>
      </c>
      <c r="BU58">
        <v>0</v>
      </c>
    </row>
    <row r="59" spans="1:73" s="37" customFormat="1" ht="15.75" customHeight="1" x14ac:dyDescent="0.2">
      <c r="A59" s="34">
        <f t="shared" si="0"/>
        <v>2057</v>
      </c>
      <c r="B59" s="34" t="s">
        <v>3080</v>
      </c>
      <c r="C59" s="34" t="s">
        <v>3080</v>
      </c>
      <c r="D59" s="36" t="s">
        <v>3081</v>
      </c>
      <c r="E59" s="36" t="s">
        <v>3079</v>
      </c>
      <c r="F59" s="34">
        <v>0</v>
      </c>
      <c r="G59" s="34">
        <v>300</v>
      </c>
      <c r="H59" s="34">
        <v>0</v>
      </c>
      <c r="I59" s="34">
        <v>50</v>
      </c>
      <c r="J59" s="34">
        <v>0</v>
      </c>
      <c r="K59" s="34">
        <v>1</v>
      </c>
      <c r="L59" s="34">
        <v>0</v>
      </c>
      <c r="M59" s="34">
        <v>0</v>
      </c>
      <c r="N59" s="34">
        <v>0</v>
      </c>
      <c r="O59" s="34">
        <v>0</v>
      </c>
      <c r="P59" s="34">
        <v>0</v>
      </c>
      <c r="Q59" s="34">
        <v>0</v>
      </c>
      <c r="R59" s="34">
        <v>0</v>
      </c>
      <c r="S59" s="34">
        <v>0</v>
      </c>
      <c r="T59" s="34">
        <v>0</v>
      </c>
      <c r="U59" s="34">
        <v>0</v>
      </c>
      <c r="V59" s="34">
        <v>0</v>
      </c>
      <c r="W59" s="34">
        <v>0</v>
      </c>
      <c r="X59" s="34">
        <v>0</v>
      </c>
      <c r="Y59" s="34">
        <v>80</v>
      </c>
      <c r="Z59" s="34">
        <v>0</v>
      </c>
      <c r="AA59" s="34">
        <v>0</v>
      </c>
      <c r="AB59" s="34">
        <v>0</v>
      </c>
      <c r="AC59" s="34">
        <v>0</v>
      </c>
      <c r="AD59" s="34">
        <v>0</v>
      </c>
      <c r="AE59" s="34">
        <v>-50</v>
      </c>
      <c r="AF59" s="34">
        <v>30</v>
      </c>
      <c r="AG59" s="34">
        <v>70</v>
      </c>
      <c r="AH59" s="34">
        <v>40</v>
      </c>
      <c r="AI59" s="34">
        <v>0</v>
      </c>
      <c r="AJ59" s="34">
        <v>0</v>
      </c>
      <c r="AK59" s="34">
        <v>0</v>
      </c>
      <c r="AL59" s="34" t="s">
        <v>31</v>
      </c>
      <c r="AM59" s="34" t="s">
        <v>90</v>
      </c>
      <c r="AN59" s="34" t="s">
        <v>2918</v>
      </c>
      <c r="AO59" s="34" t="s">
        <v>50</v>
      </c>
      <c r="AP59" s="34">
        <v>60</v>
      </c>
      <c r="AQ59" s="34">
        <v>2.5</v>
      </c>
      <c r="AR59" s="37">
        <v>5000</v>
      </c>
      <c r="AS59" s="37">
        <v>10</v>
      </c>
      <c r="AT59" s="38" t="s">
        <v>50</v>
      </c>
      <c r="AU59" s="38" t="s">
        <v>50</v>
      </c>
      <c r="AV59" s="38" t="s">
        <v>50</v>
      </c>
      <c r="AW59" s="38" t="s">
        <v>50</v>
      </c>
      <c r="AX59" s="38" t="s">
        <v>50</v>
      </c>
      <c r="AY59" s="38" t="s">
        <v>50</v>
      </c>
      <c r="AZ59" s="38" t="s">
        <v>50</v>
      </c>
      <c r="BA59" s="38" t="s">
        <v>50</v>
      </c>
      <c r="BB59" s="38" t="s">
        <v>50</v>
      </c>
      <c r="BC59" s="38" t="s">
        <v>50</v>
      </c>
      <c r="BD59" s="38" t="s">
        <v>50</v>
      </c>
      <c r="BE59" s="38" t="s">
        <v>50</v>
      </c>
      <c r="BF59" s="38" t="s">
        <v>50</v>
      </c>
      <c r="BG59" s="38" t="s">
        <v>50</v>
      </c>
      <c r="BH59" s="38" t="s">
        <v>50</v>
      </c>
      <c r="BI59" s="37">
        <v>1</v>
      </c>
      <c r="BJ59" s="37">
        <v>755</v>
      </c>
      <c r="BK59" s="37">
        <v>4</v>
      </c>
      <c r="BL59" s="37">
        <v>30</v>
      </c>
      <c r="BM59" s="37">
        <v>1</v>
      </c>
      <c r="BN59" s="37">
        <v>0</v>
      </c>
      <c r="BO59" s="37">
        <v>1</v>
      </c>
      <c r="BP59" s="38" t="s">
        <v>3615</v>
      </c>
      <c r="BQ59" s="37">
        <v>70</v>
      </c>
      <c r="BR59" s="38" t="s">
        <v>3643</v>
      </c>
      <c r="BS59" s="37">
        <v>40</v>
      </c>
      <c r="BT59" s="38" t="s">
        <v>50</v>
      </c>
      <c r="BU59" s="37">
        <v>0</v>
      </c>
    </row>
    <row r="60" spans="1:73" s="9" customFormat="1" ht="15.75" customHeight="1" x14ac:dyDescent="0.2">
      <c r="A60" s="7">
        <f t="shared" si="0"/>
        <v>2058</v>
      </c>
      <c r="B60" s="7" t="s">
        <v>250</v>
      </c>
      <c r="C60" s="7" t="s">
        <v>3082</v>
      </c>
      <c r="D60" s="11" t="s">
        <v>3031</v>
      </c>
      <c r="E60" s="11" t="s">
        <v>3083</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2918</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row>
    <row r="61" spans="1:73" s="9" customFormat="1" ht="15.75" customHeight="1" x14ac:dyDescent="0.2">
      <c r="A61" s="7">
        <f t="shared" si="0"/>
        <v>2059</v>
      </c>
      <c r="B61" s="7" t="s">
        <v>250</v>
      </c>
      <c r="C61" s="7" t="s">
        <v>3030</v>
      </c>
      <c r="D61" s="11" t="s">
        <v>3525</v>
      </c>
      <c r="E61" s="11" t="s">
        <v>3526</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2918</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row>
    <row r="62" spans="1:73" ht="15.75" customHeight="1" x14ac:dyDescent="0.2">
      <c r="A62" s="3">
        <f t="shared" si="0"/>
        <v>2060</v>
      </c>
      <c r="B62" s="3" t="s">
        <v>3092</v>
      </c>
      <c r="C62" s="3" t="s">
        <v>1907</v>
      </c>
      <c r="D62" s="27" t="s">
        <v>1908</v>
      </c>
      <c r="E62" s="5" t="s">
        <v>1909</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1991</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row>
    <row r="63" spans="1:73" s="23" customFormat="1" ht="15.75" customHeight="1" x14ac:dyDescent="0.2">
      <c r="A63" s="21">
        <f t="shared" si="0"/>
        <v>2061</v>
      </c>
      <c r="B63" s="21" t="s">
        <v>305</v>
      </c>
      <c r="C63" s="21" t="s">
        <v>2331</v>
      </c>
      <c r="D63" s="22" t="s">
        <v>2332</v>
      </c>
      <c r="E63" s="22" t="s">
        <v>2278</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1849</v>
      </c>
      <c r="AN63" s="21" t="s">
        <v>2009</v>
      </c>
      <c r="AO63" s="21" t="s">
        <v>50</v>
      </c>
      <c r="AP63" s="21">
        <v>30</v>
      </c>
      <c r="AQ63" s="21">
        <v>20</v>
      </c>
      <c r="AR63" s="23">
        <v>1500</v>
      </c>
      <c r="AS63" s="23">
        <v>10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c r="BP63" s="24" t="s">
        <v>50</v>
      </c>
      <c r="BQ63" s="23">
        <v>0</v>
      </c>
      <c r="BR63" s="24" t="s">
        <v>50</v>
      </c>
      <c r="BS63" s="23">
        <v>0</v>
      </c>
      <c r="BT63" s="24" t="s">
        <v>50</v>
      </c>
      <c r="BU63" s="23">
        <v>0</v>
      </c>
    </row>
    <row r="64" spans="1:73" ht="15.75" customHeight="1" x14ac:dyDescent="0.2">
      <c r="A64" s="3">
        <f t="shared" si="0"/>
        <v>2062</v>
      </c>
      <c r="B64" s="3" t="s">
        <v>371</v>
      </c>
      <c r="C64" s="3" t="s">
        <v>371</v>
      </c>
      <c r="D64" s="27"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1993</v>
      </c>
      <c r="AO64" s="3" t="s">
        <v>1847</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row>
    <row r="65" spans="1:73" ht="15.75" customHeight="1" x14ac:dyDescent="0.2">
      <c r="A65" s="3">
        <f t="shared" si="0"/>
        <v>2063</v>
      </c>
      <c r="B65" s="3" t="s">
        <v>569</v>
      </c>
      <c r="C65" s="3" t="s">
        <v>569</v>
      </c>
      <c r="D65" s="27"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1993</v>
      </c>
      <c r="AO65" s="3" t="s">
        <v>1847</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row>
    <row r="66" spans="1:73" ht="15.75" customHeight="1" x14ac:dyDescent="0.2">
      <c r="A66" s="3">
        <f t="shared" si="0"/>
        <v>2064</v>
      </c>
      <c r="B66" s="3" t="s">
        <v>1127</v>
      </c>
      <c r="C66" s="3" t="s">
        <v>1064</v>
      </c>
      <c r="D66" s="27" t="s">
        <v>1065</v>
      </c>
      <c r="E66" s="5" t="s">
        <v>1066</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1993</v>
      </c>
      <c r="AO66" s="3" t="s">
        <v>1847</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3643</v>
      </c>
      <c r="BS66">
        <v>20</v>
      </c>
      <c r="BT66" s="6" t="s">
        <v>50</v>
      </c>
      <c r="BU66">
        <v>0</v>
      </c>
    </row>
    <row r="67" spans="1:73" ht="15.75" customHeight="1" x14ac:dyDescent="0.2">
      <c r="A67" s="3">
        <f t="shared" ref="A67:A130" si="1">ROW()+1998</f>
        <v>2065</v>
      </c>
      <c r="B67" s="3" t="s">
        <v>1129</v>
      </c>
      <c r="C67" s="3" t="s">
        <v>481</v>
      </c>
      <c r="D67" s="27"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1993</v>
      </c>
      <c r="AO67" s="3" t="s">
        <v>1847</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row>
    <row r="68" spans="1:73" ht="15.75" customHeight="1" x14ac:dyDescent="0.2">
      <c r="A68" s="3">
        <f t="shared" si="1"/>
        <v>2066</v>
      </c>
      <c r="B68" s="3" t="s">
        <v>1311</v>
      </c>
      <c r="C68" s="3" t="s">
        <v>1307</v>
      </c>
      <c r="D68" s="27" t="s">
        <v>1310</v>
      </c>
      <c r="E68" s="5" t="s">
        <v>1308</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1993</v>
      </c>
      <c r="AO68" s="3" t="s">
        <v>1847</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row>
    <row r="69" spans="1:73" ht="15.75" customHeight="1" x14ac:dyDescent="0.2">
      <c r="A69" s="3">
        <f t="shared" si="1"/>
        <v>2067</v>
      </c>
      <c r="B69" s="3" t="s">
        <v>1128</v>
      </c>
      <c r="C69" s="3" t="s">
        <v>867</v>
      </c>
      <c r="D69" s="27"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1993</v>
      </c>
      <c r="AO69" s="3" t="s">
        <v>1847</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row>
    <row r="70" spans="1:73" ht="15.75" customHeight="1" x14ac:dyDescent="0.2">
      <c r="A70" s="3">
        <f t="shared" si="1"/>
        <v>2068</v>
      </c>
      <c r="B70" s="3" t="s">
        <v>1130</v>
      </c>
      <c r="C70" s="3" t="s">
        <v>1221</v>
      </c>
      <c r="D70" s="27" t="s">
        <v>1222</v>
      </c>
      <c r="E70" s="5" t="s">
        <v>1223</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1993</v>
      </c>
      <c r="AO70" s="3" t="s">
        <v>1847</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row>
    <row r="71" spans="1:73" ht="15.75" customHeight="1" x14ac:dyDescent="0.2">
      <c r="A71" s="3">
        <f t="shared" si="1"/>
        <v>2069</v>
      </c>
      <c r="B71" s="3" t="s">
        <v>1294</v>
      </c>
      <c r="C71" s="3" t="s">
        <v>1215</v>
      </c>
      <c r="D71" s="27" t="s">
        <v>1213</v>
      </c>
      <c r="E71" s="5" t="s">
        <v>1214</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1993</v>
      </c>
      <c r="AO71" s="3" t="s">
        <v>1847</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3615</v>
      </c>
      <c r="BQ71">
        <v>20</v>
      </c>
      <c r="BR71" s="6" t="s">
        <v>50</v>
      </c>
      <c r="BS71">
        <v>0</v>
      </c>
      <c r="BT71" s="6" t="s">
        <v>3645</v>
      </c>
      <c r="BU71">
        <v>20</v>
      </c>
    </row>
    <row r="72" spans="1:73" ht="15.75" customHeight="1" x14ac:dyDescent="0.2">
      <c r="A72" s="3">
        <f t="shared" si="1"/>
        <v>2070</v>
      </c>
      <c r="B72" s="3" t="s">
        <v>1174</v>
      </c>
      <c r="C72" s="3" t="s">
        <v>1153</v>
      </c>
      <c r="D72" s="27" t="s">
        <v>1151</v>
      </c>
      <c r="E72" s="5" t="s">
        <v>1152</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1993</v>
      </c>
      <c r="AO72" s="3" t="s">
        <v>1847</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3615</v>
      </c>
      <c r="BQ72">
        <v>20</v>
      </c>
      <c r="BR72" s="6" t="s">
        <v>50</v>
      </c>
      <c r="BS72">
        <v>0</v>
      </c>
      <c r="BT72" s="6" t="s">
        <v>3645</v>
      </c>
      <c r="BU72">
        <v>20</v>
      </c>
    </row>
    <row r="73" spans="1:73" ht="15.75" customHeight="1" x14ac:dyDescent="0.2">
      <c r="A73" s="3">
        <f t="shared" si="1"/>
        <v>2071</v>
      </c>
      <c r="B73" s="3" t="s">
        <v>3063</v>
      </c>
      <c r="C73" s="3" t="s">
        <v>3063</v>
      </c>
      <c r="D73" s="27" t="s">
        <v>3064</v>
      </c>
      <c r="E73" s="5" t="s">
        <v>3100</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3093</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3615</v>
      </c>
      <c r="BQ73">
        <v>30</v>
      </c>
      <c r="BR73" s="6" t="s">
        <v>3643</v>
      </c>
      <c r="BS73">
        <v>40</v>
      </c>
      <c r="BT73" s="6" t="s">
        <v>50</v>
      </c>
      <c r="BU73">
        <v>0</v>
      </c>
    </row>
    <row r="74" spans="1:73" ht="15.75" customHeight="1" x14ac:dyDescent="0.2">
      <c r="A74" s="3">
        <f t="shared" si="1"/>
        <v>2072</v>
      </c>
      <c r="B74" s="3" t="s">
        <v>3065</v>
      </c>
      <c r="C74" s="3" t="s">
        <v>3065</v>
      </c>
      <c r="D74" s="27" t="s">
        <v>3066</v>
      </c>
      <c r="E74" s="5" t="s">
        <v>3067</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3093</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3615</v>
      </c>
      <c r="BQ74">
        <v>30</v>
      </c>
      <c r="BR74" s="6" t="s">
        <v>3643</v>
      </c>
      <c r="BS74">
        <v>45</v>
      </c>
      <c r="BT74" s="6" t="s">
        <v>50</v>
      </c>
      <c r="BU74">
        <v>0</v>
      </c>
    </row>
    <row r="75" spans="1:73" ht="15.75" customHeight="1" x14ac:dyDescent="0.2">
      <c r="A75" s="3">
        <f t="shared" si="1"/>
        <v>2073</v>
      </c>
      <c r="B75" s="3" t="s">
        <v>3068</v>
      </c>
      <c r="C75" s="3" t="s">
        <v>3068</v>
      </c>
      <c r="D75" s="27" t="s">
        <v>3069</v>
      </c>
      <c r="E75" s="5" t="s">
        <v>3070</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3093</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3615</v>
      </c>
      <c r="BQ75">
        <v>30</v>
      </c>
      <c r="BR75" s="6" t="s">
        <v>3643</v>
      </c>
      <c r="BS75">
        <v>45</v>
      </c>
      <c r="BT75" s="6" t="s">
        <v>50</v>
      </c>
      <c r="BU75">
        <v>0</v>
      </c>
    </row>
    <row r="76" spans="1:73" s="23" customFormat="1" ht="15.75" customHeight="1" x14ac:dyDescent="0.2">
      <c r="A76" s="21">
        <f t="shared" si="1"/>
        <v>2074</v>
      </c>
      <c r="B76" s="21" t="s">
        <v>305</v>
      </c>
      <c r="C76" s="21" t="s">
        <v>2327</v>
      </c>
      <c r="D76" s="22" t="s">
        <v>2328</v>
      </c>
      <c r="E76" s="22" t="s">
        <v>2278</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1849</v>
      </c>
      <c r="AN76" s="21" t="s">
        <v>2009</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c r="BP76" s="24" t="s">
        <v>50</v>
      </c>
      <c r="BQ76" s="23">
        <v>0</v>
      </c>
      <c r="BR76" s="24" t="s">
        <v>50</v>
      </c>
      <c r="BS76" s="23">
        <v>0</v>
      </c>
      <c r="BT76" s="24" t="s">
        <v>50</v>
      </c>
      <c r="BU76" s="23">
        <v>0</v>
      </c>
    </row>
    <row r="77" spans="1:73" ht="15.75" customHeight="1" x14ac:dyDescent="0.2">
      <c r="A77" s="3">
        <f t="shared" si="1"/>
        <v>2075</v>
      </c>
      <c r="B77" s="3" t="s">
        <v>937</v>
      </c>
      <c r="C77" s="3" t="s">
        <v>435</v>
      </c>
      <c r="D77" s="27"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1850</v>
      </c>
      <c r="AN77" s="3" t="s">
        <v>1994</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row>
    <row r="78" spans="1:73" ht="15.75" customHeight="1" x14ac:dyDescent="0.2">
      <c r="A78" s="3">
        <f t="shared" si="1"/>
        <v>2076</v>
      </c>
      <c r="B78" s="3" t="s">
        <v>435</v>
      </c>
      <c r="C78" s="3" t="s">
        <v>642</v>
      </c>
      <c r="D78" s="27"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0</v>
      </c>
      <c r="AI78" s="3">
        <v>0</v>
      </c>
      <c r="AJ78" s="3">
        <v>0</v>
      </c>
      <c r="AK78" s="3">
        <v>0</v>
      </c>
      <c r="AL78" s="3" t="s">
        <v>31</v>
      </c>
      <c r="AM78" s="3" t="s">
        <v>570</v>
      </c>
      <c r="AN78" s="3" t="s">
        <v>1995</v>
      </c>
      <c r="AO78" s="3" t="s">
        <v>1847</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row>
    <row r="79" spans="1:73" s="9" customFormat="1" ht="15.75" customHeight="1" x14ac:dyDescent="0.2">
      <c r="A79" s="3">
        <f t="shared" si="1"/>
        <v>2077</v>
      </c>
      <c r="B79" s="7" t="s">
        <v>1149</v>
      </c>
      <c r="C79" s="7" t="s">
        <v>1147</v>
      </c>
      <c r="D79" s="28" t="s">
        <v>1146</v>
      </c>
      <c r="E79" s="8" t="s">
        <v>1148</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1995</v>
      </c>
      <c r="AO79" s="7" t="s">
        <v>1847</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c r="BP79" s="10" t="s">
        <v>50</v>
      </c>
      <c r="BQ79" s="9">
        <v>0</v>
      </c>
      <c r="BR79" s="10" t="s">
        <v>50</v>
      </c>
      <c r="BS79" s="9">
        <v>0</v>
      </c>
      <c r="BT79" s="10" t="s">
        <v>50</v>
      </c>
      <c r="BU79" s="9">
        <v>0</v>
      </c>
    </row>
    <row r="80" spans="1:73" ht="15.75" customHeight="1" x14ac:dyDescent="0.2">
      <c r="A80" s="3">
        <f t="shared" si="1"/>
        <v>2078</v>
      </c>
      <c r="B80" s="3" t="s">
        <v>1113</v>
      </c>
      <c r="C80" s="3" t="s">
        <v>719</v>
      </c>
      <c r="D80" s="27"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1995</v>
      </c>
      <c r="AO80" s="3" t="s">
        <v>1847</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3615</v>
      </c>
      <c r="BQ80">
        <v>5</v>
      </c>
      <c r="BR80" s="6" t="s">
        <v>50</v>
      </c>
      <c r="BS80">
        <v>0</v>
      </c>
      <c r="BT80" s="6" t="s">
        <v>50</v>
      </c>
      <c r="BU80">
        <v>0</v>
      </c>
    </row>
    <row r="81" spans="1:73" ht="15.75" customHeight="1" x14ac:dyDescent="0.2">
      <c r="A81" s="3">
        <f t="shared" si="1"/>
        <v>2079</v>
      </c>
      <c r="B81" s="3" t="s">
        <v>1170</v>
      </c>
      <c r="C81" s="3" t="s">
        <v>725</v>
      </c>
      <c r="D81" s="27"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1995</v>
      </c>
      <c r="AO81" s="3" t="s">
        <v>1847</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3615</v>
      </c>
      <c r="BQ81">
        <v>5</v>
      </c>
      <c r="BR81" s="6" t="s">
        <v>50</v>
      </c>
      <c r="BS81">
        <v>0</v>
      </c>
      <c r="BT81" s="6" t="s">
        <v>50</v>
      </c>
      <c r="BU81">
        <v>0</v>
      </c>
    </row>
    <row r="82" spans="1:73" ht="15.75" customHeight="1" x14ac:dyDescent="0.2">
      <c r="A82" s="3">
        <f t="shared" si="1"/>
        <v>2080</v>
      </c>
      <c r="B82" s="3" t="s">
        <v>1112</v>
      </c>
      <c r="C82" s="3" t="s">
        <v>713</v>
      </c>
      <c r="D82" s="27"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1995</v>
      </c>
      <c r="AO82" s="3" t="s">
        <v>1847</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3615</v>
      </c>
      <c r="BQ82">
        <v>10</v>
      </c>
      <c r="BR82" s="6" t="s">
        <v>50</v>
      </c>
      <c r="BS82">
        <v>0</v>
      </c>
      <c r="BT82" s="6" t="s">
        <v>3645</v>
      </c>
      <c r="BU82">
        <v>20</v>
      </c>
    </row>
    <row r="83" spans="1:73" ht="15.75" customHeight="1" x14ac:dyDescent="0.2">
      <c r="A83" s="3">
        <f t="shared" si="1"/>
        <v>2081</v>
      </c>
      <c r="B83" s="3" t="s">
        <v>1114</v>
      </c>
      <c r="C83" s="3" t="s">
        <v>718</v>
      </c>
      <c r="D83" s="27"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1995</v>
      </c>
      <c r="AO83" s="3" t="s">
        <v>1847</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3615</v>
      </c>
      <c r="BQ83">
        <v>10</v>
      </c>
      <c r="BR83" s="6" t="s">
        <v>50</v>
      </c>
      <c r="BS83">
        <v>0</v>
      </c>
      <c r="BT83" s="6" t="s">
        <v>3645</v>
      </c>
      <c r="BU83">
        <v>15</v>
      </c>
    </row>
    <row r="84" spans="1:73" ht="15.75" customHeight="1" x14ac:dyDescent="0.2">
      <c r="A84" s="3">
        <f t="shared" si="1"/>
        <v>2082</v>
      </c>
      <c r="B84" s="3" t="s">
        <v>1092</v>
      </c>
      <c r="C84" s="3" t="s">
        <v>1090</v>
      </c>
      <c r="D84" s="27" t="s">
        <v>1355</v>
      </c>
      <c r="E84" s="5" t="s">
        <v>1091</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1995</v>
      </c>
      <c r="AO84" s="3" t="s">
        <v>1847</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3615</v>
      </c>
      <c r="BQ84">
        <v>10</v>
      </c>
      <c r="BR84" s="6" t="s">
        <v>50</v>
      </c>
      <c r="BS84">
        <v>0</v>
      </c>
      <c r="BT84" s="6" t="s">
        <v>3645</v>
      </c>
      <c r="BU84">
        <v>20</v>
      </c>
    </row>
    <row r="85" spans="1:73" ht="15.75" customHeight="1" x14ac:dyDescent="0.2">
      <c r="A85" s="3">
        <f t="shared" si="1"/>
        <v>2083</v>
      </c>
      <c r="B85" s="3" t="s">
        <v>1115</v>
      </c>
      <c r="C85" s="3" t="s">
        <v>1035</v>
      </c>
      <c r="D85" s="27"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1995</v>
      </c>
      <c r="AO85" s="3" t="s">
        <v>1847</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3615</v>
      </c>
      <c r="BQ85">
        <v>10</v>
      </c>
      <c r="BR85" s="6" t="s">
        <v>50</v>
      </c>
      <c r="BS85">
        <v>0</v>
      </c>
      <c r="BT85" s="6" t="s">
        <v>3645</v>
      </c>
      <c r="BU85">
        <v>20</v>
      </c>
    </row>
    <row r="86" spans="1:73" ht="15.75" customHeight="1" x14ac:dyDescent="0.2">
      <c r="A86" s="3">
        <f t="shared" si="1"/>
        <v>2084</v>
      </c>
      <c r="B86" s="3" t="s">
        <v>1175</v>
      </c>
      <c r="C86" s="3" t="s">
        <v>1037</v>
      </c>
      <c r="D86" s="27"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1995</v>
      </c>
      <c r="AO86" s="3" t="s">
        <v>1847</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3615</v>
      </c>
      <c r="BQ86">
        <v>10</v>
      </c>
      <c r="BR86" s="6" t="s">
        <v>50</v>
      </c>
      <c r="BS86">
        <v>0</v>
      </c>
      <c r="BT86" s="6" t="s">
        <v>3645</v>
      </c>
      <c r="BU86">
        <v>20</v>
      </c>
    </row>
    <row r="87" spans="1:73" s="9" customFormat="1" ht="15.75" customHeight="1" x14ac:dyDescent="0.2">
      <c r="A87" s="3">
        <f t="shared" si="1"/>
        <v>2085</v>
      </c>
      <c r="B87" s="7" t="s">
        <v>435</v>
      </c>
      <c r="C87" s="7" t="s">
        <v>729</v>
      </c>
      <c r="D87" s="28"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1995</v>
      </c>
      <c r="AO87" s="7" t="s">
        <v>1847</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c r="BP87" s="10" t="s">
        <v>50</v>
      </c>
      <c r="BQ87" s="9">
        <v>0</v>
      </c>
      <c r="BR87" s="10" t="s">
        <v>50</v>
      </c>
      <c r="BS87" s="9">
        <v>0</v>
      </c>
      <c r="BT87" s="10" t="s">
        <v>50</v>
      </c>
      <c r="BU87" s="9">
        <v>0</v>
      </c>
    </row>
    <row r="88" spans="1:73" ht="15.75" customHeight="1" x14ac:dyDescent="0.2">
      <c r="A88" s="3">
        <f t="shared" si="1"/>
        <v>2086</v>
      </c>
      <c r="B88" s="3" t="s">
        <v>1271</v>
      </c>
      <c r="C88" s="3" t="s">
        <v>714</v>
      </c>
      <c r="D88" s="27"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1995</v>
      </c>
      <c r="AO88" s="3" t="s">
        <v>1847</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3615</v>
      </c>
      <c r="BQ88">
        <v>10</v>
      </c>
      <c r="BR88" s="6" t="s">
        <v>50</v>
      </c>
      <c r="BS88">
        <v>0</v>
      </c>
      <c r="BT88" s="6" t="s">
        <v>50</v>
      </c>
      <c r="BU88">
        <v>0</v>
      </c>
    </row>
    <row r="89" spans="1:73" s="9" customFormat="1" ht="15.75" customHeight="1" x14ac:dyDescent="0.2">
      <c r="A89" s="3">
        <f t="shared" si="1"/>
        <v>2087</v>
      </c>
      <c r="B89" s="7" t="s">
        <v>435</v>
      </c>
      <c r="C89" s="7" t="s">
        <v>711</v>
      </c>
      <c r="D89" s="28"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1995</v>
      </c>
      <c r="AO89" s="7" t="s">
        <v>1847</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c r="BP89" s="10" t="s">
        <v>50</v>
      </c>
      <c r="BQ89" s="9">
        <v>0</v>
      </c>
      <c r="BR89" s="10" t="s">
        <v>50</v>
      </c>
      <c r="BS89" s="9">
        <v>0</v>
      </c>
      <c r="BT89" s="10" t="s">
        <v>50</v>
      </c>
      <c r="BU89" s="9">
        <v>0</v>
      </c>
    </row>
    <row r="90" spans="1:73" s="9" customFormat="1" ht="15.75" customHeight="1" x14ac:dyDescent="0.2">
      <c r="A90" s="3">
        <f t="shared" si="1"/>
        <v>2088</v>
      </c>
      <c r="B90" s="7" t="s">
        <v>435</v>
      </c>
      <c r="C90" s="7" t="s">
        <v>802</v>
      </c>
      <c r="D90" s="28"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1995</v>
      </c>
      <c r="AO90" s="7" t="s">
        <v>1847</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c r="BP90" s="10" t="s">
        <v>50</v>
      </c>
      <c r="BQ90" s="9">
        <v>0</v>
      </c>
      <c r="BR90" s="10" t="s">
        <v>50</v>
      </c>
      <c r="BS90" s="9">
        <v>0</v>
      </c>
      <c r="BT90" s="10" t="s">
        <v>50</v>
      </c>
      <c r="BU90" s="9">
        <v>0</v>
      </c>
    </row>
    <row r="91" spans="1:73" s="9" customFormat="1" ht="15.75" customHeight="1" x14ac:dyDescent="0.2">
      <c r="A91" s="3">
        <f t="shared" si="1"/>
        <v>2089</v>
      </c>
      <c r="B91" s="7" t="s">
        <v>435</v>
      </c>
      <c r="C91" s="7" t="s">
        <v>734</v>
      </c>
      <c r="D91" s="28"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1995</v>
      </c>
      <c r="AO91" s="7" t="s">
        <v>1847</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c r="BP91" s="10" t="s">
        <v>50</v>
      </c>
      <c r="BQ91" s="9">
        <v>0</v>
      </c>
      <c r="BR91" s="10" t="s">
        <v>50</v>
      </c>
      <c r="BS91" s="9">
        <v>0</v>
      </c>
      <c r="BT91" s="10" t="s">
        <v>50</v>
      </c>
      <c r="BU91" s="9">
        <v>0</v>
      </c>
    </row>
    <row r="92" spans="1:73" s="9" customFormat="1" ht="15.75" customHeight="1" x14ac:dyDescent="0.2">
      <c r="A92" s="3">
        <f t="shared" si="1"/>
        <v>2090</v>
      </c>
      <c r="B92" s="7" t="s">
        <v>435</v>
      </c>
      <c r="C92" s="7" t="s">
        <v>804</v>
      </c>
      <c r="D92" s="28"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1995</v>
      </c>
      <c r="AO92" s="7" t="s">
        <v>1847</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c r="BP92" s="10" t="s">
        <v>50</v>
      </c>
      <c r="BQ92" s="9">
        <v>0</v>
      </c>
      <c r="BR92" s="10" t="s">
        <v>50</v>
      </c>
      <c r="BS92" s="9">
        <v>0</v>
      </c>
      <c r="BT92" s="10" t="s">
        <v>50</v>
      </c>
      <c r="BU92" s="9">
        <v>0</v>
      </c>
    </row>
    <row r="93" spans="1:73" ht="15.75" customHeight="1" x14ac:dyDescent="0.2">
      <c r="A93" s="3">
        <f t="shared" si="1"/>
        <v>2091</v>
      </c>
      <c r="B93" s="3" t="s">
        <v>1171</v>
      </c>
      <c r="C93" s="3" t="s">
        <v>785</v>
      </c>
      <c r="D93" s="27"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1995</v>
      </c>
      <c r="AO93" s="3" t="s">
        <v>1847</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3615</v>
      </c>
      <c r="BQ93">
        <v>30</v>
      </c>
      <c r="BR93" s="6" t="s">
        <v>50</v>
      </c>
      <c r="BS93">
        <v>0</v>
      </c>
      <c r="BT93" s="6" t="s">
        <v>50</v>
      </c>
      <c r="BU93">
        <v>0</v>
      </c>
    </row>
    <row r="94" spans="1:73" s="9" customFormat="1" ht="15.75" customHeight="1" x14ac:dyDescent="0.2">
      <c r="A94" s="3">
        <f t="shared" si="1"/>
        <v>2092</v>
      </c>
      <c r="B94" s="7" t="s">
        <v>435</v>
      </c>
      <c r="C94" s="7" t="s">
        <v>786</v>
      </c>
      <c r="D94" s="28"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1995</v>
      </c>
      <c r="AO94" s="7" t="s">
        <v>1847</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c r="BP94" s="10" t="s">
        <v>50</v>
      </c>
      <c r="BQ94" s="9">
        <v>0</v>
      </c>
      <c r="BR94" s="10" t="s">
        <v>50</v>
      </c>
      <c r="BS94" s="9">
        <v>0</v>
      </c>
      <c r="BT94" s="10" t="s">
        <v>50</v>
      </c>
      <c r="BU94" s="9">
        <v>0</v>
      </c>
    </row>
    <row r="95" spans="1:73" ht="15.75" customHeight="1" x14ac:dyDescent="0.2">
      <c r="A95" s="3">
        <f t="shared" si="1"/>
        <v>2093</v>
      </c>
      <c r="B95" s="3" t="s">
        <v>1121</v>
      </c>
      <c r="C95" s="3" t="s">
        <v>755</v>
      </c>
      <c r="D95" s="27"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1995</v>
      </c>
      <c r="AO95" s="3" t="s">
        <v>1847</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3615</v>
      </c>
      <c r="BQ95">
        <v>30</v>
      </c>
      <c r="BR95" s="6" t="s">
        <v>50</v>
      </c>
      <c r="BS95">
        <v>0</v>
      </c>
      <c r="BT95" s="6" t="s">
        <v>50</v>
      </c>
      <c r="BU95">
        <v>0</v>
      </c>
    </row>
    <row r="96" spans="1:73" s="9" customFormat="1" ht="15.75" customHeight="1" x14ac:dyDescent="0.2">
      <c r="A96" s="3">
        <f t="shared" si="1"/>
        <v>2094</v>
      </c>
      <c r="B96" s="7" t="s">
        <v>435</v>
      </c>
      <c r="C96" s="7" t="s">
        <v>808</v>
      </c>
      <c r="D96" s="28"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1995</v>
      </c>
      <c r="AO96" s="7" t="s">
        <v>1847</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c r="BP96" s="10" t="s">
        <v>50</v>
      </c>
      <c r="BQ96" s="9">
        <v>0</v>
      </c>
      <c r="BR96" s="10" t="s">
        <v>50</v>
      </c>
      <c r="BS96" s="9">
        <v>0</v>
      </c>
      <c r="BT96" s="10" t="s">
        <v>50</v>
      </c>
      <c r="BU96" s="9">
        <v>0</v>
      </c>
    </row>
    <row r="97" spans="1:73" s="9" customFormat="1" ht="15.75" customHeight="1" x14ac:dyDescent="0.2">
      <c r="A97" s="3">
        <f t="shared" si="1"/>
        <v>2095</v>
      </c>
      <c r="B97" s="7" t="s">
        <v>435</v>
      </c>
      <c r="C97" s="7" t="s">
        <v>759</v>
      </c>
      <c r="D97" s="28"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1995</v>
      </c>
      <c r="AO97" s="7" t="s">
        <v>1847</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c r="BP97" s="10" t="s">
        <v>50</v>
      </c>
      <c r="BQ97" s="9">
        <v>0</v>
      </c>
      <c r="BR97" s="10" t="s">
        <v>50</v>
      </c>
      <c r="BS97" s="9">
        <v>0</v>
      </c>
      <c r="BT97" s="10" t="s">
        <v>50</v>
      </c>
      <c r="BU97" s="9">
        <v>0</v>
      </c>
    </row>
    <row r="98" spans="1:73" s="9" customFormat="1" ht="15.75" customHeight="1" x14ac:dyDescent="0.2">
      <c r="A98" s="3">
        <f t="shared" si="1"/>
        <v>2096</v>
      </c>
      <c r="B98" s="7" t="s">
        <v>435</v>
      </c>
      <c r="C98" s="7" t="s">
        <v>761</v>
      </c>
      <c r="D98" s="28"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1995</v>
      </c>
      <c r="AO98" s="7" t="s">
        <v>1847</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c r="BP98" s="10" t="s">
        <v>50</v>
      </c>
      <c r="BQ98" s="9">
        <v>0</v>
      </c>
      <c r="BR98" s="10" t="s">
        <v>50</v>
      </c>
      <c r="BS98" s="9">
        <v>0</v>
      </c>
      <c r="BT98" s="10" t="s">
        <v>50</v>
      </c>
      <c r="BU98" s="9">
        <v>0</v>
      </c>
    </row>
    <row r="99" spans="1:73" ht="15.75" customHeight="1" x14ac:dyDescent="0.2">
      <c r="A99" s="3">
        <f t="shared" si="1"/>
        <v>2097</v>
      </c>
      <c r="B99" s="3" t="s">
        <v>1116</v>
      </c>
      <c r="C99" s="3" t="s">
        <v>764</v>
      </c>
      <c r="D99" s="27"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1995</v>
      </c>
      <c r="AO99" s="3" t="s">
        <v>1847</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3615</v>
      </c>
      <c r="BQ99">
        <v>30</v>
      </c>
      <c r="BR99" s="6" t="s">
        <v>50</v>
      </c>
      <c r="BS99">
        <v>0</v>
      </c>
      <c r="BT99" s="6" t="s">
        <v>50</v>
      </c>
      <c r="BU99">
        <v>0</v>
      </c>
    </row>
    <row r="100" spans="1:73" s="9" customFormat="1" ht="15.75" customHeight="1" x14ac:dyDescent="0.2">
      <c r="A100" s="3">
        <f t="shared" si="1"/>
        <v>2098</v>
      </c>
      <c r="B100" s="7" t="s">
        <v>435</v>
      </c>
      <c r="C100" s="7" t="s">
        <v>766</v>
      </c>
      <c r="D100" s="28"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1995</v>
      </c>
      <c r="AO100" s="7" t="s">
        <v>1847</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c r="BP100" s="10" t="s">
        <v>50</v>
      </c>
      <c r="BQ100" s="9">
        <v>0</v>
      </c>
      <c r="BR100" s="10" t="s">
        <v>50</v>
      </c>
      <c r="BS100" s="9">
        <v>0</v>
      </c>
      <c r="BT100" s="10" t="s">
        <v>50</v>
      </c>
      <c r="BU100" s="9">
        <v>0</v>
      </c>
    </row>
    <row r="101" spans="1:73" s="9" customFormat="1" ht="15.75" customHeight="1" x14ac:dyDescent="0.2">
      <c r="A101" s="3">
        <f t="shared" si="1"/>
        <v>2099</v>
      </c>
      <c r="B101" s="7" t="s">
        <v>435</v>
      </c>
      <c r="C101" s="7" t="s">
        <v>768</v>
      </c>
      <c r="D101" s="28"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1995</v>
      </c>
      <c r="AO101" s="7" t="s">
        <v>1847</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c r="BP101" s="10" t="s">
        <v>50</v>
      </c>
      <c r="BQ101" s="9">
        <v>0</v>
      </c>
      <c r="BR101" s="10" t="s">
        <v>50</v>
      </c>
      <c r="BS101" s="9">
        <v>0</v>
      </c>
      <c r="BT101" s="10" t="s">
        <v>50</v>
      </c>
      <c r="BU101" s="9">
        <v>0</v>
      </c>
    </row>
    <row r="102" spans="1:73" ht="15.75" customHeight="1" x14ac:dyDescent="0.2">
      <c r="A102" s="3">
        <f t="shared" si="1"/>
        <v>2100</v>
      </c>
      <c r="B102" s="3" t="s">
        <v>1172</v>
      </c>
      <c r="C102" s="3" t="s">
        <v>770</v>
      </c>
      <c r="D102" s="27"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1995</v>
      </c>
      <c r="AO102" s="3" t="s">
        <v>1847</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3615</v>
      </c>
      <c r="BQ102">
        <v>10</v>
      </c>
      <c r="BR102" s="6" t="s">
        <v>50</v>
      </c>
      <c r="BS102">
        <v>0</v>
      </c>
      <c r="BT102" s="6" t="s">
        <v>50</v>
      </c>
      <c r="BU102">
        <v>0</v>
      </c>
    </row>
    <row r="103" spans="1:73" s="9" customFormat="1" ht="15.75" customHeight="1" x14ac:dyDescent="0.2">
      <c r="A103" s="3">
        <f t="shared" si="1"/>
        <v>2101</v>
      </c>
      <c r="B103" s="7" t="s">
        <v>435</v>
      </c>
      <c r="C103" s="7" t="s">
        <v>774</v>
      </c>
      <c r="D103" s="28"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1995</v>
      </c>
      <c r="AO103" s="7" t="s">
        <v>1847</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c r="BP103" s="10" t="s">
        <v>50</v>
      </c>
      <c r="BQ103" s="9">
        <v>0</v>
      </c>
      <c r="BR103" s="10" t="s">
        <v>50</v>
      </c>
      <c r="BS103" s="9">
        <v>0</v>
      </c>
      <c r="BT103" s="10" t="s">
        <v>50</v>
      </c>
      <c r="BU103" s="9">
        <v>0</v>
      </c>
    </row>
    <row r="104" spans="1:73" s="9" customFormat="1" ht="15.75" customHeight="1" x14ac:dyDescent="0.2">
      <c r="A104" s="3">
        <f t="shared" si="1"/>
        <v>2102</v>
      </c>
      <c r="B104" s="7" t="s">
        <v>435</v>
      </c>
      <c r="C104" s="7" t="s">
        <v>777</v>
      </c>
      <c r="D104" s="28"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1995</v>
      </c>
      <c r="AO104" s="7" t="s">
        <v>1847</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c r="BP104" s="10" t="s">
        <v>50</v>
      </c>
      <c r="BQ104" s="9">
        <v>0</v>
      </c>
      <c r="BR104" s="10" t="s">
        <v>50</v>
      </c>
      <c r="BS104" s="9">
        <v>0</v>
      </c>
      <c r="BT104" s="10" t="s">
        <v>50</v>
      </c>
      <c r="BU104" s="9">
        <v>0</v>
      </c>
    </row>
    <row r="105" spans="1:73" ht="15.75" customHeight="1" x14ac:dyDescent="0.2">
      <c r="A105" s="3">
        <f t="shared" si="1"/>
        <v>2103</v>
      </c>
      <c r="B105" s="3" t="s">
        <v>1406</v>
      </c>
      <c r="C105" s="3" t="s">
        <v>1366</v>
      </c>
      <c r="D105" s="27" t="s">
        <v>1367</v>
      </c>
      <c r="E105" s="5" t="s">
        <v>1368</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1995</v>
      </c>
      <c r="AO105" s="3" t="s">
        <v>1847</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3615</v>
      </c>
      <c r="BQ105">
        <v>30</v>
      </c>
      <c r="BR105" s="6" t="s">
        <v>50</v>
      </c>
      <c r="BS105">
        <v>0</v>
      </c>
      <c r="BT105" s="6" t="s">
        <v>50</v>
      </c>
      <c r="BU105">
        <v>0</v>
      </c>
    </row>
    <row r="106" spans="1:73" ht="15.75" customHeight="1" x14ac:dyDescent="0.2">
      <c r="A106" s="3">
        <f t="shared" si="1"/>
        <v>2104</v>
      </c>
      <c r="B106" s="3" t="s">
        <v>1267</v>
      </c>
      <c r="C106" s="3" t="s">
        <v>731</v>
      </c>
      <c r="D106" s="27" t="s">
        <v>1360</v>
      </c>
      <c r="E106" s="5" t="s">
        <v>1361</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1995</v>
      </c>
      <c r="AO106" s="3" t="s">
        <v>1847</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row>
    <row r="107" spans="1:73" ht="15.75" customHeight="1" x14ac:dyDescent="0.2">
      <c r="A107" s="3">
        <f t="shared" si="1"/>
        <v>2105</v>
      </c>
      <c r="B107" s="3" t="s">
        <v>1268</v>
      </c>
      <c r="C107" s="3" t="s">
        <v>813</v>
      </c>
      <c r="D107" s="27"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1995</v>
      </c>
      <c r="AO107" s="3" t="s">
        <v>1847</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row>
    <row r="108" spans="1:73" ht="15.75" customHeight="1" x14ac:dyDescent="0.2">
      <c r="A108" s="3">
        <f t="shared" si="1"/>
        <v>2106</v>
      </c>
      <c r="B108" s="3" t="s">
        <v>1269</v>
      </c>
      <c r="C108" s="3" t="s">
        <v>732</v>
      </c>
      <c r="D108" s="27" t="s">
        <v>1359</v>
      </c>
      <c r="E108" s="5" t="s">
        <v>1362</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1995</v>
      </c>
      <c r="AO108" s="3" t="s">
        <v>1847</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row>
    <row r="109" spans="1:73" ht="15.75" customHeight="1" x14ac:dyDescent="0.2">
      <c r="A109" s="3">
        <f t="shared" si="1"/>
        <v>2107</v>
      </c>
      <c r="B109" s="3" t="s">
        <v>1270</v>
      </c>
      <c r="C109" s="3" t="s">
        <v>816</v>
      </c>
      <c r="D109" s="27"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1995</v>
      </c>
      <c r="AO109" s="3" t="s">
        <v>1847</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row>
    <row r="110" spans="1:73" ht="15.75" customHeight="1" x14ac:dyDescent="0.2">
      <c r="A110" s="3">
        <f t="shared" si="1"/>
        <v>2108</v>
      </c>
      <c r="B110" s="3" t="s">
        <v>1173</v>
      </c>
      <c r="C110" s="3" t="s">
        <v>749</v>
      </c>
      <c r="D110" s="27"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0</v>
      </c>
      <c r="AI110" s="3">
        <v>0</v>
      </c>
      <c r="AJ110" s="3">
        <v>0</v>
      </c>
      <c r="AK110" s="3">
        <v>0</v>
      </c>
      <c r="AL110" s="3" t="s">
        <v>31</v>
      </c>
      <c r="AM110" s="3" t="s">
        <v>570</v>
      </c>
      <c r="AN110" s="3" t="s">
        <v>1995</v>
      </c>
      <c r="AO110" s="3" t="s">
        <v>1847</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row>
    <row r="111" spans="1:73" s="9" customFormat="1" ht="15.75" customHeight="1" x14ac:dyDescent="0.2">
      <c r="A111" s="3">
        <f t="shared" si="1"/>
        <v>2109</v>
      </c>
      <c r="B111" s="7" t="s">
        <v>435</v>
      </c>
      <c r="C111" s="7" t="s">
        <v>751</v>
      </c>
      <c r="D111" s="28"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1995</v>
      </c>
      <c r="AO111" s="7" t="s">
        <v>1847</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c r="BP111" s="10" t="s">
        <v>50</v>
      </c>
      <c r="BQ111" s="9">
        <v>0</v>
      </c>
      <c r="BR111" s="10" t="s">
        <v>50</v>
      </c>
      <c r="BS111" s="9">
        <v>0</v>
      </c>
      <c r="BT111" s="10" t="s">
        <v>50</v>
      </c>
      <c r="BU111" s="9">
        <v>0</v>
      </c>
    </row>
    <row r="112" spans="1:73" ht="15.75" customHeight="1" x14ac:dyDescent="0.2">
      <c r="A112" s="3">
        <f t="shared" si="1"/>
        <v>2110</v>
      </c>
      <c r="B112" s="3" t="s">
        <v>1406</v>
      </c>
      <c r="C112" s="3" t="s">
        <v>3185</v>
      </c>
      <c r="D112" s="27" t="s">
        <v>3186</v>
      </c>
      <c r="E112" s="5" t="s">
        <v>3187</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1995</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row>
    <row r="113" spans="1:73" s="23" customFormat="1" ht="15.75" customHeight="1" x14ac:dyDescent="0.2">
      <c r="A113" s="21">
        <f t="shared" si="1"/>
        <v>2111</v>
      </c>
      <c r="B113" s="21" t="s">
        <v>305</v>
      </c>
      <c r="C113" s="21" t="s">
        <v>2329</v>
      </c>
      <c r="D113" s="22" t="s">
        <v>2330</v>
      </c>
      <c r="E113" s="22" t="s">
        <v>2278</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1849</v>
      </c>
      <c r="AN113" s="21" t="s">
        <v>2009</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c r="BP113" s="24" t="s">
        <v>50</v>
      </c>
      <c r="BQ113" s="23">
        <v>0</v>
      </c>
      <c r="BR113" s="24" t="s">
        <v>50</v>
      </c>
      <c r="BS113" s="23">
        <v>0</v>
      </c>
      <c r="BT113" s="24" t="s">
        <v>50</v>
      </c>
      <c r="BU113" s="23">
        <v>0</v>
      </c>
    </row>
    <row r="114" spans="1:73" s="9" customFormat="1" ht="15.75" customHeight="1" x14ac:dyDescent="0.2">
      <c r="A114" s="7">
        <f t="shared" si="1"/>
        <v>2112</v>
      </c>
      <c r="B114" s="7" t="s">
        <v>1539</v>
      </c>
      <c r="C114" s="7" t="s">
        <v>1539</v>
      </c>
      <c r="D114" s="28" t="s">
        <v>1538</v>
      </c>
      <c r="E114" s="8" t="s">
        <v>1540</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1541</v>
      </c>
      <c r="AN114" s="7" t="s">
        <v>3094</v>
      </c>
      <c r="AO114" s="7" t="s">
        <v>1847</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row>
    <row r="115" spans="1:73" s="23" customFormat="1" ht="15.75" customHeight="1" x14ac:dyDescent="0.2">
      <c r="A115" s="21">
        <f t="shared" si="1"/>
        <v>2113</v>
      </c>
      <c r="B115" s="21" t="s">
        <v>305</v>
      </c>
      <c r="C115" s="21" t="s">
        <v>2349</v>
      </c>
      <c r="D115" s="22" t="s">
        <v>2350</v>
      </c>
      <c r="E115" s="22" t="s">
        <v>2278</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1849</v>
      </c>
      <c r="AN115" s="21" t="s">
        <v>2009</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c r="BP115" s="24" t="s">
        <v>50</v>
      </c>
      <c r="BQ115" s="23">
        <v>0</v>
      </c>
      <c r="BR115" s="24" t="s">
        <v>50</v>
      </c>
      <c r="BS115" s="23">
        <v>0</v>
      </c>
      <c r="BT115" s="24" t="s">
        <v>50</v>
      </c>
      <c r="BU115" s="23">
        <v>0</v>
      </c>
    </row>
    <row r="116" spans="1:73" ht="15.75" customHeight="1" x14ac:dyDescent="0.2">
      <c r="A116" s="3">
        <f t="shared" si="1"/>
        <v>2114</v>
      </c>
      <c r="B116" s="3" t="s">
        <v>1131</v>
      </c>
      <c r="C116" s="3" t="s">
        <v>1131</v>
      </c>
      <c r="D116" s="27" t="s">
        <v>1371</v>
      </c>
      <c r="E116" s="5" t="s">
        <v>1370</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10</v>
      </c>
      <c r="AG116" s="3">
        <v>20</v>
      </c>
      <c r="AH116" s="3">
        <v>0</v>
      </c>
      <c r="AI116" s="3">
        <v>20</v>
      </c>
      <c r="AJ116" s="3">
        <v>0</v>
      </c>
      <c r="AK116" s="3">
        <v>0</v>
      </c>
      <c r="AL116" s="3" t="s">
        <v>31</v>
      </c>
      <c r="AM116" s="3" t="s">
        <v>1023</v>
      </c>
      <c r="AN116" s="3" t="s">
        <v>1997</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1348</v>
      </c>
      <c r="BE116" s="6" t="s">
        <v>50</v>
      </c>
      <c r="BF116" s="6" t="s">
        <v>50</v>
      </c>
      <c r="BG116" s="6" t="s">
        <v>50</v>
      </c>
      <c r="BH116" s="6" t="s">
        <v>50</v>
      </c>
      <c r="BI116">
        <v>1</v>
      </c>
      <c r="BJ116">
        <v>720</v>
      </c>
      <c r="BK116">
        <v>2</v>
      </c>
      <c r="BL116">
        <v>30</v>
      </c>
      <c r="BM116">
        <v>0</v>
      </c>
      <c r="BN116">
        <v>0</v>
      </c>
      <c r="BO116">
        <v>0</v>
      </c>
      <c r="BP116" s="6" t="s">
        <v>50</v>
      </c>
      <c r="BQ116">
        <v>0</v>
      </c>
      <c r="BR116" s="6" t="s">
        <v>3643</v>
      </c>
      <c r="BS116">
        <v>20</v>
      </c>
      <c r="BT116" s="6" t="s">
        <v>50</v>
      </c>
      <c r="BU116">
        <v>0</v>
      </c>
    </row>
    <row r="117" spans="1:73" s="43" customFormat="1" ht="15.75" customHeight="1" x14ac:dyDescent="0.2">
      <c r="A117" s="40">
        <f t="shared" si="1"/>
        <v>2115</v>
      </c>
      <c r="B117" s="40" t="s">
        <v>1131</v>
      </c>
      <c r="C117" s="40" t="s">
        <v>2929</v>
      </c>
      <c r="D117" s="41" t="s">
        <v>3112</v>
      </c>
      <c r="E117" s="42" t="s">
        <v>2930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20</v>
      </c>
      <c r="AG117" s="40">
        <v>20</v>
      </c>
      <c r="AH117" s="40">
        <v>0</v>
      </c>
      <c r="AI117" s="40">
        <v>50</v>
      </c>
      <c r="AJ117" s="40">
        <v>0</v>
      </c>
      <c r="AK117" s="40">
        <v>0</v>
      </c>
      <c r="AL117" s="40" t="s">
        <v>31</v>
      </c>
      <c r="AM117" s="40" t="s">
        <v>1023</v>
      </c>
      <c r="AN117" s="40" t="s">
        <v>3095</v>
      </c>
      <c r="AO117" s="40" t="s">
        <v>1031</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1348</v>
      </c>
      <c r="BE117" s="44" t="s">
        <v>50</v>
      </c>
      <c r="BF117" s="44" t="s">
        <v>50</v>
      </c>
      <c r="BG117" s="44" t="s">
        <v>50</v>
      </c>
      <c r="BH117" s="44" t="s">
        <v>50</v>
      </c>
      <c r="BI117" s="43">
        <v>1</v>
      </c>
      <c r="BJ117" s="43">
        <v>722</v>
      </c>
      <c r="BK117" s="43">
        <v>2</v>
      </c>
      <c r="BL117" s="43">
        <v>30</v>
      </c>
      <c r="BM117" s="43">
        <v>0</v>
      </c>
      <c r="BN117" s="43">
        <v>0</v>
      </c>
      <c r="BO117" s="43">
        <v>0</v>
      </c>
      <c r="BP117" s="44" t="s">
        <v>50</v>
      </c>
      <c r="BQ117" s="43">
        <v>0</v>
      </c>
      <c r="BR117" s="44" t="s">
        <v>3643</v>
      </c>
      <c r="BS117" s="43">
        <v>30</v>
      </c>
      <c r="BT117" s="44" t="s">
        <v>50</v>
      </c>
      <c r="BU117" s="43">
        <v>0</v>
      </c>
    </row>
    <row r="118" spans="1:73" ht="15.75" customHeight="1" x14ac:dyDescent="0.2">
      <c r="A118" s="3">
        <f t="shared" si="1"/>
        <v>2116</v>
      </c>
      <c r="B118" s="3" t="s">
        <v>1022</v>
      </c>
      <c r="C118" s="3" t="s">
        <v>1022</v>
      </c>
      <c r="D118" s="27" t="s">
        <v>3120</v>
      </c>
      <c r="E118" s="5" t="s">
        <v>1493</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20</v>
      </c>
      <c r="AG118" s="3">
        <v>0</v>
      </c>
      <c r="AH118" s="3">
        <v>0</v>
      </c>
      <c r="AI118" s="3">
        <v>0</v>
      </c>
      <c r="AJ118" s="3">
        <v>0</v>
      </c>
      <c r="AK118" s="3">
        <v>0</v>
      </c>
      <c r="AL118" s="3" t="s">
        <v>31</v>
      </c>
      <c r="AM118" s="3" t="s">
        <v>1023</v>
      </c>
      <c r="AN118" s="3" t="s">
        <v>1997</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1349</v>
      </c>
      <c r="BE118" s="6" t="s">
        <v>50</v>
      </c>
      <c r="BF118" s="6" t="s">
        <v>50</v>
      </c>
      <c r="BG118" s="6" t="s">
        <v>50</v>
      </c>
      <c r="BH118" s="6" t="s">
        <v>50</v>
      </c>
      <c r="BI118">
        <v>1</v>
      </c>
      <c r="BJ118">
        <v>721</v>
      </c>
      <c r="BK118">
        <v>3</v>
      </c>
      <c r="BL118">
        <v>30</v>
      </c>
      <c r="BM118">
        <v>0</v>
      </c>
      <c r="BN118">
        <v>0</v>
      </c>
      <c r="BO118">
        <v>0</v>
      </c>
      <c r="BP118" s="6" t="s">
        <v>50</v>
      </c>
      <c r="BQ118">
        <v>0</v>
      </c>
      <c r="BR118" s="6" t="s">
        <v>50</v>
      </c>
      <c r="BS118">
        <v>0</v>
      </c>
      <c r="BT118" s="6" t="s">
        <v>50</v>
      </c>
      <c r="BU118">
        <v>0</v>
      </c>
    </row>
    <row r="119" spans="1:73" ht="15.75" customHeight="1" x14ac:dyDescent="0.2">
      <c r="A119" s="3">
        <f t="shared" si="1"/>
        <v>2117</v>
      </c>
      <c r="B119" s="3" t="s">
        <v>2690</v>
      </c>
      <c r="C119" s="3" t="s">
        <v>2690</v>
      </c>
      <c r="D119" s="27" t="s">
        <v>2689</v>
      </c>
      <c r="E119" s="5" t="s">
        <v>2859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30</v>
      </c>
      <c r="AG119" s="3">
        <v>30</v>
      </c>
      <c r="AH119" s="3">
        <v>0</v>
      </c>
      <c r="AI119" s="3">
        <v>0</v>
      </c>
      <c r="AJ119" s="3">
        <v>0</v>
      </c>
      <c r="AK119" s="3">
        <v>0</v>
      </c>
      <c r="AL119" s="3" t="s">
        <v>31</v>
      </c>
      <c r="AM119" s="3" t="s">
        <v>1023</v>
      </c>
      <c r="AN119" s="3" t="s">
        <v>1997</v>
      </c>
      <c r="AO119" s="3" t="s">
        <v>50</v>
      </c>
      <c r="AP119" s="3">
        <v>45</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50</v>
      </c>
      <c r="BQ119">
        <v>0</v>
      </c>
      <c r="BR119" s="6" t="s">
        <v>3643</v>
      </c>
      <c r="BS119">
        <v>12</v>
      </c>
      <c r="BT119" s="6" t="s">
        <v>3626</v>
      </c>
      <c r="BU119">
        <v>30</v>
      </c>
    </row>
    <row r="120" spans="1:73" ht="15.75" customHeight="1" x14ac:dyDescent="0.2">
      <c r="A120" s="3">
        <f t="shared" si="1"/>
        <v>2118</v>
      </c>
      <c r="B120" s="3" t="s">
        <v>2866</v>
      </c>
      <c r="C120" s="3" t="s">
        <v>2866</v>
      </c>
      <c r="D120" s="27" t="s">
        <v>3113</v>
      </c>
      <c r="E120" s="5" t="s">
        <v>2867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30</v>
      </c>
      <c r="AG120" s="3">
        <v>30</v>
      </c>
      <c r="AH120" s="3">
        <v>0</v>
      </c>
      <c r="AI120" s="3">
        <v>40</v>
      </c>
      <c r="AJ120" s="3">
        <v>0</v>
      </c>
      <c r="AK120" s="3">
        <v>0</v>
      </c>
      <c r="AL120" s="3" t="s">
        <v>31</v>
      </c>
      <c r="AM120" s="3" t="s">
        <v>1023</v>
      </c>
      <c r="AN120" s="3" t="s">
        <v>3095</v>
      </c>
      <c r="AO120" s="3" t="s">
        <v>50</v>
      </c>
      <c r="AP120" s="3">
        <v>45</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3615</v>
      </c>
      <c r="BQ120">
        <v>30</v>
      </c>
      <c r="BR120" s="6" t="s">
        <v>3643</v>
      </c>
      <c r="BS120">
        <v>30</v>
      </c>
      <c r="BT120" s="6" t="s">
        <v>3626</v>
      </c>
      <c r="BU120">
        <v>30</v>
      </c>
    </row>
    <row r="121" spans="1:73" ht="15.75" customHeight="1" x14ac:dyDescent="0.2">
      <c r="A121" s="3">
        <f t="shared" si="1"/>
        <v>2119</v>
      </c>
      <c r="B121" s="3" t="s">
        <v>2793</v>
      </c>
      <c r="C121" s="3" t="s">
        <v>2793</v>
      </c>
      <c r="D121" s="27" t="s">
        <v>2728</v>
      </c>
      <c r="E121" s="5" t="s">
        <v>2729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40</v>
      </c>
      <c r="AG121" s="3">
        <v>0</v>
      </c>
      <c r="AH121" s="3">
        <v>0</v>
      </c>
      <c r="AI121" s="3">
        <v>50</v>
      </c>
      <c r="AJ121" s="3">
        <v>0</v>
      </c>
      <c r="AK121" s="3">
        <v>0</v>
      </c>
      <c r="AL121" s="3" t="s">
        <v>31</v>
      </c>
      <c r="AM121" s="3" t="s">
        <v>1023</v>
      </c>
      <c r="AN121" s="3" t="s">
        <v>1997</v>
      </c>
      <c r="AO121" s="3" t="s">
        <v>50</v>
      </c>
      <c r="AP121" s="3">
        <v>45</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3643</v>
      </c>
      <c r="BS121">
        <v>30</v>
      </c>
      <c r="BT121" s="6" t="s">
        <v>3626</v>
      </c>
      <c r="BU121">
        <v>30</v>
      </c>
    </row>
    <row r="122" spans="1:73" ht="15.75" customHeight="1" x14ac:dyDescent="0.2">
      <c r="A122" s="3">
        <f t="shared" si="1"/>
        <v>2120</v>
      </c>
      <c r="B122" s="3" t="s">
        <v>2791</v>
      </c>
      <c r="C122" s="3" t="s">
        <v>2791</v>
      </c>
      <c r="D122" s="27" t="s">
        <v>2790</v>
      </c>
      <c r="E122" s="5" t="s">
        <v>2792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10</v>
      </c>
      <c r="AG122" s="3">
        <v>20</v>
      </c>
      <c r="AH122" s="3">
        <v>0</v>
      </c>
      <c r="AI122" s="3">
        <v>0</v>
      </c>
      <c r="AJ122" s="3">
        <v>0</v>
      </c>
      <c r="AK122" s="3">
        <v>0</v>
      </c>
      <c r="AL122" s="3" t="s">
        <v>31</v>
      </c>
      <c r="AM122" s="3" t="s">
        <v>1023</v>
      </c>
      <c r="AN122" s="3" t="s">
        <v>1997</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50</v>
      </c>
      <c r="BQ122">
        <v>0</v>
      </c>
      <c r="BR122" s="6" t="s">
        <v>50</v>
      </c>
      <c r="BS122">
        <v>0</v>
      </c>
      <c r="BT122" s="6" t="s">
        <v>50</v>
      </c>
      <c r="BU122">
        <v>0</v>
      </c>
    </row>
    <row r="123" spans="1:73" s="23" customFormat="1" ht="15.75" customHeight="1" x14ac:dyDescent="0.2">
      <c r="A123" s="21">
        <f t="shared" si="1"/>
        <v>2121</v>
      </c>
      <c r="B123" s="21" t="s">
        <v>305</v>
      </c>
      <c r="C123" s="21" t="s">
        <v>2325</v>
      </c>
      <c r="D123" s="22" t="s">
        <v>2326</v>
      </c>
      <c r="E123" s="22" t="s">
        <v>2278</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1849</v>
      </c>
      <c r="AN123" s="21" t="s">
        <v>2009</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c r="BP123" s="24" t="s">
        <v>50</v>
      </c>
      <c r="BQ123" s="23">
        <v>0</v>
      </c>
      <c r="BR123" s="24" t="s">
        <v>50</v>
      </c>
      <c r="BS123" s="23">
        <v>0</v>
      </c>
      <c r="BT123" s="24" t="s">
        <v>50</v>
      </c>
      <c r="BU123" s="23">
        <v>0</v>
      </c>
    </row>
    <row r="124" spans="1:73" ht="15.75" customHeight="1" x14ac:dyDescent="0.2">
      <c r="A124" s="3">
        <f t="shared" si="1"/>
        <v>2122</v>
      </c>
      <c r="B124" s="3" t="s">
        <v>497</v>
      </c>
      <c r="C124" s="3" t="s">
        <v>497</v>
      </c>
      <c r="D124" s="27"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0</v>
      </c>
      <c r="AI124" s="3">
        <v>0</v>
      </c>
      <c r="AJ124" s="3">
        <v>0</v>
      </c>
      <c r="AK124" s="3">
        <v>30</v>
      </c>
      <c r="AL124" s="3" t="s">
        <v>31</v>
      </c>
      <c r="AM124" s="3" t="s">
        <v>660</v>
      </c>
      <c r="AN124" s="3" t="s">
        <v>1998</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row>
    <row r="125" spans="1:73" ht="15.75" customHeight="1" x14ac:dyDescent="0.2">
      <c r="A125" s="3">
        <f t="shared" si="1"/>
        <v>2123</v>
      </c>
      <c r="B125" s="3" t="s">
        <v>1085</v>
      </c>
      <c r="C125" s="3" t="s">
        <v>1085</v>
      </c>
      <c r="D125" s="27" t="s">
        <v>1084</v>
      </c>
      <c r="E125" s="5" t="s">
        <v>1506</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1998</v>
      </c>
      <c r="AO125" s="3" t="s">
        <v>1847</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3615</v>
      </c>
      <c r="BQ125">
        <v>10</v>
      </c>
      <c r="BR125" s="6" t="s">
        <v>50</v>
      </c>
      <c r="BS125">
        <v>0</v>
      </c>
      <c r="BT125" s="6" t="s">
        <v>50</v>
      </c>
      <c r="BU125">
        <v>0</v>
      </c>
    </row>
    <row r="126" spans="1:73" ht="15.75" customHeight="1" x14ac:dyDescent="0.2">
      <c r="A126" s="3">
        <f t="shared" si="1"/>
        <v>2124</v>
      </c>
      <c r="B126" s="3" t="s">
        <v>1230</v>
      </c>
      <c r="C126" s="3" t="s">
        <v>1230</v>
      </c>
      <c r="D126" s="27" t="s">
        <v>1231</v>
      </c>
      <c r="E126" s="5" t="s">
        <v>1232</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1998</v>
      </c>
      <c r="AO126" s="3" t="s">
        <v>1847</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row>
    <row r="127" spans="1:73" ht="15.75" customHeight="1" x14ac:dyDescent="0.2">
      <c r="A127" s="3">
        <f t="shared" si="1"/>
        <v>2125</v>
      </c>
      <c r="B127" s="3" t="s">
        <v>1133</v>
      </c>
      <c r="C127" s="3" t="s">
        <v>1133</v>
      </c>
      <c r="D127" s="27" t="s">
        <v>1132</v>
      </c>
      <c r="E127" s="5" t="s">
        <v>1372</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1998</v>
      </c>
      <c r="AO127" s="3" t="s">
        <v>1847</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3643</v>
      </c>
      <c r="BS127">
        <v>30</v>
      </c>
      <c r="BT127" s="6" t="s">
        <v>50</v>
      </c>
      <c r="BU127">
        <v>0</v>
      </c>
    </row>
    <row r="128" spans="1:73" s="9" customFormat="1" ht="15.75" customHeight="1" x14ac:dyDescent="0.2">
      <c r="A128" s="7">
        <f t="shared" si="1"/>
        <v>2126</v>
      </c>
      <c r="B128" s="7" t="s">
        <v>1135</v>
      </c>
      <c r="C128" s="7" t="s">
        <v>1135</v>
      </c>
      <c r="D128" s="28" t="s">
        <v>1134</v>
      </c>
      <c r="E128" s="8" t="s">
        <v>1136</v>
      </c>
      <c r="F128" s="7">
        <v>0</v>
      </c>
      <c r="G128" s="7">
        <v>300</v>
      </c>
      <c r="H128" s="7">
        <v>0</v>
      </c>
      <c r="I128" s="7">
        <v>20</v>
      </c>
      <c r="J128" s="7">
        <v>0</v>
      </c>
      <c r="K128" s="7">
        <v>1</v>
      </c>
      <c r="L128" s="7">
        <v>0</v>
      </c>
      <c r="M128" s="7">
        <v>0</v>
      </c>
      <c r="N128" s="7">
        <v>0</v>
      </c>
      <c r="O128" s="7">
        <v>0</v>
      </c>
      <c r="P128" s="7">
        <v>0</v>
      </c>
      <c r="Q128" s="7">
        <v>0</v>
      </c>
      <c r="R128" s="7">
        <v>0</v>
      </c>
      <c r="S128" s="7">
        <v>0</v>
      </c>
      <c r="T128" s="7">
        <v>0</v>
      </c>
      <c r="U128" s="7">
        <v>0</v>
      </c>
      <c r="V128" s="7">
        <v>0</v>
      </c>
      <c r="W128" s="7">
        <v>0</v>
      </c>
      <c r="X128" s="7">
        <v>0</v>
      </c>
      <c r="Y128" s="7">
        <v>110</v>
      </c>
      <c r="Z128" s="7">
        <v>0</v>
      </c>
      <c r="AA128" s="7">
        <v>0</v>
      </c>
      <c r="AB128" s="7">
        <v>0</v>
      </c>
      <c r="AC128" s="7">
        <v>0</v>
      </c>
      <c r="AD128" s="7">
        <v>0</v>
      </c>
      <c r="AE128" s="7">
        <v>0</v>
      </c>
      <c r="AF128" s="7">
        <v>10</v>
      </c>
      <c r="AG128" s="7">
        <v>0</v>
      </c>
      <c r="AH128" s="7">
        <v>0</v>
      </c>
      <c r="AI128" s="7">
        <v>10</v>
      </c>
      <c r="AJ128" s="7">
        <v>0</v>
      </c>
      <c r="AK128" s="7">
        <v>30</v>
      </c>
      <c r="AL128" s="7" t="s">
        <v>31</v>
      </c>
      <c r="AM128" s="7" t="s">
        <v>660</v>
      </c>
      <c r="AN128" s="7" t="s">
        <v>1998</v>
      </c>
      <c r="AO128" s="7" t="s">
        <v>1847</v>
      </c>
      <c r="AP128" s="7">
        <v>30</v>
      </c>
      <c r="AQ128" s="7">
        <v>2</v>
      </c>
      <c r="AR128" s="9">
        <v>2000</v>
      </c>
      <c r="AS128" s="9">
        <v>10</v>
      </c>
      <c r="AT128" s="10" t="s">
        <v>50</v>
      </c>
      <c r="AU128" s="10" t="s">
        <v>50</v>
      </c>
      <c r="AV128" s="10" t="s">
        <v>50</v>
      </c>
      <c r="AW128" s="10" t="s">
        <v>50</v>
      </c>
      <c r="AX128" s="10" t="s">
        <v>50</v>
      </c>
      <c r="AY128" s="10" t="s">
        <v>50</v>
      </c>
      <c r="AZ128" s="10" t="s">
        <v>50</v>
      </c>
      <c r="BA128" s="10" t="s">
        <v>50</v>
      </c>
      <c r="BB128" s="10" t="s">
        <v>50</v>
      </c>
      <c r="BC128" s="10" t="s">
        <v>50</v>
      </c>
      <c r="BD128" s="10" t="s">
        <v>50</v>
      </c>
      <c r="BE128" s="10" t="s">
        <v>50</v>
      </c>
      <c r="BF128" s="10" t="s">
        <v>50</v>
      </c>
      <c r="BG128" s="10" t="s">
        <v>50</v>
      </c>
      <c r="BH128" s="10" t="s">
        <v>50</v>
      </c>
      <c r="BI128" s="9">
        <v>0</v>
      </c>
      <c r="BJ128" s="9">
        <v>652</v>
      </c>
      <c r="BK128" s="9">
        <v>4</v>
      </c>
      <c r="BL128" s="9">
        <v>70</v>
      </c>
      <c r="BM128" s="9">
        <v>0</v>
      </c>
      <c r="BN128" s="9">
        <v>0</v>
      </c>
      <c r="BO128" s="9">
        <v>0</v>
      </c>
      <c r="BP128" s="10" t="s">
        <v>3615</v>
      </c>
      <c r="BQ128" s="9">
        <v>20</v>
      </c>
      <c r="BR128" s="10" t="s">
        <v>50</v>
      </c>
      <c r="BS128" s="9">
        <v>0</v>
      </c>
      <c r="BT128" s="10" t="s">
        <v>50</v>
      </c>
      <c r="BU128" s="9">
        <v>0</v>
      </c>
    </row>
    <row r="129" spans="1:73" s="23" customFormat="1" ht="15.75" customHeight="1" x14ac:dyDescent="0.2">
      <c r="A129" s="21">
        <f t="shared" si="1"/>
        <v>2127</v>
      </c>
      <c r="B129" s="21" t="s">
        <v>305</v>
      </c>
      <c r="C129" s="21" t="s">
        <v>2336</v>
      </c>
      <c r="D129" s="22" t="s">
        <v>2337</v>
      </c>
      <c r="E129" s="22" t="s">
        <v>2278</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1849</v>
      </c>
      <c r="AN129" s="21" t="s">
        <v>2009</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c r="BP129" s="24" t="s">
        <v>50</v>
      </c>
      <c r="BQ129" s="23">
        <v>0</v>
      </c>
      <c r="BR129" s="24" t="s">
        <v>50</v>
      </c>
      <c r="BS129" s="23">
        <v>0</v>
      </c>
      <c r="BT129" s="24" t="s">
        <v>50</v>
      </c>
      <c r="BU129" s="23">
        <v>0</v>
      </c>
    </row>
    <row r="130" spans="1:73"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2001</v>
      </c>
      <c r="AO130" s="3" t="s">
        <v>1847</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row>
    <row r="131" spans="1:73" s="9" customFormat="1" ht="15.75" customHeight="1" x14ac:dyDescent="0.2">
      <c r="A131" s="7">
        <f t="shared" ref="A131:A195" si="2">ROW()+1998</f>
        <v>2129</v>
      </c>
      <c r="B131" s="7" t="s">
        <v>394</v>
      </c>
      <c r="C131" s="7" t="s">
        <v>393</v>
      </c>
      <c r="D131" s="28"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2001</v>
      </c>
      <c r="AO131" s="7" t="s">
        <v>1847</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row>
    <row r="132" spans="1:73" s="9" customFormat="1" ht="15.75" customHeight="1" x14ac:dyDescent="0.2">
      <c r="A132" s="7">
        <f t="shared" si="2"/>
        <v>2130</v>
      </c>
      <c r="B132" s="7" t="s">
        <v>235</v>
      </c>
      <c r="C132" s="7" t="s">
        <v>2333</v>
      </c>
      <c r="D132" s="28" t="s">
        <v>2334</v>
      </c>
      <c r="E132" s="8" t="s">
        <v>2335</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2001</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row>
    <row r="133" spans="1:73" s="23" customFormat="1" ht="15.75" customHeight="1" x14ac:dyDescent="0.2">
      <c r="A133" s="21">
        <f t="shared" si="2"/>
        <v>2131</v>
      </c>
      <c r="B133" s="21" t="s">
        <v>305</v>
      </c>
      <c r="C133" s="21" t="s">
        <v>2323</v>
      </c>
      <c r="D133" s="22" t="s">
        <v>2324</v>
      </c>
      <c r="E133" s="22" t="s">
        <v>2278</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1849</v>
      </c>
      <c r="AN133" s="21" t="s">
        <v>2009</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c r="BP133" s="24" t="s">
        <v>50</v>
      </c>
      <c r="BQ133" s="23">
        <v>0</v>
      </c>
      <c r="BR133" s="24" t="s">
        <v>50</v>
      </c>
      <c r="BS133" s="23">
        <v>0</v>
      </c>
      <c r="BT133" s="24" t="s">
        <v>50</v>
      </c>
      <c r="BU133" s="23">
        <v>0</v>
      </c>
    </row>
    <row r="134" spans="1:73"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2271</v>
      </c>
      <c r="AN134" s="3" t="s">
        <v>2003</v>
      </c>
      <c r="AO134" s="3" t="s">
        <v>1847</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3615</v>
      </c>
      <c r="BQ134">
        <v>10</v>
      </c>
      <c r="BR134" s="6" t="s">
        <v>50</v>
      </c>
      <c r="BS134">
        <v>0</v>
      </c>
      <c r="BT134" s="6" t="s">
        <v>50</v>
      </c>
      <c r="BU134">
        <v>0</v>
      </c>
    </row>
    <row r="135" spans="1:73" s="43" customFormat="1" ht="15.75" customHeight="1" x14ac:dyDescent="0.2">
      <c r="A135" s="40">
        <f t="shared" si="2"/>
        <v>2133</v>
      </c>
      <c r="B135" s="40" t="s">
        <v>2077</v>
      </c>
      <c r="C135" s="40" t="s">
        <v>2239</v>
      </c>
      <c r="D135" s="41" t="s">
        <v>2357</v>
      </c>
      <c r="E135" s="42" t="s">
        <v>2688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120</v>
      </c>
      <c r="Z135" s="40">
        <v>0</v>
      </c>
      <c r="AA135" s="40">
        <v>0</v>
      </c>
      <c r="AB135" s="40">
        <v>0</v>
      </c>
      <c r="AC135" s="40">
        <v>0</v>
      </c>
      <c r="AD135" s="40">
        <v>0</v>
      </c>
      <c r="AE135" s="40">
        <v>20</v>
      </c>
      <c r="AF135" s="40">
        <v>-20</v>
      </c>
      <c r="AG135" s="40">
        <v>0</v>
      </c>
      <c r="AH135" s="40">
        <v>0</v>
      </c>
      <c r="AI135" s="40">
        <v>20</v>
      </c>
      <c r="AJ135" s="40">
        <v>0</v>
      </c>
      <c r="AK135" s="40">
        <v>0</v>
      </c>
      <c r="AL135" s="40" t="s">
        <v>31</v>
      </c>
      <c r="AM135" s="40" t="s">
        <v>2271</v>
      </c>
      <c r="AN135" s="40" t="s">
        <v>2270</v>
      </c>
      <c r="AO135" s="40" t="s">
        <v>50</v>
      </c>
      <c r="AP135" s="40">
        <v>50</v>
      </c>
      <c r="AQ135" s="40">
        <v>2.2000000000000002</v>
      </c>
      <c r="AR135" s="43">
        <v>2200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c r="BP135" s="44" t="s">
        <v>3615</v>
      </c>
      <c r="BQ135" s="43">
        <v>30</v>
      </c>
      <c r="BR135" s="44" t="s">
        <v>3643</v>
      </c>
      <c r="BS135" s="43">
        <v>30</v>
      </c>
      <c r="BT135" s="44" t="s">
        <v>50</v>
      </c>
      <c r="BU135" s="43">
        <v>0</v>
      </c>
    </row>
    <row r="136" spans="1:73" s="43" customFormat="1" ht="15.75" customHeight="1" x14ac:dyDescent="0.2">
      <c r="A136" s="40">
        <f t="shared" si="2"/>
        <v>2134</v>
      </c>
      <c r="B136" s="40" t="s">
        <v>2078</v>
      </c>
      <c r="C136" s="40" t="s">
        <v>2240</v>
      </c>
      <c r="D136" s="41" t="s">
        <v>2356</v>
      </c>
      <c r="E136" s="42" t="s">
        <v>2360</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120</v>
      </c>
      <c r="Z136" s="40">
        <v>0</v>
      </c>
      <c r="AA136" s="40">
        <v>0</v>
      </c>
      <c r="AB136" s="40">
        <v>0</v>
      </c>
      <c r="AC136" s="40">
        <v>0</v>
      </c>
      <c r="AD136" s="40">
        <v>0</v>
      </c>
      <c r="AE136" s="40">
        <v>20</v>
      </c>
      <c r="AF136" s="40">
        <v>-20</v>
      </c>
      <c r="AG136" s="40">
        <v>0</v>
      </c>
      <c r="AH136" s="40">
        <v>0</v>
      </c>
      <c r="AI136" s="40">
        <v>20</v>
      </c>
      <c r="AJ136" s="40">
        <v>0</v>
      </c>
      <c r="AK136" s="40">
        <v>0</v>
      </c>
      <c r="AL136" s="40" t="s">
        <v>31</v>
      </c>
      <c r="AM136" s="40" t="s">
        <v>2271</v>
      </c>
      <c r="AN136" s="40" t="s">
        <v>2270</v>
      </c>
      <c r="AO136" s="40" t="s">
        <v>50</v>
      </c>
      <c r="AP136" s="40">
        <v>50</v>
      </c>
      <c r="AQ136" s="40">
        <v>2.2000000000000002</v>
      </c>
      <c r="AR136" s="43">
        <v>2200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c r="BP136" s="44" t="s">
        <v>3615</v>
      </c>
      <c r="BQ136" s="43">
        <v>30</v>
      </c>
      <c r="BR136" s="44" t="s">
        <v>3643</v>
      </c>
      <c r="BS136" s="43">
        <v>30</v>
      </c>
      <c r="BT136" s="44" t="s">
        <v>50</v>
      </c>
      <c r="BU136" s="43">
        <v>0</v>
      </c>
    </row>
    <row r="137" spans="1:73" s="43" customFormat="1" ht="15.75" customHeight="1" x14ac:dyDescent="0.2">
      <c r="A137" s="40">
        <f t="shared" si="2"/>
        <v>2135</v>
      </c>
      <c r="B137" s="40" t="s">
        <v>2078</v>
      </c>
      <c r="C137" s="40" t="s">
        <v>2246</v>
      </c>
      <c r="D137" s="41" t="s">
        <v>2361</v>
      </c>
      <c r="E137" s="42" t="s">
        <v>2359</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120</v>
      </c>
      <c r="Z137" s="40">
        <v>0</v>
      </c>
      <c r="AA137" s="40">
        <v>0</v>
      </c>
      <c r="AB137" s="40">
        <v>0</v>
      </c>
      <c r="AC137" s="40">
        <v>0</v>
      </c>
      <c r="AD137" s="40">
        <v>0</v>
      </c>
      <c r="AE137" s="40">
        <v>20</v>
      </c>
      <c r="AF137" s="40">
        <v>-20</v>
      </c>
      <c r="AG137" s="40">
        <v>0</v>
      </c>
      <c r="AH137" s="40">
        <v>0</v>
      </c>
      <c r="AI137" s="40">
        <v>20</v>
      </c>
      <c r="AJ137" s="40">
        <v>0</v>
      </c>
      <c r="AK137" s="40">
        <v>0</v>
      </c>
      <c r="AL137" s="40" t="s">
        <v>31</v>
      </c>
      <c r="AM137" s="40" t="s">
        <v>2271</v>
      </c>
      <c r="AN137" s="40" t="s">
        <v>2270</v>
      </c>
      <c r="AO137" s="40" t="s">
        <v>50</v>
      </c>
      <c r="AP137" s="40">
        <v>50</v>
      </c>
      <c r="AQ137" s="40">
        <v>2.2000000000000002</v>
      </c>
      <c r="AR137" s="43">
        <v>2200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c r="BP137" s="44" t="s">
        <v>3615</v>
      </c>
      <c r="BQ137" s="43">
        <v>30</v>
      </c>
      <c r="BR137" s="44" t="s">
        <v>3643</v>
      </c>
      <c r="BS137" s="43">
        <v>30</v>
      </c>
      <c r="BT137" s="44" t="s">
        <v>50</v>
      </c>
      <c r="BU137" s="43">
        <v>0</v>
      </c>
    </row>
    <row r="138" spans="1:73" s="43" customFormat="1" ht="15.75" customHeight="1" x14ac:dyDescent="0.2">
      <c r="A138" s="40">
        <f t="shared" si="2"/>
        <v>2136</v>
      </c>
      <c r="B138" s="40" t="s">
        <v>2078</v>
      </c>
      <c r="C138" s="40" t="s">
        <v>2242</v>
      </c>
      <c r="D138" s="41" t="s">
        <v>2241</v>
      </c>
      <c r="E138" s="42" t="s">
        <v>2358</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120</v>
      </c>
      <c r="Z138" s="40">
        <v>0</v>
      </c>
      <c r="AA138" s="40">
        <v>0</v>
      </c>
      <c r="AB138" s="40">
        <v>0</v>
      </c>
      <c r="AC138" s="40">
        <v>0</v>
      </c>
      <c r="AD138" s="40">
        <v>0</v>
      </c>
      <c r="AE138" s="40">
        <v>20</v>
      </c>
      <c r="AF138" s="40">
        <v>-20</v>
      </c>
      <c r="AG138" s="40">
        <v>0</v>
      </c>
      <c r="AH138" s="40">
        <v>0</v>
      </c>
      <c r="AI138" s="40">
        <v>20</v>
      </c>
      <c r="AJ138" s="40">
        <v>0</v>
      </c>
      <c r="AK138" s="40">
        <v>0</v>
      </c>
      <c r="AL138" s="40" t="s">
        <v>31</v>
      </c>
      <c r="AM138" s="40" t="s">
        <v>2271</v>
      </c>
      <c r="AN138" s="40" t="s">
        <v>2270</v>
      </c>
      <c r="AO138" s="40" t="s">
        <v>50</v>
      </c>
      <c r="AP138" s="40">
        <v>50</v>
      </c>
      <c r="AQ138" s="40">
        <v>2.2000000000000002</v>
      </c>
      <c r="AR138" s="43">
        <v>2200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c r="BP138" s="44" t="s">
        <v>3615</v>
      </c>
      <c r="BQ138" s="43">
        <v>30</v>
      </c>
      <c r="BR138" s="44" t="s">
        <v>3643</v>
      </c>
      <c r="BS138" s="43">
        <v>30</v>
      </c>
      <c r="BT138" s="44" t="s">
        <v>50</v>
      </c>
      <c r="BU138" s="43">
        <v>0</v>
      </c>
    </row>
    <row r="139" spans="1:73" s="23" customFormat="1" ht="15.75" customHeight="1" x14ac:dyDescent="0.2">
      <c r="A139" s="21">
        <f t="shared" si="2"/>
        <v>2137</v>
      </c>
      <c r="B139" s="21" t="s">
        <v>305</v>
      </c>
      <c r="C139" s="21" t="s">
        <v>2321</v>
      </c>
      <c r="D139" s="22" t="s">
        <v>2322</v>
      </c>
      <c r="E139" s="22" t="s">
        <v>2278</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1849</v>
      </c>
      <c r="AN139" s="21" t="s">
        <v>2009</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c r="BP139" s="24" t="s">
        <v>50</v>
      </c>
      <c r="BQ139" s="23">
        <v>0</v>
      </c>
      <c r="BR139" s="24" t="s">
        <v>50</v>
      </c>
      <c r="BS139" s="23">
        <v>0</v>
      </c>
      <c r="BT139" s="24" t="s">
        <v>50</v>
      </c>
      <c r="BU139" s="23">
        <v>0</v>
      </c>
    </row>
    <row r="140" spans="1:73" ht="15.75" customHeight="1" x14ac:dyDescent="0.2">
      <c r="A140" s="3">
        <f t="shared" si="2"/>
        <v>2138</v>
      </c>
      <c r="B140" s="3" t="s">
        <v>292</v>
      </c>
      <c r="C140" s="3" t="s">
        <v>292</v>
      </c>
      <c r="D140" s="27"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2004</v>
      </c>
      <c r="AO140" s="3" t="s">
        <v>1847</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row>
    <row r="141" spans="1:73" ht="15.75" customHeight="1" x14ac:dyDescent="0.2">
      <c r="A141" s="3">
        <f t="shared" si="2"/>
        <v>2139</v>
      </c>
      <c r="B141" s="3" t="s">
        <v>1233</v>
      </c>
      <c r="C141" s="3" t="s">
        <v>1233</v>
      </c>
      <c r="D141" s="27" t="s">
        <v>1353</v>
      </c>
      <c r="E141" s="5" t="s">
        <v>1234</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2004</v>
      </c>
      <c r="AO141" s="3" t="s">
        <v>1847</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row>
    <row r="142" spans="1:73" ht="15.75" customHeight="1" x14ac:dyDescent="0.2">
      <c r="A142" s="3">
        <f t="shared" si="2"/>
        <v>2140</v>
      </c>
      <c r="B142" s="3" t="s">
        <v>1236</v>
      </c>
      <c r="C142" s="3" t="s">
        <v>1236</v>
      </c>
      <c r="D142" s="27" t="s">
        <v>1354</v>
      </c>
      <c r="E142" s="5" t="s">
        <v>1235</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2004</v>
      </c>
      <c r="AO142" s="3" t="s">
        <v>1847</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row>
    <row r="143" spans="1:73" ht="15.75" customHeight="1" x14ac:dyDescent="0.2">
      <c r="A143" s="3">
        <f t="shared" si="2"/>
        <v>2141</v>
      </c>
      <c r="B143" s="3" t="s">
        <v>2348</v>
      </c>
      <c r="C143" s="3" t="s">
        <v>2348</v>
      </c>
      <c r="D143" s="27" t="s">
        <v>2346</v>
      </c>
      <c r="E143" s="5" t="s">
        <v>2347</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2004</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row>
    <row r="144" spans="1:73" ht="15.75" customHeight="1" x14ac:dyDescent="0.2">
      <c r="A144" s="3">
        <f t="shared" si="2"/>
        <v>2142</v>
      </c>
      <c r="B144" s="3" t="s">
        <v>3372</v>
      </c>
      <c r="C144" s="3" t="s">
        <v>406</v>
      </c>
      <c r="D144" s="27" t="s">
        <v>1089</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50</v>
      </c>
      <c r="AH144" s="3">
        <v>0</v>
      </c>
      <c r="AI144" s="3">
        <v>0</v>
      </c>
      <c r="AJ144" s="3">
        <v>0</v>
      </c>
      <c r="AK144" s="3">
        <v>0</v>
      </c>
      <c r="AL144" s="3" t="s">
        <v>31</v>
      </c>
      <c r="AM144" s="3" t="s">
        <v>658</v>
      </c>
      <c r="AN144" s="3" t="s">
        <v>2004</v>
      </c>
      <c r="AO144" s="3" t="s">
        <v>1847</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50</v>
      </c>
      <c r="BQ144">
        <v>0</v>
      </c>
      <c r="BR144" s="6" t="s">
        <v>50</v>
      </c>
      <c r="BS144">
        <v>0</v>
      </c>
      <c r="BT144" s="6" t="s">
        <v>50</v>
      </c>
      <c r="BU144">
        <v>0</v>
      </c>
    </row>
    <row r="145" spans="1:73" ht="15.75" customHeight="1" x14ac:dyDescent="0.2">
      <c r="A145" s="3">
        <f t="shared" si="2"/>
        <v>2143</v>
      </c>
      <c r="B145" s="3" t="s">
        <v>1088</v>
      </c>
      <c r="C145" s="3" t="s">
        <v>408</v>
      </c>
      <c r="D145" s="27" t="s">
        <v>1087</v>
      </c>
      <c r="E145" s="5" t="s">
        <v>1086</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50</v>
      </c>
      <c r="AH145" s="3">
        <v>0</v>
      </c>
      <c r="AI145" s="3">
        <v>0</v>
      </c>
      <c r="AJ145" s="3">
        <v>0</v>
      </c>
      <c r="AK145" s="3">
        <v>0</v>
      </c>
      <c r="AL145" s="3" t="s">
        <v>31</v>
      </c>
      <c r="AM145" s="3" t="s">
        <v>658</v>
      </c>
      <c r="AN145" s="3" t="s">
        <v>2004</v>
      </c>
      <c r="AO145" s="3" t="s">
        <v>1847</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50</v>
      </c>
      <c r="BQ145">
        <v>0</v>
      </c>
      <c r="BR145" s="6" t="s">
        <v>50</v>
      </c>
      <c r="BS145">
        <v>0</v>
      </c>
      <c r="BT145" s="6" t="s">
        <v>50</v>
      </c>
      <c r="BU145">
        <v>0</v>
      </c>
    </row>
    <row r="146" spans="1:73" ht="15.75" customHeight="1" x14ac:dyDescent="0.2">
      <c r="A146" s="3">
        <f t="shared" si="2"/>
        <v>2144</v>
      </c>
      <c r="B146" s="3" t="s">
        <v>3373</v>
      </c>
      <c r="C146" s="3" t="s">
        <v>3360</v>
      </c>
      <c r="D146" s="27" t="s">
        <v>3355</v>
      </c>
      <c r="E146" s="5" t="s">
        <v>3356</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50</v>
      </c>
      <c r="AH146" s="3">
        <v>0</v>
      </c>
      <c r="AI146" s="3">
        <v>0</v>
      </c>
      <c r="AJ146" s="3">
        <v>0</v>
      </c>
      <c r="AK146" s="3">
        <v>0</v>
      </c>
      <c r="AL146" s="3" t="s">
        <v>31</v>
      </c>
      <c r="AM146" s="3" t="s">
        <v>658</v>
      </c>
      <c r="AN146" s="3" t="s">
        <v>2004</v>
      </c>
      <c r="AO146" s="3" t="s">
        <v>1847</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50</v>
      </c>
      <c r="BQ146">
        <v>0</v>
      </c>
      <c r="BR146" s="6" t="s">
        <v>50</v>
      </c>
      <c r="BS146">
        <v>0</v>
      </c>
      <c r="BT146" s="6" t="s">
        <v>50</v>
      </c>
      <c r="BU146">
        <v>0</v>
      </c>
    </row>
    <row r="147" spans="1:73" ht="15.75" customHeight="1" x14ac:dyDescent="0.2">
      <c r="A147" s="3">
        <f t="shared" si="2"/>
        <v>2145</v>
      </c>
      <c r="B147" s="3" t="s">
        <v>3371</v>
      </c>
      <c r="C147" s="3" t="s">
        <v>3358</v>
      </c>
      <c r="D147" s="27" t="s">
        <v>3357</v>
      </c>
      <c r="E147" s="5" t="s">
        <v>3359</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0</v>
      </c>
      <c r="AI147" s="3">
        <v>0</v>
      </c>
      <c r="AJ147" s="3">
        <v>0</v>
      </c>
      <c r="AK147" s="3">
        <v>0</v>
      </c>
      <c r="AL147" s="3" t="s">
        <v>31</v>
      </c>
      <c r="AM147" s="3" t="s">
        <v>658</v>
      </c>
      <c r="AN147" s="3" t="s">
        <v>2004</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50</v>
      </c>
      <c r="BQ147">
        <v>0</v>
      </c>
      <c r="BR147" s="6" t="s">
        <v>50</v>
      </c>
      <c r="BS147">
        <v>0</v>
      </c>
      <c r="BT147" s="6" t="s">
        <v>50</v>
      </c>
      <c r="BU147">
        <v>0</v>
      </c>
    </row>
    <row r="148" spans="1:73" ht="15.75" customHeight="1" x14ac:dyDescent="0.2">
      <c r="A148" s="3">
        <f t="shared" si="2"/>
        <v>2146</v>
      </c>
      <c r="B148" s="3" t="s">
        <v>2344</v>
      </c>
      <c r="C148" s="3" t="s">
        <v>2344</v>
      </c>
      <c r="D148" s="27" t="s">
        <v>2343</v>
      </c>
      <c r="E148" s="5" t="s">
        <v>2345</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30</v>
      </c>
      <c r="AF148" s="3">
        <v>-30</v>
      </c>
      <c r="AG148" s="3">
        <v>10</v>
      </c>
      <c r="AH148" s="3">
        <v>0</v>
      </c>
      <c r="AI148" s="3">
        <v>0</v>
      </c>
      <c r="AJ148" s="3">
        <v>0</v>
      </c>
      <c r="AK148" s="3">
        <v>0</v>
      </c>
      <c r="AL148" s="3" t="s">
        <v>31</v>
      </c>
      <c r="AM148" s="3" t="s">
        <v>658</v>
      </c>
      <c r="AN148" s="3" t="s">
        <v>2004</v>
      </c>
      <c r="AO148" s="3" t="s">
        <v>50</v>
      </c>
      <c r="AP148" s="3">
        <v>50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c r="BP148" s="6" t="s">
        <v>3615</v>
      </c>
      <c r="BQ148">
        <v>30</v>
      </c>
      <c r="BR148" s="6" t="s">
        <v>50</v>
      </c>
      <c r="BS148">
        <v>0</v>
      </c>
      <c r="BT148" s="6" t="s">
        <v>50</v>
      </c>
      <c r="BU148">
        <v>0</v>
      </c>
    </row>
    <row r="149" spans="1:73" s="23" customFormat="1" ht="15.75" customHeight="1" x14ac:dyDescent="0.2">
      <c r="A149" s="21">
        <f t="shared" si="2"/>
        <v>2147</v>
      </c>
      <c r="B149" s="21" t="s">
        <v>305</v>
      </c>
      <c r="C149" s="21" t="s">
        <v>2341</v>
      </c>
      <c r="D149" s="22" t="s">
        <v>2342</v>
      </c>
      <c r="E149" s="22" t="s">
        <v>2278</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1849</v>
      </c>
      <c r="AN149" s="21" t="s">
        <v>2009</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c r="BP149" s="24" t="s">
        <v>50</v>
      </c>
      <c r="BQ149" s="23">
        <v>0</v>
      </c>
      <c r="BR149" s="24" t="s">
        <v>50</v>
      </c>
      <c r="BS149" s="23">
        <v>0</v>
      </c>
      <c r="BT149" s="24" t="s">
        <v>50</v>
      </c>
      <c r="BU149" s="23">
        <v>0</v>
      </c>
    </row>
    <row r="150" spans="1:73" ht="15.75" customHeight="1" x14ac:dyDescent="0.2">
      <c r="A150" s="3">
        <f t="shared" si="2"/>
        <v>2148</v>
      </c>
      <c r="B150" s="3" t="s">
        <v>951</v>
      </c>
      <c r="C150" s="3" t="s">
        <v>951</v>
      </c>
      <c r="D150" s="27"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1996</v>
      </c>
      <c r="AO150" s="3" t="s">
        <v>1847</v>
      </c>
      <c r="AP150" s="3">
        <v>40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row>
    <row r="151" spans="1:73"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2005</v>
      </c>
      <c r="AO151" s="7" t="s">
        <v>1847</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c r="BP151" s="10" t="s">
        <v>50</v>
      </c>
      <c r="BQ151" s="9">
        <v>0</v>
      </c>
      <c r="BR151" s="10" t="s">
        <v>50</v>
      </c>
      <c r="BS151" s="9">
        <v>0</v>
      </c>
      <c r="BT151" s="10" t="s">
        <v>50</v>
      </c>
      <c r="BU151" s="9">
        <v>0</v>
      </c>
    </row>
    <row r="152" spans="1:73" ht="15.75" customHeight="1" x14ac:dyDescent="0.2">
      <c r="A152" s="3">
        <f t="shared" si="2"/>
        <v>2150</v>
      </c>
      <c r="B152" s="3" t="s">
        <v>2920</v>
      </c>
      <c r="C152" s="3" t="s">
        <v>2920</v>
      </c>
      <c r="D152" s="27" t="s">
        <v>3361</v>
      </c>
      <c r="E152" s="5" t="s">
        <v>2840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2000</v>
      </c>
      <c r="AO152" s="3" t="s">
        <v>1847</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row>
    <row r="153" spans="1:73" s="9" customFormat="1" ht="15.75" customHeight="1" x14ac:dyDescent="0.2">
      <c r="A153" s="7">
        <f t="shared" si="2"/>
        <v>2151</v>
      </c>
      <c r="B153" s="7" t="s">
        <v>512</v>
      </c>
      <c r="C153" s="7" t="s">
        <v>426</v>
      </c>
      <c r="D153" s="28" t="s">
        <v>425</v>
      </c>
      <c r="E153" s="8" t="s">
        <v>1358</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2000</v>
      </c>
      <c r="AO153" s="7" t="s">
        <v>1847</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row>
    <row r="154" spans="1:73" ht="15.75" customHeight="1" x14ac:dyDescent="0.2">
      <c r="A154" s="3">
        <f t="shared" si="2"/>
        <v>2152</v>
      </c>
      <c r="B154" s="3" t="s">
        <v>560</v>
      </c>
      <c r="C154" s="3" t="s">
        <v>503</v>
      </c>
      <c r="D154" s="27"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1999</v>
      </c>
      <c r="AO154" s="3" t="s">
        <v>1847</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row>
    <row r="155" spans="1:73" ht="15.75" customHeight="1" x14ac:dyDescent="0.2">
      <c r="A155" s="3">
        <f t="shared" si="2"/>
        <v>2153</v>
      </c>
      <c r="B155" s="3" t="s">
        <v>1070</v>
      </c>
      <c r="C155" s="3" t="s">
        <v>1070</v>
      </c>
      <c r="D155" s="27" t="s">
        <v>1495</v>
      </c>
      <c r="E155" s="5" t="s">
        <v>1496</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1071</v>
      </c>
      <c r="AN155" s="3" t="s">
        <v>2002</v>
      </c>
      <c r="AO155" s="3" t="s">
        <v>1848</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row>
    <row r="156" spans="1:73" ht="15.75" customHeight="1" x14ac:dyDescent="0.2">
      <c r="A156" s="3">
        <f t="shared" si="2"/>
        <v>2154</v>
      </c>
      <c r="B156" s="3" t="s">
        <v>2704</v>
      </c>
      <c r="C156" s="3" t="s">
        <v>2704</v>
      </c>
      <c r="D156" s="27" t="s">
        <v>2703</v>
      </c>
      <c r="E156" s="5" t="s">
        <v>2881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2876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3615</v>
      </c>
      <c r="BQ156">
        <v>5</v>
      </c>
      <c r="BR156" s="6" t="s">
        <v>3643</v>
      </c>
      <c r="BS156">
        <v>20</v>
      </c>
      <c r="BT156" s="6" t="s">
        <v>50</v>
      </c>
      <c r="BU156">
        <v>0</v>
      </c>
    </row>
    <row r="157" spans="1:73" ht="15.75" customHeight="1" x14ac:dyDescent="0.2">
      <c r="A157" s="3">
        <f t="shared" si="2"/>
        <v>2155</v>
      </c>
      <c r="B157" s="3" t="s">
        <v>1295</v>
      </c>
      <c r="C157" s="3" t="s">
        <v>427</v>
      </c>
      <c r="D157" s="27" t="s">
        <v>1061</v>
      </c>
      <c r="E157" s="5" t="s">
        <v>1062</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0</v>
      </c>
      <c r="AI157" s="3">
        <v>0</v>
      </c>
      <c r="AJ157" s="3">
        <v>0</v>
      </c>
      <c r="AK157" s="3">
        <v>0</v>
      </c>
      <c r="AL157" s="3" t="s">
        <v>31</v>
      </c>
      <c r="AM157" s="3" t="s">
        <v>1475</v>
      </c>
      <c r="AN157" s="3" t="s">
        <v>2010</v>
      </c>
      <c r="AO157" s="3" t="s">
        <v>1847</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3615</v>
      </c>
      <c r="BQ157">
        <v>30</v>
      </c>
      <c r="BR157" s="6" t="s">
        <v>3643</v>
      </c>
      <c r="BS157">
        <v>30</v>
      </c>
      <c r="BT157" s="6" t="s">
        <v>50</v>
      </c>
      <c r="BU157">
        <v>0</v>
      </c>
    </row>
    <row r="158" spans="1:73" ht="15.75" customHeight="1" x14ac:dyDescent="0.2">
      <c r="A158" s="3">
        <f t="shared" si="2"/>
        <v>2156</v>
      </c>
      <c r="B158" s="3" t="s">
        <v>3036</v>
      </c>
      <c r="C158" s="3" t="s">
        <v>2482</v>
      </c>
      <c r="D158" s="27" t="s">
        <v>2483</v>
      </c>
      <c r="E158" s="5" t="s">
        <v>2484</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0</v>
      </c>
      <c r="AI158" s="3">
        <v>0</v>
      </c>
      <c r="AJ158" s="3">
        <v>0</v>
      </c>
      <c r="AK158" s="3">
        <v>30</v>
      </c>
      <c r="AL158" s="3" t="s">
        <v>31</v>
      </c>
      <c r="AM158" s="3" t="s">
        <v>2485</v>
      </c>
      <c r="AN158" s="3" t="s">
        <v>2486</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3626</v>
      </c>
      <c r="BU158">
        <v>20</v>
      </c>
    </row>
    <row r="159" spans="1:73" ht="15.75" customHeight="1" x14ac:dyDescent="0.2">
      <c r="A159" s="3">
        <f t="shared" si="2"/>
        <v>2157</v>
      </c>
      <c r="B159" s="3" t="s">
        <v>2946</v>
      </c>
      <c r="C159" s="3" t="s">
        <v>2692</v>
      </c>
      <c r="D159" s="27" t="s">
        <v>2691</v>
      </c>
      <c r="E159" s="5" t="s">
        <v>2849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0</v>
      </c>
      <c r="AI159" s="3">
        <v>0</v>
      </c>
      <c r="AJ159" s="3">
        <v>0</v>
      </c>
      <c r="AK159" s="3">
        <v>30</v>
      </c>
      <c r="AL159" s="3" t="s">
        <v>31</v>
      </c>
      <c r="AM159" s="3" t="s">
        <v>2485</v>
      </c>
      <c r="AN159" s="3" t="s">
        <v>2486</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3626</v>
      </c>
      <c r="BU159">
        <v>20</v>
      </c>
    </row>
    <row r="160" spans="1:73" ht="15" customHeight="1" x14ac:dyDescent="0.2">
      <c r="A160" s="3">
        <f t="shared" si="2"/>
        <v>2158</v>
      </c>
      <c r="B160" s="3" t="s">
        <v>2695</v>
      </c>
      <c r="C160" s="3" t="s">
        <v>2695</v>
      </c>
      <c r="D160" s="27" t="s">
        <v>2693</v>
      </c>
      <c r="E160" s="5" t="s">
        <v>2694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0</v>
      </c>
      <c r="AI160" s="3">
        <v>0</v>
      </c>
      <c r="AJ160" s="3">
        <v>0</v>
      </c>
      <c r="AK160" s="3">
        <v>30</v>
      </c>
      <c r="AL160" s="3" t="s">
        <v>31</v>
      </c>
      <c r="AM160" s="3" t="s">
        <v>2485</v>
      </c>
      <c r="AN160" s="3" t="s">
        <v>2486</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3626</v>
      </c>
      <c r="BU160">
        <v>20</v>
      </c>
    </row>
    <row r="161" spans="1:73" ht="15.75" customHeight="1" x14ac:dyDescent="0.2">
      <c r="A161" s="3">
        <f t="shared" si="2"/>
        <v>2159</v>
      </c>
      <c r="B161" s="3" t="s">
        <v>2851</v>
      </c>
      <c r="C161" s="3" t="s">
        <v>2851</v>
      </c>
      <c r="D161" s="27" t="s">
        <v>2850</v>
      </c>
      <c r="E161" s="5" t="s">
        <v>2694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-10</v>
      </c>
      <c r="AF161" s="3">
        <v>10</v>
      </c>
      <c r="AG161" s="3">
        <v>0</v>
      </c>
      <c r="AH161" s="3">
        <v>0</v>
      </c>
      <c r="AI161" s="3">
        <v>0</v>
      </c>
      <c r="AJ161" s="3">
        <v>0</v>
      </c>
      <c r="AK161" s="3">
        <v>30</v>
      </c>
      <c r="AL161" s="3" t="s">
        <v>31</v>
      </c>
      <c r="AM161" s="3" t="s">
        <v>2485</v>
      </c>
      <c r="AN161" s="3" t="s">
        <v>2486</v>
      </c>
      <c r="AO161" s="3" t="s">
        <v>50</v>
      </c>
      <c r="AP161" s="3">
        <v>30</v>
      </c>
      <c r="AQ161" s="3">
        <v>1.2</v>
      </c>
      <c r="AR161">
        <v>300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c r="BP161" s="6" t="s">
        <v>50</v>
      </c>
      <c r="BQ161">
        <v>0</v>
      </c>
      <c r="BR161" s="6" t="s">
        <v>50</v>
      </c>
      <c r="BS161">
        <v>0</v>
      </c>
      <c r="BT161" s="6" t="s">
        <v>3626</v>
      </c>
      <c r="BU161">
        <v>20</v>
      </c>
    </row>
    <row r="162" spans="1:73" ht="15.75" customHeight="1" x14ac:dyDescent="0.2">
      <c r="A162" s="3">
        <f t="shared" si="2"/>
        <v>2160</v>
      </c>
      <c r="B162" s="3" t="s">
        <v>2698</v>
      </c>
      <c r="C162" s="3" t="s">
        <v>2698</v>
      </c>
      <c r="D162" s="27" t="s">
        <v>2696</v>
      </c>
      <c r="E162" s="5" t="s">
        <v>2700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0</v>
      </c>
      <c r="AI162" s="3">
        <v>0</v>
      </c>
      <c r="AJ162" s="3">
        <v>0</v>
      </c>
      <c r="AK162" s="3">
        <v>30</v>
      </c>
      <c r="AL162" s="3" t="s">
        <v>31</v>
      </c>
      <c r="AM162" s="3" t="s">
        <v>2485</v>
      </c>
      <c r="AN162" s="3" t="s">
        <v>2486</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c r="BP162" s="6" t="s">
        <v>50</v>
      </c>
      <c r="BQ162">
        <v>0</v>
      </c>
      <c r="BR162" s="6" t="s">
        <v>50</v>
      </c>
      <c r="BS162">
        <v>0</v>
      </c>
      <c r="BT162" s="6" t="s">
        <v>3626</v>
      </c>
      <c r="BU162">
        <v>20</v>
      </c>
    </row>
    <row r="163" spans="1:73" ht="15.75" customHeight="1" x14ac:dyDescent="0.2">
      <c r="A163" s="3">
        <f t="shared" si="2"/>
        <v>2161</v>
      </c>
      <c r="B163" s="3" t="s">
        <v>2699</v>
      </c>
      <c r="C163" s="3" t="s">
        <v>2699</v>
      </c>
      <c r="D163" s="27" t="s">
        <v>2697</v>
      </c>
      <c r="E163" s="5" t="s">
        <v>3099</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0</v>
      </c>
      <c r="AI163" s="3">
        <v>0</v>
      </c>
      <c r="AJ163" s="3">
        <v>0</v>
      </c>
      <c r="AK163" s="3">
        <v>30</v>
      </c>
      <c r="AL163" s="3" t="s">
        <v>31</v>
      </c>
      <c r="AM163" s="3" t="s">
        <v>2485</v>
      </c>
      <c r="AN163" s="3" t="s">
        <v>2486</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c r="BP163" s="6" t="s">
        <v>50</v>
      </c>
      <c r="BQ163">
        <v>0</v>
      </c>
      <c r="BR163" s="6" t="s">
        <v>50</v>
      </c>
      <c r="BS163">
        <v>0</v>
      </c>
      <c r="BT163" s="6" t="s">
        <v>3626</v>
      </c>
      <c r="BU163">
        <v>20</v>
      </c>
    </row>
    <row r="164" spans="1:73" ht="15.75" customHeight="1" x14ac:dyDescent="0.2">
      <c r="A164" s="3">
        <f t="shared" si="2"/>
        <v>2162</v>
      </c>
      <c r="B164" s="3" t="s">
        <v>951</v>
      </c>
      <c r="C164" s="3" t="s">
        <v>2877</v>
      </c>
      <c r="D164" s="27" t="s">
        <v>2701</v>
      </c>
      <c r="E164" s="5" t="s">
        <v>2702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-50</v>
      </c>
      <c r="AF164" s="3">
        <v>50</v>
      </c>
      <c r="AG164" s="3">
        <v>0</v>
      </c>
      <c r="AH164" s="3">
        <v>30</v>
      </c>
      <c r="AI164" s="3">
        <v>10</v>
      </c>
      <c r="AJ164" s="3">
        <v>0</v>
      </c>
      <c r="AK164" s="3">
        <v>30</v>
      </c>
      <c r="AL164" s="3" t="s">
        <v>31</v>
      </c>
      <c r="AM164" s="3" t="s">
        <v>2485</v>
      </c>
      <c r="AN164" s="3" t="s">
        <v>2486</v>
      </c>
      <c r="AO164" s="3" t="s">
        <v>50</v>
      </c>
      <c r="AP164" s="3">
        <v>60</v>
      </c>
      <c r="AQ164" s="3">
        <v>1.2</v>
      </c>
      <c r="AR164">
        <v>1333</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c r="BP164" s="6" t="s">
        <v>50</v>
      </c>
      <c r="BQ164">
        <v>0</v>
      </c>
      <c r="BR164" s="6" t="s">
        <v>3643</v>
      </c>
      <c r="BS164">
        <v>30</v>
      </c>
      <c r="BT164" s="6" t="s">
        <v>3626</v>
      </c>
      <c r="BU164">
        <v>30</v>
      </c>
    </row>
    <row r="165" spans="1:73" s="23" customFormat="1" ht="15.75" customHeight="1" x14ac:dyDescent="0.2">
      <c r="A165" s="21">
        <f t="shared" si="2"/>
        <v>2163</v>
      </c>
      <c r="B165" s="21" t="s">
        <v>305</v>
      </c>
      <c r="C165" s="21" t="s">
        <v>2317</v>
      </c>
      <c r="D165" s="22" t="s">
        <v>2318</v>
      </c>
      <c r="E165" s="22" t="s">
        <v>2278</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1849</v>
      </c>
      <c r="AN165" s="21" t="s">
        <v>2009</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c r="BP165" s="24" t="s">
        <v>50</v>
      </c>
      <c r="BQ165" s="23">
        <v>0</v>
      </c>
      <c r="BR165" s="24" t="s">
        <v>50</v>
      </c>
      <c r="BS165" s="23">
        <v>0</v>
      </c>
      <c r="BT165" s="24" t="s">
        <v>50</v>
      </c>
      <c r="BU165" s="23">
        <v>0</v>
      </c>
    </row>
    <row r="166" spans="1:73" ht="15.75" customHeight="1" x14ac:dyDescent="0.2">
      <c r="A166" s="3">
        <f t="shared" si="2"/>
        <v>2164</v>
      </c>
      <c r="B166" s="3" t="s">
        <v>614</v>
      </c>
      <c r="C166" s="3" t="s">
        <v>614</v>
      </c>
      <c r="D166" s="27"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0</v>
      </c>
      <c r="AI166" s="3">
        <v>0</v>
      </c>
      <c r="AJ166" s="3">
        <v>0</v>
      </c>
      <c r="AK166" s="3">
        <v>0</v>
      </c>
      <c r="AL166" s="3" t="s">
        <v>1032</v>
      </c>
      <c r="AM166" s="3" t="s">
        <v>616</v>
      </c>
      <c r="AN166" s="3" t="s">
        <v>2006</v>
      </c>
      <c r="AO166" s="3" t="s">
        <v>1847</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row>
    <row r="167" spans="1:73" ht="15.75" customHeight="1" x14ac:dyDescent="0.2">
      <c r="A167" s="3">
        <f t="shared" si="2"/>
        <v>2165</v>
      </c>
      <c r="B167" s="3" t="s">
        <v>926</v>
      </c>
      <c r="C167" s="3" t="s">
        <v>852</v>
      </c>
      <c r="D167" s="27" t="s">
        <v>850</v>
      </c>
      <c r="E167" s="5" t="s">
        <v>1423</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2006</v>
      </c>
      <c r="AO167" s="3" t="s">
        <v>1847</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3615</v>
      </c>
      <c r="BQ167">
        <v>8</v>
      </c>
      <c r="BR167" s="6" t="s">
        <v>50</v>
      </c>
      <c r="BS167">
        <v>0</v>
      </c>
      <c r="BT167" s="6" t="s">
        <v>3645</v>
      </c>
      <c r="BU167">
        <v>20</v>
      </c>
    </row>
    <row r="168" spans="1:73" ht="15.75" customHeight="1" x14ac:dyDescent="0.2">
      <c r="A168" s="3">
        <f t="shared" si="2"/>
        <v>2166</v>
      </c>
      <c r="B168" s="3" t="s">
        <v>1101</v>
      </c>
      <c r="C168" s="3" t="s">
        <v>854</v>
      </c>
      <c r="D168" s="27" t="s">
        <v>1059</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2006</v>
      </c>
      <c r="AO168" s="3" t="s">
        <v>1847</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3615</v>
      </c>
      <c r="BQ168">
        <v>8</v>
      </c>
      <c r="BR168" s="6" t="s">
        <v>50</v>
      </c>
      <c r="BS168">
        <v>0</v>
      </c>
      <c r="BT168" s="6" t="s">
        <v>3645</v>
      </c>
      <c r="BU168">
        <v>20</v>
      </c>
    </row>
    <row r="169" spans="1:73" s="23" customFormat="1" ht="15.75" customHeight="1" x14ac:dyDescent="0.2">
      <c r="A169" s="21">
        <f t="shared" si="2"/>
        <v>2167</v>
      </c>
      <c r="B169" s="21" t="s">
        <v>305</v>
      </c>
      <c r="C169" s="21" t="s">
        <v>2319</v>
      </c>
      <c r="D169" s="22" t="s">
        <v>2320</v>
      </c>
      <c r="E169" s="22" t="s">
        <v>2278</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1849</v>
      </c>
      <c r="AN169" s="21" t="s">
        <v>2009</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c r="BP169" s="24" t="s">
        <v>50</v>
      </c>
      <c r="BQ169" s="23">
        <v>0</v>
      </c>
      <c r="BR169" s="24" t="s">
        <v>50</v>
      </c>
      <c r="BS169" s="23">
        <v>0</v>
      </c>
      <c r="BT169" s="24" t="s">
        <v>50</v>
      </c>
      <c r="BU169" s="23">
        <v>0</v>
      </c>
    </row>
    <row r="170" spans="1:73" ht="15.75" customHeight="1" x14ac:dyDescent="0.2">
      <c r="A170" s="3">
        <f t="shared" si="2"/>
        <v>2168</v>
      </c>
      <c r="B170" s="3" t="s">
        <v>594</v>
      </c>
      <c r="C170" s="3" t="s">
        <v>594</v>
      </c>
      <c r="D170" s="27" t="s">
        <v>848</v>
      </c>
      <c r="E170" s="5" t="s">
        <v>602</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584</v>
      </c>
      <c r="AN170" s="3" t="s">
        <v>3648</v>
      </c>
      <c r="AO170" s="3" t="s">
        <v>1847</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c r="BP170" s="6" t="s">
        <v>50</v>
      </c>
      <c r="BQ170">
        <v>0</v>
      </c>
      <c r="BR170" s="6" t="s">
        <v>50</v>
      </c>
      <c r="BS170">
        <v>0</v>
      </c>
      <c r="BT170" s="6" t="s">
        <v>50</v>
      </c>
      <c r="BU170">
        <v>0</v>
      </c>
    </row>
    <row r="171" spans="1:73" ht="15.75" customHeight="1" x14ac:dyDescent="0.2">
      <c r="A171" s="3">
        <f t="shared" si="2"/>
        <v>2169</v>
      </c>
      <c r="B171" s="3" t="s">
        <v>565</v>
      </c>
      <c r="C171" s="3" t="s">
        <v>565</v>
      </c>
      <c r="D171" s="27" t="s">
        <v>657</v>
      </c>
      <c r="E171" s="5" t="s">
        <v>567</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-10</v>
      </c>
      <c r="AF171" s="3">
        <v>10</v>
      </c>
      <c r="AG171" s="3">
        <v>0</v>
      </c>
      <c r="AH171" s="3">
        <v>0</v>
      </c>
      <c r="AI171" s="3">
        <v>0</v>
      </c>
      <c r="AJ171" s="3">
        <v>0</v>
      </c>
      <c r="AK171" s="3">
        <v>30</v>
      </c>
      <c r="AL171" s="3" t="s">
        <v>31</v>
      </c>
      <c r="AM171" s="3" t="s">
        <v>584</v>
      </c>
      <c r="AN171" s="3" t="s">
        <v>2007</v>
      </c>
      <c r="AO171" s="3" t="s">
        <v>1847</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c r="BP171" s="6" t="s">
        <v>50</v>
      </c>
      <c r="BQ171">
        <v>0</v>
      </c>
      <c r="BR171" s="6" t="s">
        <v>50</v>
      </c>
      <c r="BS171">
        <v>0</v>
      </c>
      <c r="BT171" s="6" t="s">
        <v>50</v>
      </c>
      <c r="BU171">
        <v>0</v>
      </c>
    </row>
    <row r="172" spans="1:73" ht="15.75" customHeight="1" x14ac:dyDescent="0.2">
      <c r="A172" s="3">
        <f t="shared" si="2"/>
        <v>2170</v>
      </c>
      <c r="B172" s="3" t="s">
        <v>928</v>
      </c>
      <c r="C172" s="3" t="s">
        <v>855</v>
      </c>
      <c r="D172" s="27" t="s">
        <v>1351</v>
      </c>
      <c r="E172" s="5" t="s">
        <v>856</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-10</v>
      </c>
      <c r="AF172" s="3">
        <v>10</v>
      </c>
      <c r="AG172" s="3">
        <v>20</v>
      </c>
      <c r="AH172" s="3">
        <v>0</v>
      </c>
      <c r="AI172" s="3">
        <v>0</v>
      </c>
      <c r="AJ172" s="3">
        <v>0</v>
      </c>
      <c r="AK172" s="3">
        <v>30</v>
      </c>
      <c r="AL172" s="3" t="s">
        <v>31</v>
      </c>
      <c r="AM172" s="3" t="s">
        <v>584</v>
      </c>
      <c r="AN172" s="3" t="s">
        <v>2007</v>
      </c>
      <c r="AO172" s="3" t="s">
        <v>1847</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c r="BP172" s="6" t="s">
        <v>50</v>
      </c>
      <c r="BQ172">
        <v>0</v>
      </c>
      <c r="BR172" s="6" t="s">
        <v>50</v>
      </c>
      <c r="BS172">
        <v>0</v>
      </c>
      <c r="BT172" s="6" t="s">
        <v>3645</v>
      </c>
      <c r="BU172">
        <v>15</v>
      </c>
    </row>
    <row r="173" spans="1:73" ht="15.75" customHeight="1" x14ac:dyDescent="0.2">
      <c r="A173" s="3">
        <f t="shared" si="2"/>
        <v>2171</v>
      </c>
      <c r="B173" s="3" t="s">
        <v>1403</v>
      </c>
      <c r="C173" s="3" t="s">
        <v>1389</v>
      </c>
      <c r="D173" s="27" t="s">
        <v>1380</v>
      </c>
      <c r="E173" s="5" t="s">
        <v>1378</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-10</v>
      </c>
      <c r="AF173" s="3">
        <v>10</v>
      </c>
      <c r="AG173" s="3">
        <v>0</v>
      </c>
      <c r="AH173" s="3">
        <v>0</v>
      </c>
      <c r="AI173" s="3">
        <v>0</v>
      </c>
      <c r="AJ173" s="3">
        <v>0</v>
      </c>
      <c r="AK173" s="3">
        <v>30</v>
      </c>
      <c r="AL173" s="3" t="s">
        <v>31</v>
      </c>
      <c r="AM173" s="3" t="s">
        <v>584</v>
      </c>
      <c r="AN173" s="3" t="s">
        <v>2007</v>
      </c>
      <c r="AO173" s="3" t="s">
        <v>1847</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c r="BP173" s="6" t="s">
        <v>50</v>
      </c>
      <c r="BQ173">
        <v>0</v>
      </c>
      <c r="BR173" s="6" t="s">
        <v>50</v>
      </c>
      <c r="BS173">
        <v>0</v>
      </c>
      <c r="BT173" s="6" t="s">
        <v>50</v>
      </c>
      <c r="BU173">
        <v>0</v>
      </c>
    </row>
    <row r="174" spans="1:73" ht="15.75" customHeight="1" x14ac:dyDescent="0.2">
      <c r="A174" s="3">
        <f t="shared" si="2"/>
        <v>2172</v>
      </c>
      <c r="B174" s="3" t="s">
        <v>1404</v>
      </c>
      <c r="C174" s="3" t="s">
        <v>1379</v>
      </c>
      <c r="D174" s="27" t="s">
        <v>1515</v>
      </c>
      <c r="E174" s="5" t="s">
        <v>1516</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-10</v>
      </c>
      <c r="AF174" s="3">
        <v>10</v>
      </c>
      <c r="AG174" s="3">
        <v>20</v>
      </c>
      <c r="AH174" s="3">
        <v>0</v>
      </c>
      <c r="AI174" s="3">
        <v>0</v>
      </c>
      <c r="AJ174" s="3">
        <v>0</v>
      </c>
      <c r="AK174" s="3">
        <v>30</v>
      </c>
      <c r="AL174" s="3" t="s">
        <v>31</v>
      </c>
      <c r="AM174" s="3" t="s">
        <v>584</v>
      </c>
      <c r="AN174" s="3" t="s">
        <v>2007</v>
      </c>
      <c r="AO174" s="3" t="s">
        <v>1847</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c r="BP174" s="6" t="s">
        <v>50</v>
      </c>
      <c r="BQ174">
        <v>0</v>
      </c>
      <c r="BR174" s="6" t="s">
        <v>50</v>
      </c>
      <c r="BS174">
        <v>0</v>
      </c>
      <c r="BT174" s="6" t="s">
        <v>3645</v>
      </c>
      <c r="BU174">
        <v>15</v>
      </c>
    </row>
    <row r="175" spans="1:73" ht="15.75" customHeight="1" x14ac:dyDescent="0.2">
      <c r="A175" s="3">
        <f t="shared" si="2"/>
        <v>2173</v>
      </c>
      <c r="B175" s="3" t="s">
        <v>1405</v>
      </c>
      <c r="C175" s="3" t="s">
        <v>1381</v>
      </c>
      <c r="D175" s="27" t="s">
        <v>1473</v>
      </c>
      <c r="E175" s="5" t="s">
        <v>1382</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-10</v>
      </c>
      <c r="AF175" s="3">
        <v>10</v>
      </c>
      <c r="AG175" s="3">
        <v>20</v>
      </c>
      <c r="AH175" s="3">
        <v>0</v>
      </c>
      <c r="AI175" s="3">
        <v>0</v>
      </c>
      <c r="AJ175" s="3">
        <v>0</v>
      </c>
      <c r="AK175" s="3">
        <v>30</v>
      </c>
      <c r="AL175" s="3" t="s">
        <v>31</v>
      </c>
      <c r="AM175" s="3" t="s">
        <v>584</v>
      </c>
      <c r="AN175" s="3" t="s">
        <v>2007</v>
      </c>
      <c r="AO175" s="3" t="s">
        <v>1847</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c r="BP175" s="6" t="s">
        <v>50</v>
      </c>
      <c r="BQ175">
        <v>0</v>
      </c>
      <c r="BR175" s="6" t="s">
        <v>50</v>
      </c>
      <c r="BS175">
        <v>0</v>
      </c>
      <c r="BT175" s="6" t="s">
        <v>3645</v>
      </c>
      <c r="BU175">
        <v>15</v>
      </c>
    </row>
    <row r="176" spans="1:73" ht="15.75" customHeight="1" x14ac:dyDescent="0.2">
      <c r="A176" s="3">
        <f t="shared" si="2"/>
        <v>2174</v>
      </c>
      <c r="B176" s="3" t="s">
        <v>1408</v>
      </c>
      <c r="C176" s="3" t="s">
        <v>1383</v>
      </c>
      <c r="D176" s="27" t="s">
        <v>1384</v>
      </c>
      <c r="E176" s="5" t="s">
        <v>1385</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-10</v>
      </c>
      <c r="AF176" s="3">
        <v>10</v>
      </c>
      <c r="AG176" s="3">
        <v>20</v>
      </c>
      <c r="AH176" s="3">
        <v>0</v>
      </c>
      <c r="AI176" s="3">
        <v>0</v>
      </c>
      <c r="AJ176" s="3">
        <v>0</v>
      </c>
      <c r="AK176" s="3">
        <v>30</v>
      </c>
      <c r="AL176" s="3" t="s">
        <v>31</v>
      </c>
      <c r="AM176" s="3" t="s">
        <v>584</v>
      </c>
      <c r="AN176" s="3" t="s">
        <v>2007</v>
      </c>
      <c r="AO176" s="3" t="s">
        <v>1847</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c r="BP176" s="6" t="s">
        <v>50</v>
      </c>
      <c r="BQ176">
        <v>0</v>
      </c>
      <c r="BR176" s="6" t="s">
        <v>50</v>
      </c>
      <c r="BS176">
        <v>0</v>
      </c>
      <c r="BT176" s="6" t="s">
        <v>3645</v>
      </c>
      <c r="BU176">
        <v>15</v>
      </c>
    </row>
    <row r="177" spans="1:73" ht="15.75" customHeight="1" x14ac:dyDescent="0.2">
      <c r="A177" s="3">
        <f t="shared" si="2"/>
        <v>2175</v>
      </c>
      <c r="B177" s="3" t="s">
        <v>1407</v>
      </c>
      <c r="C177" s="3" t="s">
        <v>1386</v>
      </c>
      <c r="D177" s="27" t="s">
        <v>1387</v>
      </c>
      <c r="E177" s="5" t="s">
        <v>1388</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150</v>
      </c>
      <c r="Z177" s="3">
        <v>0</v>
      </c>
      <c r="AA177" s="3">
        <v>0</v>
      </c>
      <c r="AB177" s="3">
        <v>0</v>
      </c>
      <c r="AC177" s="3">
        <v>0</v>
      </c>
      <c r="AD177" s="3">
        <v>0</v>
      </c>
      <c r="AE177" s="3">
        <v>-10</v>
      </c>
      <c r="AF177" s="3">
        <v>10</v>
      </c>
      <c r="AG177" s="3">
        <v>0</v>
      </c>
      <c r="AH177" s="3">
        <v>0</v>
      </c>
      <c r="AI177" s="3">
        <v>0</v>
      </c>
      <c r="AJ177" s="3">
        <v>0</v>
      </c>
      <c r="AK177" s="3">
        <v>30</v>
      </c>
      <c r="AL177" s="3" t="s">
        <v>31</v>
      </c>
      <c r="AM177" s="3" t="s">
        <v>584</v>
      </c>
      <c r="AN177" s="3" t="s">
        <v>2007</v>
      </c>
      <c r="AO177" s="3" t="s">
        <v>1847</v>
      </c>
      <c r="AP177" s="3">
        <v>30</v>
      </c>
      <c r="AQ177" s="3">
        <v>1.8</v>
      </c>
      <c r="AR177">
        <v>2000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c r="BP177" s="6" t="s">
        <v>50</v>
      </c>
      <c r="BQ177">
        <v>0</v>
      </c>
      <c r="BR177" s="6" t="s">
        <v>50</v>
      </c>
      <c r="BS177">
        <v>0</v>
      </c>
      <c r="BT177" s="6" t="s">
        <v>50</v>
      </c>
      <c r="BU177">
        <v>0</v>
      </c>
    </row>
    <row r="178" spans="1:73" ht="15.75" customHeight="1" x14ac:dyDescent="0.2">
      <c r="A178" s="3">
        <f t="shared" si="2"/>
        <v>2176</v>
      </c>
      <c r="B178" s="3" t="s">
        <v>1272</v>
      </c>
      <c r="C178" s="3" t="s">
        <v>1241</v>
      </c>
      <c r="D178" s="27" t="s">
        <v>1352</v>
      </c>
      <c r="E178" s="5" t="s">
        <v>1242</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-10</v>
      </c>
      <c r="AF178" s="3">
        <v>10</v>
      </c>
      <c r="AG178" s="3">
        <v>10</v>
      </c>
      <c r="AH178" s="3">
        <v>0</v>
      </c>
      <c r="AI178" s="3">
        <v>0</v>
      </c>
      <c r="AJ178" s="3">
        <v>0</v>
      </c>
      <c r="AK178" s="3">
        <v>30</v>
      </c>
      <c r="AL178" s="3" t="s">
        <v>31</v>
      </c>
      <c r="AM178" s="3" t="s">
        <v>584</v>
      </c>
      <c r="AN178" s="3" t="s">
        <v>2007</v>
      </c>
      <c r="AO178" s="3" t="s">
        <v>1847</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c r="BP178" s="6" t="s">
        <v>50</v>
      </c>
      <c r="BQ178">
        <v>0</v>
      </c>
      <c r="BR178" s="6" t="s">
        <v>50</v>
      </c>
      <c r="BS178">
        <v>0</v>
      </c>
      <c r="BT178" s="6" t="s">
        <v>50</v>
      </c>
      <c r="BU178">
        <v>0</v>
      </c>
    </row>
    <row r="179" spans="1:73" ht="15.75" customHeight="1" x14ac:dyDescent="0.2">
      <c r="A179" s="3">
        <f t="shared" si="2"/>
        <v>2177</v>
      </c>
      <c r="B179" s="3" t="s">
        <v>1409</v>
      </c>
      <c r="C179" s="3" t="s">
        <v>1402</v>
      </c>
      <c r="D179" s="27" t="s">
        <v>1400</v>
      </c>
      <c r="E179" s="5" t="s">
        <v>1401</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20</v>
      </c>
      <c r="AF179" s="3">
        <v>-20</v>
      </c>
      <c r="AG179" s="3">
        <v>0</v>
      </c>
      <c r="AH179" s="3">
        <v>0</v>
      </c>
      <c r="AI179" s="3">
        <v>0</v>
      </c>
      <c r="AJ179" s="3">
        <v>0</v>
      </c>
      <c r="AK179" s="3">
        <v>30</v>
      </c>
      <c r="AL179" s="3" t="s">
        <v>31</v>
      </c>
      <c r="AM179" s="3" t="s">
        <v>584</v>
      </c>
      <c r="AN179" s="3" t="s">
        <v>2007</v>
      </c>
      <c r="AO179" s="3" t="s">
        <v>1847</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c r="BP179" s="6" t="s">
        <v>50</v>
      </c>
      <c r="BQ179">
        <v>0</v>
      </c>
      <c r="BR179" s="6" t="s">
        <v>50</v>
      </c>
      <c r="BS179">
        <v>0</v>
      </c>
      <c r="BT179" s="6" t="s">
        <v>50</v>
      </c>
      <c r="BU179">
        <v>0</v>
      </c>
    </row>
    <row r="180" spans="1:73" s="9" customFormat="1" ht="15.75" customHeight="1" x14ac:dyDescent="0.2">
      <c r="A180" s="7">
        <f t="shared" si="2"/>
        <v>2178</v>
      </c>
      <c r="B180" s="7" t="s">
        <v>566</v>
      </c>
      <c r="C180" s="7" t="s">
        <v>421</v>
      </c>
      <c r="D180" s="28" t="s">
        <v>420</v>
      </c>
      <c r="E180" s="8" t="s">
        <v>2065</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2007</v>
      </c>
      <c r="AO180" s="7" t="s">
        <v>1847</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row>
    <row r="181" spans="1:73" s="23" customFormat="1" ht="15.75" customHeight="1" x14ac:dyDescent="0.2">
      <c r="A181" s="21">
        <f t="shared" si="2"/>
        <v>2179</v>
      </c>
      <c r="B181" s="21" t="s">
        <v>305</v>
      </c>
      <c r="C181" s="21" t="s">
        <v>2935</v>
      </c>
      <c r="D181" s="22" t="s">
        <v>2936</v>
      </c>
      <c r="E181" s="22" t="s">
        <v>2278</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1849</v>
      </c>
      <c r="AN181" s="21" t="s">
        <v>2009</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c r="BP181" s="24" t="s">
        <v>50</v>
      </c>
      <c r="BQ181" s="23">
        <v>0</v>
      </c>
      <c r="BR181" s="24" t="s">
        <v>50</v>
      </c>
      <c r="BS181" s="23">
        <v>0</v>
      </c>
      <c r="BT181" s="24" t="s">
        <v>50</v>
      </c>
      <c r="BU181" s="23">
        <v>0</v>
      </c>
    </row>
    <row r="182" spans="1:73" ht="15.75" customHeight="1" x14ac:dyDescent="0.2">
      <c r="A182" s="3">
        <f t="shared" si="2"/>
        <v>2180</v>
      </c>
      <c r="B182" s="3" t="s">
        <v>564</v>
      </c>
      <c r="C182" s="3" t="s">
        <v>563</v>
      </c>
      <c r="D182" s="27" t="s">
        <v>1063</v>
      </c>
      <c r="E182" s="5" t="s">
        <v>1494</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1425</v>
      </c>
      <c r="AN182" s="3" t="s">
        <v>2008</v>
      </c>
      <c r="AO182" s="3" t="s">
        <v>1847</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row>
    <row r="183" spans="1:73" ht="15.75" customHeight="1" x14ac:dyDescent="0.2">
      <c r="A183" s="3">
        <f t="shared" si="2"/>
        <v>2181</v>
      </c>
      <c r="B183" s="3" t="s">
        <v>1094</v>
      </c>
      <c r="C183" s="3" t="s">
        <v>1094</v>
      </c>
      <c r="D183" s="27" t="s">
        <v>1093</v>
      </c>
      <c r="E183" s="5" t="s">
        <v>1095</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1425</v>
      </c>
      <c r="AN183" s="3" t="s">
        <v>2008</v>
      </c>
      <c r="AO183" s="3" t="s">
        <v>1847</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row>
    <row r="184" spans="1:73" ht="15.75" customHeight="1" x14ac:dyDescent="0.2">
      <c r="A184" s="3">
        <f t="shared" si="2"/>
        <v>2182</v>
      </c>
      <c r="B184" s="3" t="s">
        <v>2958</v>
      </c>
      <c r="C184" s="3" t="s">
        <v>2937</v>
      </c>
      <c r="D184" s="27" t="s">
        <v>2940</v>
      </c>
      <c r="E184" s="5" t="s">
        <v>2941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1425</v>
      </c>
      <c r="AN184" s="3" t="s">
        <v>3096</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row>
    <row r="185" spans="1:73" s="18" customFormat="1" ht="15.75" customHeight="1" x14ac:dyDescent="0.2">
      <c r="A185" s="16">
        <f t="shared" si="2"/>
        <v>2183</v>
      </c>
      <c r="B185" s="16" t="s">
        <v>2958</v>
      </c>
      <c r="C185" s="16" t="s">
        <v>3494</v>
      </c>
      <c r="D185" s="29" t="s">
        <v>3500</v>
      </c>
      <c r="E185" s="17" t="s">
        <v>3495</v>
      </c>
      <c r="F185" s="16">
        <v>1</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-200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1425</v>
      </c>
      <c r="AN185" s="16" t="s">
        <v>3496</v>
      </c>
      <c r="AO185" s="16" t="s">
        <v>50</v>
      </c>
      <c r="AP185" s="16">
        <v>30</v>
      </c>
      <c r="AQ185" s="16">
        <v>0.8</v>
      </c>
      <c r="AR185" s="18">
        <v>50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1</v>
      </c>
      <c r="BL185" s="18">
        <v>30</v>
      </c>
      <c r="BM185" s="18">
        <v>1</v>
      </c>
      <c r="BN185" s="18">
        <v>1</v>
      </c>
      <c r="BO185" s="18">
        <v>1</v>
      </c>
      <c r="BP185" s="19" t="s">
        <v>50</v>
      </c>
      <c r="BQ185" s="18">
        <v>0</v>
      </c>
      <c r="BR185" s="19" t="s">
        <v>50</v>
      </c>
      <c r="BS185" s="18">
        <v>0</v>
      </c>
      <c r="BT185" s="19" t="s">
        <v>50</v>
      </c>
      <c r="BU185" s="18">
        <v>0</v>
      </c>
    </row>
    <row r="186" spans="1:73" s="23" customFormat="1" ht="15.75" customHeight="1" x14ac:dyDescent="0.2">
      <c r="A186" s="21">
        <f t="shared" si="2"/>
        <v>2184</v>
      </c>
      <c r="B186" s="21" t="s">
        <v>305</v>
      </c>
      <c r="C186" s="21" t="s">
        <v>2280</v>
      </c>
      <c r="D186" s="22" t="s">
        <v>2281</v>
      </c>
      <c r="E186" s="22" t="s">
        <v>2278</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1849</v>
      </c>
      <c r="AN186" s="21" t="s">
        <v>2009</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c r="BP186" s="24" t="s">
        <v>50</v>
      </c>
      <c r="BQ186" s="23">
        <v>0</v>
      </c>
      <c r="BR186" s="24" t="s">
        <v>50</v>
      </c>
      <c r="BS186" s="23">
        <v>0</v>
      </c>
      <c r="BT186" s="24" t="s">
        <v>50</v>
      </c>
      <c r="BU186" s="23">
        <v>0</v>
      </c>
    </row>
    <row r="187" spans="1:73" ht="15.75" customHeight="1" x14ac:dyDescent="0.2">
      <c r="A187" s="3">
        <f t="shared" si="2"/>
        <v>2185</v>
      </c>
      <c r="B187" s="3" t="s">
        <v>305</v>
      </c>
      <c r="C187" s="3" t="s">
        <v>305</v>
      </c>
      <c r="D187" s="27" t="s">
        <v>306</v>
      </c>
      <c r="E187" s="5" t="s">
        <v>1482</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3543</v>
      </c>
      <c r="AN187" s="3" t="s">
        <v>2009</v>
      </c>
      <c r="AO187" s="3" t="s">
        <v>1848</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row>
    <row r="188" spans="1:73" ht="15.75" customHeight="1" x14ac:dyDescent="0.2">
      <c r="A188" s="3">
        <f t="shared" si="2"/>
        <v>2186</v>
      </c>
      <c r="B188" s="3" t="s">
        <v>1888</v>
      </c>
      <c r="C188" s="3" t="s">
        <v>1888</v>
      </c>
      <c r="D188" s="27" t="s">
        <v>1887</v>
      </c>
      <c r="E188" s="5" t="s">
        <v>1892</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3106</v>
      </c>
      <c r="AN188" s="3" t="s">
        <v>2009</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row>
    <row r="189" spans="1:73" ht="15.75" customHeight="1" x14ac:dyDescent="0.2">
      <c r="A189" s="3">
        <f t="shared" si="2"/>
        <v>2187</v>
      </c>
      <c r="B189" s="3" t="s">
        <v>1177</v>
      </c>
      <c r="C189" s="3" t="s">
        <v>1177</v>
      </c>
      <c r="D189" s="27" t="s">
        <v>1345</v>
      </c>
      <c r="E189" s="5" t="s">
        <v>1344</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3107</v>
      </c>
      <c r="AN189" s="3" t="s">
        <v>2009</v>
      </c>
      <c r="AO189" s="3" t="s">
        <v>1848</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row>
    <row r="190" spans="1:73" ht="15.75" customHeight="1" x14ac:dyDescent="0.2">
      <c r="A190" s="3">
        <f t="shared" si="2"/>
        <v>2188</v>
      </c>
      <c r="B190" s="3" t="s">
        <v>511</v>
      </c>
      <c r="C190" s="3" t="s">
        <v>511</v>
      </c>
      <c r="D190" s="27" t="s">
        <v>510</v>
      </c>
      <c r="E190" s="5" t="s">
        <v>1178</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2000</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3615</v>
      </c>
      <c r="BQ190">
        <v>30</v>
      </c>
      <c r="BR190" s="6" t="s">
        <v>3646</v>
      </c>
      <c r="BS190">
        <v>30</v>
      </c>
      <c r="BT190" s="6" t="s">
        <v>3645</v>
      </c>
      <c r="BU190">
        <v>30</v>
      </c>
    </row>
    <row r="191" spans="1:73" ht="15.75" customHeight="1" x14ac:dyDescent="0.2">
      <c r="A191" s="3">
        <f t="shared" si="2"/>
        <v>2189</v>
      </c>
      <c r="B191" s="3" t="s">
        <v>2827</v>
      </c>
      <c r="C191" s="3" t="s">
        <v>2827</v>
      </c>
      <c r="D191" s="27" t="s">
        <v>2922</v>
      </c>
      <c r="E191" s="5" t="s">
        <v>2785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3107</v>
      </c>
      <c r="AN191" s="3" t="s">
        <v>2009</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row>
    <row r="192" spans="1:73" ht="15.75" customHeight="1" x14ac:dyDescent="0.2">
      <c r="A192" s="3">
        <f t="shared" si="2"/>
        <v>2190</v>
      </c>
      <c r="B192" s="3" t="s">
        <v>2828</v>
      </c>
      <c r="C192" s="3" t="s">
        <v>2828</v>
      </c>
      <c r="D192" s="27" t="s">
        <v>2923</v>
      </c>
      <c r="E192" s="5" t="s">
        <v>2829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3107</v>
      </c>
      <c r="AN192" s="3" t="s">
        <v>2009</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row>
    <row r="193" spans="1:73" s="43" customFormat="1" ht="15.75" customHeight="1" x14ac:dyDescent="0.2">
      <c r="A193" s="40">
        <f t="shared" si="2"/>
        <v>2191</v>
      </c>
      <c r="B193" s="40" t="s">
        <v>305</v>
      </c>
      <c r="C193" s="40" t="s">
        <v>2821</v>
      </c>
      <c r="D193" s="41" t="s">
        <v>2822</v>
      </c>
      <c r="E193" s="42" t="s">
        <v>2826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1849</v>
      </c>
      <c r="AN193" s="40" t="s">
        <v>2009</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c r="BP193" s="44" t="s">
        <v>50</v>
      </c>
      <c r="BQ193" s="43">
        <v>0</v>
      </c>
      <c r="BR193" s="44" t="s">
        <v>50</v>
      </c>
      <c r="BS193" s="43">
        <v>0</v>
      </c>
      <c r="BT193" s="44" t="s">
        <v>50</v>
      </c>
      <c r="BU193" s="43">
        <v>0</v>
      </c>
    </row>
    <row r="194" spans="1:73" ht="15.75" customHeight="1" x14ac:dyDescent="0.2">
      <c r="A194" s="3">
        <f t="shared" si="2"/>
        <v>2192</v>
      </c>
      <c r="B194" s="3" t="s">
        <v>2804</v>
      </c>
      <c r="C194" s="3" t="s">
        <v>2804</v>
      </c>
      <c r="D194" s="4" t="s">
        <v>2805</v>
      </c>
      <c r="E194" s="4" t="s">
        <v>2806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1849</v>
      </c>
      <c r="AN194" s="3" t="s">
        <v>2009</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row>
    <row r="195" spans="1:73" s="43" customFormat="1" ht="15.75" customHeight="1" x14ac:dyDescent="0.2">
      <c r="A195" s="40">
        <f t="shared" si="2"/>
        <v>2193</v>
      </c>
      <c r="B195" s="40" t="s">
        <v>305</v>
      </c>
      <c r="C195" s="40" t="s">
        <v>2831</v>
      </c>
      <c r="D195" s="41" t="s">
        <v>2830</v>
      </c>
      <c r="E195" s="42" t="s">
        <v>2832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-30</v>
      </c>
      <c r="AF195" s="40">
        <v>30</v>
      </c>
      <c r="AG195" s="40">
        <v>30</v>
      </c>
      <c r="AH195" s="40">
        <v>30</v>
      </c>
      <c r="AI195" s="40">
        <v>0</v>
      </c>
      <c r="AJ195" s="40">
        <v>0</v>
      </c>
      <c r="AK195" s="40">
        <v>75</v>
      </c>
      <c r="AL195" s="40" t="s">
        <v>31</v>
      </c>
      <c r="AM195" s="40" t="s">
        <v>99</v>
      </c>
      <c r="AN195" s="40" t="s">
        <v>2000</v>
      </c>
      <c r="AO195" s="40" t="s">
        <v>50</v>
      </c>
      <c r="AP195" s="40">
        <v>60</v>
      </c>
      <c r="AQ195" s="40">
        <v>2.5</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c r="BP195" s="44" t="s">
        <v>3615</v>
      </c>
      <c r="BQ195" s="43">
        <v>30</v>
      </c>
      <c r="BR195" s="44" t="s">
        <v>3643</v>
      </c>
      <c r="BS195" s="43">
        <v>10</v>
      </c>
      <c r="BT195" s="44" t="s">
        <v>3646</v>
      </c>
      <c r="BU195" s="43">
        <v>10</v>
      </c>
    </row>
    <row r="196" spans="1:73" s="43" customFormat="1" ht="15.75" customHeight="1" x14ac:dyDescent="0.2">
      <c r="A196" s="40">
        <f t="shared" ref="A196:A259" si="3">ROW()+1998</f>
        <v>2194</v>
      </c>
      <c r="B196" s="40" t="s">
        <v>305</v>
      </c>
      <c r="C196" s="40" t="s">
        <v>2837</v>
      </c>
      <c r="D196" s="41" t="s">
        <v>2839</v>
      </c>
      <c r="E196" s="42" t="s">
        <v>2838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-30</v>
      </c>
      <c r="AF196" s="40">
        <v>30</v>
      </c>
      <c r="AG196" s="40">
        <v>30</v>
      </c>
      <c r="AH196" s="40">
        <v>50</v>
      </c>
      <c r="AI196" s="40">
        <v>0</v>
      </c>
      <c r="AJ196" s="40">
        <v>0</v>
      </c>
      <c r="AK196" s="40">
        <v>75</v>
      </c>
      <c r="AL196" s="40" t="s">
        <v>31</v>
      </c>
      <c r="AM196" s="40" t="s">
        <v>99</v>
      </c>
      <c r="AN196" s="40" t="s">
        <v>3097</v>
      </c>
      <c r="AO196" s="40" t="s">
        <v>50</v>
      </c>
      <c r="AP196" s="40">
        <v>60</v>
      </c>
      <c r="AQ196" s="40">
        <v>3</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c r="BP196" s="44" t="s">
        <v>3615</v>
      </c>
      <c r="BQ196" s="43">
        <v>35</v>
      </c>
      <c r="BR196" s="44" t="s">
        <v>3643</v>
      </c>
      <c r="BS196" s="43">
        <v>40</v>
      </c>
      <c r="BT196" s="44" t="s">
        <v>3646</v>
      </c>
      <c r="BU196" s="43">
        <v>30</v>
      </c>
    </row>
    <row r="197" spans="1:73" ht="15.75" customHeight="1" x14ac:dyDescent="0.2">
      <c r="A197" s="3">
        <f t="shared" si="3"/>
        <v>2195</v>
      </c>
      <c r="B197" s="3" t="s">
        <v>3194</v>
      </c>
      <c r="C197" s="3" t="s">
        <v>3194</v>
      </c>
      <c r="D197" s="27" t="s">
        <v>3195</v>
      </c>
      <c r="E197" s="5" t="s">
        <v>3196</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3107</v>
      </c>
      <c r="AN197" s="3" t="s">
        <v>2009</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row>
    <row r="198" spans="1:73" ht="15.75" customHeight="1" x14ac:dyDescent="0.2">
      <c r="A198" s="3">
        <f t="shared" si="3"/>
        <v>2196</v>
      </c>
      <c r="B198" s="3" t="s">
        <v>3197</v>
      </c>
      <c r="C198" s="3" t="s">
        <v>3197</v>
      </c>
      <c r="D198" s="27" t="s">
        <v>3198</v>
      </c>
      <c r="E198" s="5" t="s">
        <v>3362</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1849</v>
      </c>
      <c r="AN198" s="3" t="s">
        <v>2009</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row>
    <row r="199" spans="1:73" ht="15.75" customHeight="1" x14ac:dyDescent="0.2">
      <c r="A199" s="3">
        <f t="shared" si="3"/>
        <v>2197</v>
      </c>
      <c r="B199" s="3" t="s">
        <v>2996</v>
      </c>
      <c r="C199" s="3" t="s">
        <v>2996</v>
      </c>
      <c r="D199" s="27" t="s">
        <v>2995</v>
      </c>
      <c r="E199" s="5" t="s">
        <v>2997</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2000</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3615</v>
      </c>
      <c r="BQ199">
        <v>20</v>
      </c>
      <c r="BR199" s="6" t="s">
        <v>3643</v>
      </c>
      <c r="BS199">
        <v>5</v>
      </c>
      <c r="BT199" s="6" t="s">
        <v>3645</v>
      </c>
      <c r="BU199">
        <v>30</v>
      </c>
    </row>
    <row r="200" spans="1:73" ht="15.75" customHeight="1" x14ac:dyDescent="0.2">
      <c r="A200" s="3">
        <f t="shared" si="3"/>
        <v>2198</v>
      </c>
      <c r="B200" s="3" t="s">
        <v>2999</v>
      </c>
      <c r="C200" s="3" t="s">
        <v>2999</v>
      </c>
      <c r="D200" s="27" t="s">
        <v>2998</v>
      </c>
      <c r="E200" s="5" t="s">
        <v>3124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2000</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3615</v>
      </c>
      <c r="BQ200">
        <v>20</v>
      </c>
      <c r="BR200" s="6" t="s">
        <v>50</v>
      </c>
      <c r="BS200">
        <v>0</v>
      </c>
      <c r="BT200" s="6" t="s">
        <v>50</v>
      </c>
      <c r="BU200">
        <v>0</v>
      </c>
    </row>
    <row r="201" spans="1:73" ht="15.75" customHeight="1" x14ac:dyDescent="0.2">
      <c r="A201" s="3">
        <f t="shared" si="3"/>
        <v>2199</v>
      </c>
      <c r="B201" s="3" t="s">
        <v>1412</v>
      </c>
      <c r="C201" s="3" t="s">
        <v>1412</v>
      </c>
      <c r="D201" s="27" t="s">
        <v>1410</v>
      </c>
      <c r="E201" s="5" t="s">
        <v>1411</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2000</v>
      </c>
      <c r="AO201" s="3" t="s">
        <v>1847</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3615</v>
      </c>
      <c r="BQ201">
        <v>20</v>
      </c>
      <c r="BR201" s="6" t="s">
        <v>50</v>
      </c>
      <c r="BS201">
        <v>0</v>
      </c>
      <c r="BT201" s="6" t="s">
        <v>50</v>
      </c>
      <c r="BU201">
        <v>0</v>
      </c>
    </row>
    <row r="202" spans="1:73" ht="15.75" customHeight="1" x14ac:dyDescent="0.2">
      <c r="A202" s="3">
        <f t="shared" si="3"/>
        <v>2200</v>
      </c>
      <c r="B202" s="3" t="s">
        <v>3317</v>
      </c>
      <c r="C202" s="3" t="s">
        <v>3317</v>
      </c>
      <c r="D202" s="27" t="s">
        <v>3318</v>
      </c>
      <c r="E202" s="5" t="s">
        <v>3319</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3543</v>
      </c>
      <c r="AN202" s="3" t="s">
        <v>2009</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row>
    <row r="203" spans="1:73" ht="15.75" customHeight="1" x14ac:dyDescent="0.2">
      <c r="A203" s="3">
        <f t="shared" si="3"/>
        <v>2201</v>
      </c>
      <c r="B203" s="3" t="s">
        <v>3320</v>
      </c>
      <c r="C203" s="3" t="s">
        <v>3320</v>
      </c>
      <c r="D203" s="27" t="s">
        <v>3321</v>
      </c>
      <c r="E203" s="5" t="s">
        <v>3322</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3106</v>
      </c>
      <c r="AN203" s="3" t="s">
        <v>2009</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row>
    <row r="204" spans="1:73" ht="15.75" customHeight="1" x14ac:dyDescent="0.2">
      <c r="A204" s="3">
        <f t="shared" si="3"/>
        <v>2202</v>
      </c>
      <c r="B204" s="3" t="s">
        <v>3331</v>
      </c>
      <c r="C204" s="3" t="s">
        <v>3331</v>
      </c>
      <c r="D204" s="27" t="s">
        <v>3332</v>
      </c>
      <c r="E204" s="5" t="s">
        <v>3333</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3107</v>
      </c>
      <c r="AN204" s="3" t="s">
        <v>2009</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row>
    <row r="205" spans="1:73" ht="15.75" customHeight="1" x14ac:dyDescent="0.2">
      <c r="A205" s="3">
        <f t="shared" si="3"/>
        <v>2203</v>
      </c>
      <c r="B205" s="3" t="s">
        <v>3324</v>
      </c>
      <c r="C205" s="3" t="s">
        <v>3324</v>
      </c>
      <c r="D205" s="27" t="s">
        <v>3323</v>
      </c>
      <c r="E205" s="5" t="s">
        <v>3334</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3107</v>
      </c>
      <c r="AN205" s="3" t="s">
        <v>2009</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row>
    <row r="206" spans="1:73" ht="15.75" customHeight="1" x14ac:dyDescent="0.2">
      <c r="A206" s="3">
        <f t="shared" si="3"/>
        <v>2204</v>
      </c>
      <c r="B206" s="3" t="s">
        <v>3326</v>
      </c>
      <c r="C206" s="3" t="s">
        <v>3326</v>
      </c>
      <c r="D206" s="27" t="s">
        <v>3325</v>
      </c>
      <c r="E206" s="5" t="s">
        <v>3327</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3107</v>
      </c>
      <c r="AN206" s="3" t="s">
        <v>2009</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row>
    <row r="207" spans="1:73" ht="15.75" customHeight="1" x14ac:dyDescent="0.2">
      <c r="A207" s="3">
        <f t="shared" si="3"/>
        <v>2205</v>
      </c>
      <c r="B207" s="3" t="s">
        <v>2303</v>
      </c>
      <c r="C207" s="3" t="s">
        <v>2303</v>
      </c>
      <c r="D207" s="27" t="s">
        <v>2302</v>
      </c>
      <c r="E207" s="5" t="s">
        <v>2304</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2000</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3615</v>
      </c>
      <c r="BQ207">
        <v>40</v>
      </c>
      <c r="BR207" s="6" t="s">
        <v>50</v>
      </c>
      <c r="BS207">
        <v>0</v>
      </c>
      <c r="BT207" s="6" t="s">
        <v>50</v>
      </c>
      <c r="BU207">
        <v>0</v>
      </c>
    </row>
    <row r="208" spans="1:73" ht="15.75" customHeight="1" x14ac:dyDescent="0.2">
      <c r="A208" s="3">
        <f t="shared" si="3"/>
        <v>2206</v>
      </c>
      <c r="B208" s="3" t="s">
        <v>3231</v>
      </c>
      <c r="C208" s="3" t="s">
        <v>3231</v>
      </c>
      <c r="D208" s="27" t="s">
        <v>3230</v>
      </c>
      <c r="E208" s="5" t="s">
        <v>3232</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3543</v>
      </c>
      <c r="AN208" s="3" t="s">
        <v>2009</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row>
    <row r="209" spans="1:73" ht="15.75" customHeight="1" x14ac:dyDescent="0.2">
      <c r="A209" s="3">
        <f t="shared" si="3"/>
        <v>2207</v>
      </c>
      <c r="B209" s="3" t="s">
        <v>3247</v>
      </c>
      <c r="C209" s="3" t="s">
        <v>3247</v>
      </c>
      <c r="D209" s="27" t="s">
        <v>3248</v>
      </c>
      <c r="E209" s="5" t="s">
        <v>3249</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3106</v>
      </c>
      <c r="AN209" s="3" t="s">
        <v>2009</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row>
    <row r="210" spans="1:73" ht="15.75" customHeight="1" x14ac:dyDescent="0.2">
      <c r="A210" s="3">
        <f t="shared" si="3"/>
        <v>2208</v>
      </c>
      <c r="B210" s="3" t="s">
        <v>3251</v>
      </c>
      <c r="C210" s="3" t="s">
        <v>3251</v>
      </c>
      <c r="D210" s="27" t="s">
        <v>3250</v>
      </c>
      <c r="E210" s="5" t="s">
        <v>3254</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3106</v>
      </c>
      <c r="AN210" s="3" t="s">
        <v>2009</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row>
    <row r="211" spans="1:73" ht="15.75" customHeight="1" x14ac:dyDescent="0.2">
      <c r="A211" s="3">
        <f t="shared" si="3"/>
        <v>2209</v>
      </c>
      <c r="B211" s="3" t="s">
        <v>3253</v>
      </c>
      <c r="C211" s="3" t="s">
        <v>3253</v>
      </c>
      <c r="D211" s="27" t="s">
        <v>3252</v>
      </c>
      <c r="E211" s="5" t="s">
        <v>3255</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3107</v>
      </c>
      <c r="AN211" s="3" t="s">
        <v>2009</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row>
    <row r="212" spans="1:73" ht="15.75" customHeight="1" x14ac:dyDescent="0.2">
      <c r="A212" s="3">
        <f t="shared" si="3"/>
        <v>2210</v>
      </c>
      <c r="B212" s="3" t="s">
        <v>3257</v>
      </c>
      <c r="C212" s="3" t="s">
        <v>3257</v>
      </c>
      <c r="D212" s="27" t="s">
        <v>3256</v>
      </c>
      <c r="E212" s="5" t="s">
        <v>3258</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3107</v>
      </c>
      <c r="AN212" s="3" t="s">
        <v>2009</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row>
    <row r="213" spans="1:73" ht="15.75" customHeight="1" x14ac:dyDescent="0.2">
      <c r="A213" s="3">
        <f t="shared" si="3"/>
        <v>2211</v>
      </c>
      <c r="B213" s="3" t="s">
        <v>3259</v>
      </c>
      <c r="C213" s="3" t="s">
        <v>3259</v>
      </c>
      <c r="D213" s="27" t="s">
        <v>3260</v>
      </c>
      <c r="E213" s="5" t="s">
        <v>3261</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3107</v>
      </c>
      <c r="AN213" s="3" t="s">
        <v>2009</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row>
    <row r="214" spans="1:73" ht="15.75" customHeight="1" x14ac:dyDescent="0.2">
      <c r="A214" s="3">
        <f t="shared" si="3"/>
        <v>2212</v>
      </c>
      <c r="B214" s="3" t="s">
        <v>3262</v>
      </c>
      <c r="C214" s="3" t="s">
        <v>3262</v>
      </c>
      <c r="D214" s="27" t="s">
        <v>3263</v>
      </c>
      <c r="E214" s="5" t="s">
        <v>3264</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3107</v>
      </c>
      <c r="AN214" s="3" t="s">
        <v>2009</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row>
    <row r="215" spans="1:73" ht="15.75" customHeight="1" x14ac:dyDescent="0.2">
      <c r="A215" s="3">
        <f t="shared" si="3"/>
        <v>2213</v>
      </c>
      <c r="B215" s="3" t="s">
        <v>3265</v>
      </c>
      <c r="C215" s="3" t="s">
        <v>3265</v>
      </c>
      <c r="D215" s="27" t="s">
        <v>3266</v>
      </c>
      <c r="E215" s="5" t="s">
        <v>3267</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3107</v>
      </c>
      <c r="AN215" s="3" t="s">
        <v>2009</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row>
    <row r="216" spans="1:73" ht="15.75" customHeight="1" x14ac:dyDescent="0.2">
      <c r="A216" s="3">
        <f t="shared" si="3"/>
        <v>2214</v>
      </c>
      <c r="B216" s="3" t="s">
        <v>2316</v>
      </c>
      <c r="C216" s="3" t="s">
        <v>2316</v>
      </c>
      <c r="D216" s="27" t="s">
        <v>2314</v>
      </c>
      <c r="E216" s="5" t="s">
        <v>2315</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2000</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3615</v>
      </c>
      <c r="BQ216">
        <v>40</v>
      </c>
      <c r="BR216" s="6" t="s">
        <v>50</v>
      </c>
      <c r="BS216">
        <v>0</v>
      </c>
      <c r="BT216" s="6" t="s">
        <v>50</v>
      </c>
      <c r="BU216">
        <v>0</v>
      </c>
    </row>
    <row r="217" spans="1:73" ht="15.75" customHeight="1" x14ac:dyDescent="0.2">
      <c r="A217" s="3">
        <f t="shared" si="3"/>
        <v>2215</v>
      </c>
      <c r="B217" s="3" t="s">
        <v>3286</v>
      </c>
      <c r="C217" s="3" t="s">
        <v>3286</v>
      </c>
      <c r="D217" s="27" t="s">
        <v>3285</v>
      </c>
      <c r="E217" s="5" t="s">
        <v>3287</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3543</v>
      </c>
      <c r="AN217" s="3" t="s">
        <v>2009</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row>
    <row r="218" spans="1:73" ht="15.75" customHeight="1" x14ac:dyDescent="0.2">
      <c r="A218" s="3">
        <f t="shared" si="3"/>
        <v>2216</v>
      </c>
      <c r="B218" s="3" t="s">
        <v>3312</v>
      </c>
      <c r="C218" s="3" t="s">
        <v>3312</v>
      </c>
      <c r="D218" s="27" t="s">
        <v>3313</v>
      </c>
      <c r="E218" s="5" t="s">
        <v>3314</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3106</v>
      </c>
      <c r="AN218" s="3" t="s">
        <v>2009</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row>
    <row r="219" spans="1:73" ht="15.75" customHeight="1" x14ac:dyDescent="0.2">
      <c r="A219" s="3">
        <f t="shared" si="3"/>
        <v>2217</v>
      </c>
      <c r="B219" s="3" t="s">
        <v>3289</v>
      </c>
      <c r="C219" s="3" t="s">
        <v>3289</v>
      </c>
      <c r="D219" s="27" t="s">
        <v>3291</v>
      </c>
      <c r="E219" s="5" t="s">
        <v>3288</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3107</v>
      </c>
      <c r="AN219" s="3" t="s">
        <v>2009</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row>
    <row r="220" spans="1:73" ht="15.75" customHeight="1" x14ac:dyDescent="0.2">
      <c r="A220" s="3">
        <f t="shared" si="3"/>
        <v>2218</v>
      </c>
      <c r="B220" s="3" t="s">
        <v>3295</v>
      </c>
      <c r="C220" s="3" t="s">
        <v>3295</v>
      </c>
      <c r="D220" s="27" t="s">
        <v>3290</v>
      </c>
      <c r="E220" s="5" t="s">
        <v>3292</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3107</v>
      </c>
      <c r="AN220" s="3" t="s">
        <v>2009</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row>
    <row r="221" spans="1:73" ht="15.75" customHeight="1" x14ac:dyDescent="0.2">
      <c r="A221" s="3">
        <f t="shared" si="3"/>
        <v>2219</v>
      </c>
      <c r="B221" s="3" t="s">
        <v>3294</v>
      </c>
      <c r="C221" s="3" t="s">
        <v>3294</v>
      </c>
      <c r="D221" s="27" t="s">
        <v>3293</v>
      </c>
      <c r="E221" s="5" t="s">
        <v>3296</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3107</v>
      </c>
      <c r="AN221" s="3" t="s">
        <v>2009</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row>
    <row r="222" spans="1:73" ht="15.75" customHeight="1" x14ac:dyDescent="0.2">
      <c r="A222" s="3">
        <f t="shared" si="3"/>
        <v>2220</v>
      </c>
      <c r="B222" s="3" t="s">
        <v>3001</v>
      </c>
      <c r="C222" s="3" t="s">
        <v>3001</v>
      </c>
      <c r="D222" s="27" t="s">
        <v>3000</v>
      </c>
      <c r="E222" s="5" t="s">
        <v>3002</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2000</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3615</v>
      </c>
      <c r="BQ222">
        <v>40</v>
      </c>
      <c r="BR222" s="6" t="s">
        <v>50</v>
      </c>
      <c r="BS222">
        <v>0</v>
      </c>
      <c r="BT222" s="6" t="s">
        <v>3646</v>
      </c>
      <c r="BU222">
        <v>20</v>
      </c>
    </row>
    <row r="223" spans="1:73" s="43" customFormat="1" ht="15.75" customHeight="1" x14ac:dyDescent="0.2">
      <c r="A223" s="40">
        <f t="shared" si="3"/>
        <v>2221</v>
      </c>
      <c r="B223" s="40" t="s">
        <v>3001</v>
      </c>
      <c r="C223" s="40" t="s">
        <v>3003</v>
      </c>
      <c r="D223" s="41" t="s">
        <v>3004</v>
      </c>
      <c r="E223" s="42" t="s">
        <v>3005</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-20</v>
      </c>
      <c r="AF223" s="40">
        <v>20</v>
      </c>
      <c r="AG223" s="40">
        <v>40</v>
      </c>
      <c r="AH223" s="40">
        <v>50</v>
      </c>
      <c r="AI223" s="40">
        <v>0</v>
      </c>
      <c r="AJ223" s="40">
        <v>0</v>
      </c>
      <c r="AK223" s="40">
        <v>0</v>
      </c>
      <c r="AL223" s="40" t="s">
        <v>31</v>
      </c>
      <c r="AM223" s="40" t="s">
        <v>35</v>
      </c>
      <c r="AN223" s="40" t="s">
        <v>3097</v>
      </c>
      <c r="AO223" s="40" t="s">
        <v>50</v>
      </c>
      <c r="AP223" s="40">
        <v>30</v>
      </c>
      <c r="AQ223" s="40">
        <v>2.5</v>
      </c>
      <c r="AR223" s="43">
        <v>4000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c r="BP223" s="44" t="s">
        <v>3615</v>
      </c>
      <c r="BQ223" s="43">
        <v>40</v>
      </c>
      <c r="BR223" s="44" t="s">
        <v>3643</v>
      </c>
      <c r="BS223" s="43">
        <v>30</v>
      </c>
      <c r="BT223" s="44" t="s">
        <v>3646</v>
      </c>
      <c r="BU223" s="43">
        <v>30</v>
      </c>
    </row>
    <row r="224" spans="1:73" s="9" customFormat="1" ht="15.75" customHeight="1" x14ac:dyDescent="0.2">
      <c r="A224" s="7">
        <f t="shared" si="3"/>
        <v>2222</v>
      </c>
      <c r="B224" s="7" t="s">
        <v>2047</v>
      </c>
      <c r="C224" s="7" t="s">
        <v>2183</v>
      </c>
      <c r="D224" s="11" t="s">
        <v>2182</v>
      </c>
      <c r="E224" s="11" t="s">
        <v>2184</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2000</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row>
    <row r="225" spans="1:73" s="9" customFormat="1" ht="15.75" customHeight="1" x14ac:dyDescent="0.2">
      <c r="A225" s="3">
        <f t="shared" si="3"/>
        <v>2223</v>
      </c>
      <c r="B225" s="7" t="s">
        <v>38</v>
      </c>
      <c r="C225" s="7" t="s">
        <v>423</v>
      </c>
      <c r="D225" s="28"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2000</v>
      </c>
      <c r="AO225" s="7" t="s">
        <v>1847</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c r="BP225" s="10" t="s">
        <v>50</v>
      </c>
      <c r="BQ225" s="9">
        <v>0</v>
      </c>
      <c r="BR225" s="10" t="s">
        <v>50</v>
      </c>
      <c r="BS225" s="9">
        <v>0</v>
      </c>
      <c r="BT225" s="10" t="s">
        <v>50</v>
      </c>
      <c r="BU225" s="9">
        <v>0</v>
      </c>
    </row>
    <row r="226" spans="1:73" s="9" customFormat="1" ht="15.75" customHeight="1" x14ac:dyDescent="0.2">
      <c r="A226" s="3">
        <f t="shared" si="3"/>
        <v>2224</v>
      </c>
      <c r="B226" s="7" t="s">
        <v>386</v>
      </c>
      <c r="C226" s="7" t="s">
        <v>171</v>
      </c>
      <c r="D226" s="28" t="s">
        <v>172</v>
      </c>
      <c r="E226" s="8" t="s">
        <v>2960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2000</v>
      </c>
      <c r="AO226" s="7" t="s">
        <v>1847</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c r="BP226" s="10" t="s">
        <v>50</v>
      </c>
      <c r="BQ226" s="9">
        <v>0</v>
      </c>
      <c r="BR226" s="10" t="s">
        <v>50</v>
      </c>
      <c r="BS226" s="9">
        <v>0</v>
      </c>
      <c r="BT226" s="10" t="s">
        <v>50</v>
      </c>
      <c r="BU226" s="9">
        <v>0</v>
      </c>
    </row>
    <row r="227" spans="1:73" ht="15.75" customHeight="1" x14ac:dyDescent="0.2">
      <c r="A227" s="3">
        <f t="shared" si="3"/>
        <v>2225</v>
      </c>
      <c r="B227" s="3" t="s">
        <v>1870</v>
      </c>
      <c r="C227" s="3" t="s">
        <v>1870</v>
      </c>
      <c r="D227" s="27" t="s">
        <v>1889</v>
      </c>
      <c r="E227" s="5" t="s">
        <v>1884</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3543</v>
      </c>
      <c r="AN227" s="3" t="s">
        <v>2009</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row>
    <row r="228" spans="1:73" ht="15.75" customHeight="1" x14ac:dyDescent="0.2">
      <c r="A228" s="3">
        <f t="shared" si="3"/>
        <v>2226</v>
      </c>
      <c r="B228" s="3" t="s">
        <v>1893</v>
      </c>
      <c r="C228" s="3" t="s">
        <v>1893</v>
      </c>
      <c r="D228" s="27" t="s">
        <v>1890</v>
      </c>
      <c r="E228" s="5" t="s">
        <v>1891</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3106</v>
      </c>
      <c r="AN228" s="3" t="s">
        <v>2009</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row>
    <row r="229" spans="1:73" ht="15.75" customHeight="1" x14ac:dyDescent="0.2">
      <c r="A229" s="3">
        <f t="shared" si="3"/>
        <v>2227</v>
      </c>
      <c r="B229" s="3" t="s">
        <v>1873</v>
      </c>
      <c r="C229" s="3" t="s">
        <v>1873</v>
      </c>
      <c r="D229" s="27" t="s">
        <v>1881</v>
      </c>
      <c r="E229" s="5" t="s">
        <v>1871</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3107</v>
      </c>
      <c r="AN229" s="3" t="s">
        <v>2009</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row>
    <row r="230" spans="1:73" ht="15.75" customHeight="1" x14ac:dyDescent="0.2">
      <c r="A230" s="3">
        <f t="shared" si="3"/>
        <v>2228</v>
      </c>
      <c r="B230" s="3" t="s">
        <v>1874</v>
      </c>
      <c r="C230" s="3" t="s">
        <v>1874</v>
      </c>
      <c r="D230" s="27" t="s">
        <v>1882</v>
      </c>
      <c r="E230" s="5" t="s">
        <v>1872</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3107</v>
      </c>
      <c r="AN230" s="3" t="s">
        <v>2009</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row>
    <row r="231" spans="1:73" ht="15.75" customHeight="1" x14ac:dyDescent="0.2">
      <c r="A231" s="3">
        <f t="shared" si="3"/>
        <v>2229</v>
      </c>
      <c r="B231" s="3" t="s">
        <v>1878</v>
      </c>
      <c r="C231" s="3" t="s">
        <v>1878</v>
      </c>
      <c r="D231" s="27" t="s">
        <v>3121</v>
      </c>
      <c r="E231" s="5" t="s">
        <v>1885</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3107</v>
      </c>
      <c r="AN231" s="3" t="s">
        <v>2009</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row>
    <row r="232" spans="1:73" ht="15.75" customHeight="1" x14ac:dyDescent="0.2">
      <c r="A232" s="3">
        <f t="shared" si="3"/>
        <v>2230</v>
      </c>
      <c r="B232" s="3" t="s">
        <v>2823</v>
      </c>
      <c r="C232" s="3" t="s">
        <v>2823</v>
      </c>
      <c r="D232" s="27" t="s">
        <v>1900</v>
      </c>
      <c r="E232" s="5" t="s">
        <v>1883</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2000</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row>
    <row r="233" spans="1:73" ht="15.75" customHeight="1" x14ac:dyDescent="0.2">
      <c r="A233" s="3">
        <f t="shared" si="3"/>
        <v>2231</v>
      </c>
      <c r="B233" s="3" t="s">
        <v>385</v>
      </c>
      <c r="C233" s="3" t="s">
        <v>2824</v>
      </c>
      <c r="D233" s="27" t="s">
        <v>2825</v>
      </c>
      <c r="E233" s="5" t="s">
        <v>1886</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2000</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row>
    <row r="234" spans="1:73" ht="15.75" customHeight="1" x14ac:dyDescent="0.2">
      <c r="A234" s="3">
        <f t="shared" si="3"/>
        <v>2232</v>
      </c>
      <c r="B234" s="3" t="s">
        <v>385</v>
      </c>
      <c r="C234" s="3" t="s">
        <v>173</v>
      </c>
      <c r="D234" s="27" t="s">
        <v>174</v>
      </c>
      <c r="E234" s="5" t="s">
        <v>3374</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2000</v>
      </c>
      <c r="AO234" s="3" t="s">
        <v>1847</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3615</v>
      </c>
      <c r="BQ234">
        <v>40</v>
      </c>
      <c r="BR234" s="6" t="s">
        <v>50</v>
      </c>
      <c r="BS234">
        <v>0</v>
      </c>
      <c r="BT234" s="6" t="s">
        <v>50</v>
      </c>
      <c r="BU234">
        <v>0</v>
      </c>
    </row>
    <row r="235" spans="1:73" s="9" customFormat="1" ht="15.75" customHeight="1" x14ac:dyDescent="0.2">
      <c r="A235" s="3">
        <f t="shared" si="3"/>
        <v>2233</v>
      </c>
      <c r="B235" s="7" t="s">
        <v>305</v>
      </c>
      <c r="C235" s="7" t="s">
        <v>416</v>
      </c>
      <c r="D235" s="28"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2000</v>
      </c>
      <c r="AO235" s="7" t="s">
        <v>1847</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c r="BP235" s="10" t="s">
        <v>50</v>
      </c>
      <c r="BQ235" s="9">
        <v>0</v>
      </c>
      <c r="BR235" s="10" t="s">
        <v>50</v>
      </c>
      <c r="BS235" s="9">
        <v>0</v>
      </c>
      <c r="BT235" s="10" t="s">
        <v>50</v>
      </c>
      <c r="BU235" s="9">
        <v>0</v>
      </c>
    </row>
    <row r="236" spans="1:73" s="9" customFormat="1" ht="15.75" customHeight="1" x14ac:dyDescent="0.2">
      <c r="A236" s="3">
        <f t="shared" si="3"/>
        <v>2234</v>
      </c>
      <c r="B236" s="7" t="s">
        <v>305</v>
      </c>
      <c r="C236" s="7" t="s">
        <v>418</v>
      </c>
      <c r="D236" s="28"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2000</v>
      </c>
      <c r="AO236" s="7" t="s">
        <v>1847</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c r="BP236" s="10" t="s">
        <v>50</v>
      </c>
      <c r="BQ236" s="9">
        <v>0</v>
      </c>
      <c r="BR236" s="10" t="s">
        <v>50</v>
      </c>
      <c r="BS236" s="9">
        <v>0</v>
      </c>
      <c r="BT236" s="10" t="s">
        <v>50</v>
      </c>
      <c r="BU236" s="9">
        <v>0</v>
      </c>
    </row>
    <row r="237" spans="1:73" s="9" customFormat="1" ht="15.75" customHeight="1" x14ac:dyDescent="0.2">
      <c r="A237" s="3">
        <f t="shared" si="3"/>
        <v>2235</v>
      </c>
      <c r="B237" s="7" t="s">
        <v>305</v>
      </c>
      <c r="C237" s="7" t="s">
        <v>1514</v>
      </c>
      <c r="D237" s="28" t="s">
        <v>2961</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2000</v>
      </c>
      <c r="AO237" s="7" t="s">
        <v>1847</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c r="BP237" s="10" t="s">
        <v>50</v>
      </c>
      <c r="BQ237" s="9">
        <v>0</v>
      </c>
      <c r="BR237" s="10" t="s">
        <v>50</v>
      </c>
      <c r="BS237" s="9">
        <v>0</v>
      </c>
      <c r="BT237" s="10" t="s">
        <v>50</v>
      </c>
      <c r="BU237" s="9">
        <v>0</v>
      </c>
    </row>
    <row r="238" spans="1:73" s="9" customFormat="1" ht="15.75" customHeight="1" x14ac:dyDescent="0.2">
      <c r="A238" s="3">
        <f t="shared" si="3"/>
        <v>2236</v>
      </c>
      <c r="B238" s="7" t="s">
        <v>305</v>
      </c>
      <c r="C238" s="7" t="s">
        <v>1513</v>
      </c>
      <c r="D238" s="28" t="s">
        <v>1512</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2000</v>
      </c>
      <c r="AO238" s="7" t="s">
        <v>1847</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c r="BP238" s="10" t="s">
        <v>50</v>
      </c>
      <c r="BQ238" s="9">
        <v>0</v>
      </c>
      <c r="BR238" s="10" t="s">
        <v>50</v>
      </c>
      <c r="BS238" s="9">
        <v>0</v>
      </c>
      <c r="BT238" s="10" t="s">
        <v>50</v>
      </c>
      <c r="BU238" s="9">
        <v>0</v>
      </c>
    </row>
    <row r="239" spans="1:73" s="9" customFormat="1" ht="15.75" customHeight="1" x14ac:dyDescent="0.2">
      <c r="A239" s="3">
        <f t="shared" si="3"/>
        <v>2237</v>
      </c>
      <c r="B239" s="7" t="s">
        <v>305</v>
      </c>
      <c r="C239" s="7" t="s">
        <v>429</v>
      </c>
      <c r="D239" s="28"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2000</v>
      </c>
      <c r="AO239" s="7" t="s">
        <v>1847</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c r="BP239" s="10" t="s">
        <v>50</v>
      </c>
      <c r="BQ239" s="9">
        <v>0</v>
      </c>
      <c r="BR239" s="10" t="s">
        <v>50</v>
      </c>
      <c r="BS239" s="9">
        <v>0</v>
      </c>
      <c r="BT239" s="10" t="s">
        <v>50</v>
      </c>
      <c r="BU239" s="9">
        <v>0</v>
      </c>
    </row>
    <row r="240" spans="1:73" s="9" customFormat="1" ht="15.75" customHeight="1" x14ac:dyDescent="0.2">
      <c r="A240" s="3">
        <f t="shared" si="3"/>
        <v>2238</v>
      </c>
      <c r="B240" s="7" t="s">
        <v>305</v>
      </c>
      <c r="C240" s="7" t="s">
        <v>434</v>
      </c>
      <c r="D240" s="28" t="s">
        <v>433</v>
      </c>
      <c r="E240" s="8" t="s">
        <v>1060</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2000</v>
      </c>
      <c r="AO240" s="7" t="s">
        <v>1847</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c r="BP240" s="10" t="s">
        <v>50</v>
      </c>
      <c r="BQ240" s="9">
        <v>0</v>
      </c>
      <c r="BR240" s="10" t="s">
        <v>50</v>
      </c>
      <c r="BS240" s="9">
        <v>0</v>
      </c>
      <c r="BT240" s="10" t="s">
        <v>50</v>
      </c>
      <c r="BU240" s="9">
        <v>0</v>
      </c>
    </row>
    <row r="241" spans="1:73" s="9" customFormat="1" ht="15.75" customHeight="1" x14ac:dyDescent="0.2">
      <c r="A241" s="3">
        <f t="shared" si="3"/>
        <v>2239</v>
      </c>
      <c r="B241" s="7" t="s">
        <v>387</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2011</v>
      </c>
      <c r="AO241" s="7" t="s">
        <v>1847</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c r="BP241" s="10" t="s">
        <v>50</v>
      </c>
      <c r="BQ241" s="9">
        <v>0</v>
      </c>
      <c r="BR241" s="10" t="s">
        <v>50</v>
      </c>
      <c r="BS241" s="9">
        <v>0</v>
      </c>
      <c r="BT241" s="10" t="s">
        <v>50</v>
      </c>
      <c r="BU241" s="9">
        <v>0</v>
      </c>
    </row>
    <row r="242" spans="1:73"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2000</v>
      </c>
      <c r="AO242" s="7" t="s">
        <v>1847</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c r="BP242" s="10" t="s">
        <v>50</v>
      </c>
      <c r="BQ242" s="9">
        <v>0</v>
      </c>
      <c r="BR242" s="10" t="s">
        <v>50</v>
      </c>
      <c r="BS242" s="9">
        <v>0</v>
      </c>
      <c r="BT242" s="10" t="s">
        <v>50</v>
      </c>
      <c r="BU242" s="9">
        <v>0</v>
      </c>
    </row>
    <row r="243" spans="1:73"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2000</v>
      </c>
      <c r="AO243" s="7" t="s">
        <v>1847</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c r="BP243" s="10" t="s">
        <v>50</v>
      </c>
      <c r="BQ243" s="9">
        <v>0</v>
      </c>
      <c r="BR243" s="10" t="s">
        <v>50</v>
      </c>
      <c r="BS243" s="9">
        <v>0</v>
      </c>
      <c r="BT243" s="10" t="s">
        <v>50</v>
      </c>
      <c r="BU243" s="9">
        <v>0</v>
      </c>
    </row>
    <row r="244" spans="1:73" s="23" customFormat="1" ht="15.75" customHeight="1" x14ac:dyDescent="0.2">
      <c r="A244" s="21">
        <f t="shared" si="3"/>
        <v>2242</v>
      </c>
      <c r="B244" s="21" t="s">
        <v>2047</v>
      </c>
      <c r="C244" s="21" t="s">
        <v>2279</v>
      </c>
      <c r="D244" s="22" t="s">
        <v>2282</v>
      </c>
      <c r="E244" s="22" t="s">
        <v>2278</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2012</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c r="BP244" s="24" t="s">
        <v>50</v>
      </c>
      <c r="BQ244" s="23">
        <v>0</v>
      </c>
      <c r="BR244" s="24" t="s">
        <v>50</v>
      </c>
      <c r="BS244" s="23">
        <v>0</v>
      </c>
      <c r="BT244" s="24" t="s">
        <v>50</v>
      </c>
      <c r="BU244" s="23">
        <v>0</v>
      </c>
    </row>
    <row r="245" spans="1:73" ht="15.75" customHeight="1" x14ac:dyDescent="0.2">
      <c r="A245" s="3">
        <f t="shared" si="3"/>
        <v>2243</v>
      </c>
      <c r="B245" s="3" t="s">
        <v>2047</v>
      </c>
      <c r="C245" s="3" t="s">
        <v>2047</v>
      </c>
      <c r="D245" s="4" t="s">
        <v>2046</v>
      </c>
      <c r="E245" s="4" t="s">
        <v>2120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0</v>
      </c>
      <c r="AI245" s="3">
        <v>0</v>
      </c>
      <c r="AJ245" s="3">
        <v>0</v>
      </c>
      <c r="AK245" s="3">
        <v>0</v>
      </c>
      <c r="AL245" s="3" t="s">
        <v>31</v>
      </c>
      <c r="AM245" s="3" t="s">
        <v>48</v>
      </c>
      <c r="AN245" s="3" t="s">
        <v>2012</v>
      </c>
      <c r="AO245" s="3" t="s">
        <v>1847</v>
      </c>
      <c r="AP245" s="3">
        <v>60</v>
      </c>
      <c r="AQ245" s="3">
        <v>2</v>
      </c>
      <c r="AR245">
        <v>1500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3615</v>
      </c>
      <c r="BQ245">
        <v>20</v>
      </c>
      <c r="BR245" s="6" t="s">
        <v>50</v>
      </c>
      <c r="BS245">
        <v>0</v>
      </c>
      <c r="BT245" s="6" t="s">
        <v>50</v>
      </c>
      <c r="BU245">
        <v>0</v>
      </c>
    </row>
    <row r="246" spans="1:73" s="32" customFormat="1" ht="15.75" customHeight="1" x14ac:dyDescent="0.2">
      <c r="A246" s="30">
        <f t="shared" si="3"/>
        <v>2244</v>
      </c>
      <c r="B246" s="30" t="s">
        <v>2080</v>
      </c>
      <c r="C246" s="30" t="s">
        <v>2052</v>
      </c>
      <c r="D246" s="31" t="s">
        <v>2082</v>
      </c>
      <c r="E246" s="31" t="s">
        <v>2121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2053</v>
      </c>
      <c r="AO246" s="30" t="s">
        <v>51</v>
      </c>
      <c r="AP246" s="30">
        <v>60</v>
      </c>
      <c r="AQ246" s="30">
        <v>2.2000000000000002</v>
      </c>
      <c r="AR246" s="32">
        <v>1500</v>
      </c>
      <c r="AS246" s="32">
        <v>50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c r="BP246" s="33" t="s">
        <v>50</v>
      </c>
      <c r="BQ246" s="32">
        <v>0</v>
      </c>
      <c r="BR246" s="33" t="s">
        <v>50</v>
      </c>
      <c r="BS246" s="32">
        <v>0</v>
      </c>
      <c r="BT246" s="33" t="s">
        <v>50</v>
      </c>
      <c r="BU246" s="32">
        <v>0</v>
      </c>
    </row>
    <row r="247" spans="1:73" s="32" customFormat="1" ht="15.75" customHeight="1" x14ac:dyDescent="0.2">
      <c r="A247" s="30">
        <f t="shared" si="3"/>
        <v>2245</v>
      </c>
      <c r="B247" s="30" t="s">
        <v>2080</v>
      </c>
      <c r="C247" s="30" t="s">
        <v>2087</v>
      </c>
      <c r="D247" s="31" t="s">
        <v>2088</v>
      </c>
      <c r="E247" s="31" t="s">
        <v>2089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2053</v>
      </c>
      <c r="AO247" s="30" t="s">
        <v>51</v>
      </c>
      <c r="AP247" s="30">
        <v>60</v>
      </c>
      <c r="AQ247" s="30">
        <v>2.2000000000000002</v>
      </c>
      <c r="AR247" s="32">
        <v>1500</v>
      </c>
      <c r="AS247" s="32">
        <v>50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c r="BP247" s="33" t="s">
        <v>50</v>
      </c>
      <c r="BQ247" s="32">
        <v>0</v>
      </c>
      <c r="BR247" s="33" t="s">
        <v>50</v>
      </c>
      <c r="BS247" s="32">
        <v>0</v>
      </c>
      <c r="BT247" s="33" t="s">
        <v>50</v>
      </c>
      <c r="BU247" s="32">
        <v>0</v>
      </c>
    </row>
    <row r="248" spans="1:73" ht="15.75" customHeight="1" x14ac:dyDescent="0.2">
      <c r="A248" s="3">
        <f t="shared" si="3"/>
        <v>2246</v>
      </c>
      <c r="B248" s="3" t="s">
        <v>2081</v>
      </c>
      <c r="C248" s="3" t="s">
        <v>2705</v>
      </c>
      <c r="D248" s="4" t="s">
        <v>2092</v>
      </c>
      <c r="E248" s="4" t="s">
        <v>2122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10</v>
      </c>
      <c r="AF248" s="3">
        <v>0</v>
      </c>
      <c r="AG248" s="3">
        <v>5</v>
      </c>
      <c r="AH248" s="3">
        <v>30</v>
      </c>
      <c r="AI248" s="3">
        <v>0</v>
      </c>
      <c r="AJ248" s="3">
        <v>0</v>
      </c>
      <c r="AK248" s="3">
        <v>0</v>
      </c>
      <c r="AL248" s="3" t="s">
        <v>31</v>
      </c>
      <c r="AM248" s="3" t="s">
        <v>48</v>
      </c>
      <c r="AN248" s="3" t="s">
        <v>2053</v>
      </c>
      <c r="AO248" s="3" t="s">
        <v>50</v>
      </c>
      <c r="AP248" s="3">
        <v>60</v>
      </c>
      <c r="AQ248" s="3">
        <v>2.2000000000000002</v>
      </c>
      <c r="AR248">
        <v>1500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3615</v>
      </c>
      <c r="BQ248">
        <v>20</v>
      </c>
      <c r="BR248" s="6" t="s">
        <v>50</v>
      </c>
      <c r="BS248">
        <v>0</v>
      </c>
      <c r="BT248" s="6" t="s">
        <v>50</v>
      </c>
      <c r="BU248">
        <v>0</v>
      </c>
    </row>
    <row r="249" spans="1:73" ht="15.75" customHeight="1" x14ac:dyDescent="0.2">
      <c r="A249" s="3">
        <f t="shared" si="3"/>
        <v>2247</v>
      </c>
      <c r="B249" s="3" t="s">
        <v>2987</v>
      </c>
      <c r="C249" s="3" t="s">
        <v>2059</v>
      </c>
      <c r="D249" s="4" t="s">
        <v>2058</v>
      </c>
      <c r="E249" s="4" t="s">
        <v>2118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5</v>
      </c>
      <c r="AF249" s="3">
        <v>20</v>
      </c>
      <c r="AG249" s="3">
        <v>5</v>
      </c>
      <c r="AH249" s="3">
        <v>0</v>
      </c>
      <c r="AI249" s="3">
        <v>0</v>
      </c>
      <c r="AJ249" s="3">
        <v>0</v>
      </c>
      <c r="AK249" s="3">
        <v>0</v>
      </c>
      <c r="AL249" s="3" t="s">
        <v>31</v>
      </c>
      <c r="AM249" s="3" t="s">
        <v>48</v>
      </c>
      <c r="AN249" s="3" t="s">
        <v>2835</v>
      </c>
      <c r="AO249" s="3" t="s">
        <v>50</v>
      </c>
      <c r="AP249" s="3">
        <v>60</v>
      </c>
      <c r="AQ249" s="3">
        <v>2.2000000000000002</v>
      </c>
      <c r="AR249">
        <v>1500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3615</v>
      </c>
      <c r="BQ249">
        <v>20</v>
      </c>
      <c r="BR249" s="6" t="s">
        <v>50</v>
      </c>
      <c r="BS249">
        <v>0</v>
      </c>
      <c r="BT249" s="6" t="s">
        <v>50</v>
      </c>
      <c r="BU249">
        <v>0</v>
      </c>
    </row>
    <row r="250" spans="1:73" ht="15.75" customHeight="1" x14ac:dyDescent="0.2">
      <c r="A250" s="3">
        <f t="shared" si="3"/>
        <v>2248</v>
      </c>
      <c r="B250" s="3" t="s">
        <v>2988</v>
      </c>
      <c r="C250" s="3" t="s">
        <v>2116</v>
      </c>
      <c r="D250" s="4" t="s">
        <v>2114</v>
      </c>
      <c r="E250" s="4" t="s">
        <v>2119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v>
      </c>
      <c r="AF250" s="3">
        <v>5</v>
      </c>
      <c r="AG250" s="3">
        <v>10</v>
      </c>
      <c r="AH250" s="3">
        <v>0</v>
      </c>
      <c r="AI250" s="3">
        <v>0</v>
      </c>
      <c r="AJ250" s="3">
        <v>0</v>
      </c>
      <c r="AK250" s="3">
        <v>0</v>
      </c>
      <c r="AL250" s="3" t="s">
        <v>31</v>
      </c>
      <c r="AM250" s="3" t="s">
        <v>48</v>
      </c>
      <c r="AN250" s="3" t="s">
        <v>2834</v>
      </c>
      <c r="AO250" s="3" t="s">
        <v>50</v>
      </c>
      <c r="AP250" s="3">
        <v>60</v>
      </c>
      <c r="AQ250" s="3">
        <v>2.2000000000000002</v>
      </c>
      <c r="AR250">
        <v>1500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3615</v>
      </c>
      <c r="BQ250">
        <v>20</v>
      </c>
      <c r="BR250" s="6" t="s">
        <v>50</v>
      </c>
      <c r="BS250">
        <v>0</v>
      </c>
      <c r="BT250" s="6" t="s">
        <v>50</v>
      </c>
      <c r="BU250">
        <v>0</v>
      </c>
    </row>
    <row r="251" spans="1:73" s="9" customFormat="1" ht="15.75" customHeight="1" x14ac:dyDescent="0.2">
      <c r="A251" s="7">
        <f t="shared" si="3"/>
        <v>2249</v>
      </c>
      <c r="B251" s="7" t="s">
        <v>2047</v>
      </c>
      <c r="C251" s="7" t="s">
        <v>2117</v>
      </c>
      <c r="D251" s="11" t="s">
        <v>2115</v>
      </c>
      <c r="E251" s="11" t="s">
        <v>2128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2836</v>
      </c>
      <c r="AO251" s="7" t="s">
        <v>50</v>
      </c>
      <c r="AP251" s="7">
        <v>60</v>
      </c>
      <c r="AQ251" s="7">
        <v>2.2000000000000002</v>
      </c>
      <c r="AR251" s="9">
        <v>1500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row>
    <row r="252" spans="1:73" ht="15.75" customHeight="1" x14ac:dyDescent="0.2">
      <c r="A252" s="3">
        <f t="shared" si="3"/>
        <v>2250</v>
      </c>
      <c r="B252" s="3" t="s">
        <v>2814</v>
      </c>
      <c r="C252" s="3" t="s">
        <v>2814</v>
      </c>
      <c r="D252" s="4" t="s">
        <v>2815</v>
      </c>
      <c r="E252" s="4" t="s">
        <v>2816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2833</v>
      </c>
      <c r="AO252" s="3" t="s">
        <v>51</v>
      </c>
      <c r="AP252" s="3">
        <v>60</v>
      </c>
      <c r="AQ252" s="3">
        <v>2.2000000000000002</v>
      </c>
      <c r="AR252">
        <v>1500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3615</v>
      </c>
      <c r="BQ252">
        <v>20</v>
      </c>
      <c r="BR252" s="6" t="s">
        <v>50</v>
      </c>
      <c r="BS252">
        <v>0</v>
      </c>
      <c r="BT252" s="6" t="s">
        <v>50</v>
      </c>
      <c r="BU252">
        <v>0</v>
      </c>
    </row>
    <row r="253" spans="1:73" ht="15.75" customHeight="1" x14ac:dyDescent="0.2">
      <c r="A253" s="3">
        <f t="shared" si="3"/>
        <v>2251</v>
      </c>
      <c r="B253" s="3" t="s">
        <v>2123</v>
      </c>
      <c r="C253" s="3" t="s">
        <v>2123</v>
      </c>
      <c r="D253" s="4" t="s">
        <v>3463</v>
      </c>
      <c r="E253" s="4" t="s">
        <v>2181</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2012</v>
      </c>
      <c r="AO253" s="3" t="s">
        <v>50</v>
      </c>
      <c r="AP253" s="3">
        <v>60</v>
      </c>
      <c r="AQ253" s="3">
        <v>2.2000000000000002</v>
      </c>
      <c r="AR253">
        <v>1500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3615</v>
      </c>
      <c r="BQ253">
        <v>20</v>
      </c>
      <c r="BR253" s="6" t="s">
        <v>3644</v>
      </c>
      <c r="BS253">
        <v>20</v>
      </c>
      <c r="BT253" s="6" t="s">
        <v>50</v>
      </c>
      <c r="BU253">
        <v>0</v>
      </c>
    </row>
    <row r="254" spans="1:73" ht="15.75" customHeight="1" x14ac:dyDescent="0.2">
      <c r="A254" s="3">
        <f t="shared" si="3"/>
        <v>2252</v>
      </c>
      <c r="B254" s="3" t="s">
        <v>2991</v>
      </c>
      <c r="C254" s="3" t="s">
        <v>2706</v>
      </c>
      <c r="D254" s="4" t="s">
        <v>3464</v>
      </c>
      <c r="E254" s="4" t="s">
        <v>2122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2053</v>
      </c>
      <c r="AO254" s="3" t="s">
        <v>50</v>
      </c>
      <c r="AP254" s="3">
        <v>60</v>
      </c>
      <c r="AQ254" s="3">
        <v>2.2000000000000002</v>
      </c>
      <c r="AR254">
        <v>1500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3615</v>
      </c>
      <c r="BQ254">
        <v>20</v>
      </c>
      <c r="BR254" s="6" t="s">
        <v>3644</v>
      </c>
      <c r="BS254">
        <v>40</v>
      </c>
      <c r="BT254" s="6" t="s">
        <v>50</v>
      </c>
      <c r="BU254">
        <v>0</v>
      </c>
    </row>
    <row r="255" spans="1:73" ht="15.75" customHeight="1" x14ac:dyDescent="0.2">
      <c r="A255" s="3">
        <f t="shared" si="3"/>
        <v>2253</v>
      </c>
      <c r="B255" s="3" t="s">
        <v>2989</v>
      </c>
      <c r="C255" s="3" t="s">
        <v>2124</v>
      </c>
      <c r="D255" s="4" t="s">
        <v>3465</v>
      </c>
      <c r="E255" s="4" t="s">
        <v>2118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2835</v>
      </c>
      <c r="AO255" s="3" t="s">
        <v>50</v>
      </c>
      <c r="AP255" s="3">
        <v>60</v>
      </c>
      <c r="AQ255" s="3">
        <v>2.2000000000000002</v>
      </c>
      <c r="AR255">
        <v>1500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3615</v>
      </c>
      <c r="BQ255">
        <v>20</v>
      </c>
      <c r="BR255" s="6" t="s">
        <v>3644</v>
      </c>
      <c r="BS255">
        <v>15</v>
      </c>
      <c r="BT255" s="6" t="s">
        <v>50</v>
      </c>
      <c r="BU255">
        <v>0</v>
      </c>
    </row>
    <row r="256" spans="1:73" ht="15.75" customHeight="1" x14ac:dyDescent="0.2">
      <c r="A256" s="3">
        <f t="shared" si="3"/>
        <v>2254</v>
      </c>
      <c r="B256" s="3" t="s">
        <v>2990</v>
      </c>
      <c r="C256" s="3" t="s">
        <v>2125</v>
      </c>
      <c r="D256" s="4" t="s">
        <v>3466</v>
      </c>
      <c r="E256" s="4" t="s">
        <v>2119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2834</v>
      </c>
      <c r="AO256" s="3" t="s">
        <v>50</v>
      </c>
      <c r="AP256" s="3">
        <v>60</v>
      </c>
      <c r="AQ256" s="3">
        <v>2.2000000000000002</v>
      </c>
      <c r="AR256">
        <v>1500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3615</v>
      </c>
      <c r="BQ256">
        <v>20</v>
      </c>
      <c r="BR256" s="6" t="s">
        <v>3644</v>
      </c>
      <c r="BS256">
        <v>20</v>
      </c>
      <c r="BT256" s="6" t="s">
        <v>50</v>
      </c>
      <c r="BU256">
        <v>0</v>
      </c>
    </row>
    <row r="257" spans="1:73" s="9" customFormat="1" ht="15.75" customHeight="1" x14ac:dyDescent="0.2">
      <c r="A257" s="7">
        <f t="shared" si="3"/>
        <v>2255</v>
      </c>
      <c r="B257" s="7" t="s">
        <v>2123</v>
      </c>
      <c r="C257" s="7" t="s">
        <v>2126</v>
      </c>
      <c r="D257" s="11" t="s">
        <v>2127</v>
      </c>
      <c r="E257" s="11" t="s">
        <v>2128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2836</v>
      </c>
      <c r="AO257" s="7" t="s">
        <v>50</v>
      </c>
      <c r="AP257" s="7">
        <v>60</v>
      </c>
      <c r="AQ257" s="7">
        <v>2.2000000000000002</v>
      </c>
      <c r="AR257" s="9">
        <v>1500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row>
    <row r="258" spans="1:73" ht="15.75" customHeight="1" x14ac:dyDescent="0.2">
      <c r="A258" s="3">
        <f t="shared" si="3"/>
        <v>2256</v>
      </c>
      <c r="B258" s="3" t="s">
        <v>2817</v>
      </c>
      <c r="C258" s="3" t="s">
        <v>2817</v>
      </c>
      <c r="D258" s="4" t="s">
        <v>3467</v>
      </c>
      <c r="E258" s="4" t="s">
        <v>2816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2833</v>
      </c>
      <c r="AO258" s="3" t="s">
        <v>51</v>
      </c>
      <c r="AP258" s="3">
        <v>60</v>
      </c>
      <c r="AQ258" s="3">
        <v>2.2000000000000002</v>
      </c>
      <c r="AR258">
        <v>1500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3615</v>
      </c>
      <c r="BQ258">
        <v>20</v>
      </c>
      <c r="BR258" s="6" t="s">
        <v>3644</v>
      </c>
      <c r="BS258">
        <v>10</v>
      </c>
      <c r="BT258" s="6" t="s">
        <v>50</v>
      </c>
      <c r="BU258">
        <v>0</v>
      </c>
    </row>
    <row r="259" spans="1:73" ht="15.75" customHeight="1" x14ac:dyDescent="0.2">
      <c r="A259" s="3">
        <f t="shared" si="3"/>
        <v>2257</v>
      </c>
      <c r="B259" s="3" t="s">
        <v>2137</v>
      </c>
      <c r="C259" s="3" t="s">
        <v>2137</v>
      </c>
      <c r="D259" s="4" t="s">
        <v>2141</v>
      </c>
      <c r="E259" s="4" t="s">
        <v>2716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2012</v>
      </c>
      <c r="AO259" s="3" t="s">
        <v>50</v>
      </c>
      <c r="AP259" s="3">
        <v>60</v>
      </c>
      <c r="AQ259" s="3">
        <v>2.2000000000000002</v>
      </c>
      <c r="AR259">
        <v>1500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3615</v>
      </c>
      <c r="BQ259">
        <v>20</v>
      </c>
      <c r="BR259" s="6" t="s">
        <v>50</v>
      </c>
      <c r="BS259">
        <v>0</v>
      </c>
      <c r="BT259" s="6" t="s">
        <v>3647</v>
      </c>
      <c r="BU259">
        <v>20</v>
      </c>
    </row>
    <row r="260" spans="1:73" ht="15.75" customHeight="1" x14ac:dyDescent="0.2">
      <c r="A260" s="3">
        <f t="shared" ref="A260:A336" si="4">ROW()+1998</f>
        <v>2258</v>
      </c>
      <c r="B260" s="3" t="s">
        <v>2994</v>
      </c>
      <c r="C260" s="3" t="s">
        <v>2707</v>
      </c>
      <c r="D260" s="4" t="s">
        <v>2820</v>
      </c>
      <c r="E260" s="4" t="s">
        <v>2122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2053</v>
      </c>
      <c r="AO260" s="3" t="s">
        <v>50</v>
      </c>
      <c r="AP260" s="3">
        <v>60</v>
      </c>
      <c r="AQ260" s="3">
        <v>2.2000000000000002</v>
      </c>
      <c r="AR260">
        <v>1500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3615</v>
      </c>
      <c r="BQ260">
        <v>20</v>
      </c>
      <c r="BR260" s="6" t="s">
        <v>50</v>
      </c>
      <c r="BS260">
        <v>0</v>
      </c>
      <c r="BT260" s="6" t="s">
        <v>3647</v>
      </c>
      <c r="BU260">
        <v>20</v>
      </c>
    </row>
    <row r="261" spans="1:73" ht="15.75" customHeight="1" x14ac:dyDescent="0.2">
      <c r="A261" s="3">
        <f t="shared" si="4"/>
        <v>2259</v>
      </c>
      <c r="B261" s="3" t="s">
        <v>2992</v>
      </c>
      <c r="C261" s="3" t="s">
        <v>2138</v>
      </c>
      <c r="D261" s="4" t="s">
        <v>2142</v>
      </c>
      <c r="E261" s="4" t="s">
        <v>2118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2835</v>
      </c>
      <c r="AO261" s="3" t="s">
        <v>50</v>
      </c>
      <c r="AP261" s="3">
        <v>60</v>
      </c>
      <c r="AQ261" s="3">
        <v>2.2000000000000002</v>
      </c>
      <c r="AR261">
        <v>1500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3615</v>
      </c>
      <c r="BQ261">
        <v>20</v>
      </c>
      <c r="BR261" s="6" t="s">
        <v>50</v>
      </c>
      <c r="BS261">
        <v>0</v>
      </c>
      <c r="BT261" s="6" t="s">
        <v>3647</v>
      </c>
      <c r="BU261">
        <v>20</v>
      </c>
    </row>
    <row r="262" spans="1:73" ht="15.75" customHeight="1" x14ac:dyDescent="0.2">
      <c r="A262" s="3">
        <f t="shared" si="4"/>
        <v>2260</v>
      </c>
      <c r="B262" s="3" t="s">
        <v>2993</v>
      </c>
      <c r="C262" s="3" t="s">
        <v>2139</v>
      </c>
      <c r="D262" s="4" t="s">
        <v>2143</v>
      </c>
      <c r="E262" s="4" t="s">
        <v>2119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2834</v>
      </c>
      <c r="AO262" s="3" t="s">
        <v>50</v>
      </c>
      <c r="AP262" s="3">
        <v>60</v>
      </c>
      <c r="AQ262" s="3">
        <v>2.2000000000000002</v>
      </c>
      <c r="AR262">
        <v>1500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3615</v>
      </c>
      <c r="BQ262">
        <v>20</v>
      </c>
      <c r="BR262" s="6" t="s">
        <v>50</v>
      </c>
      <c r="BS262">
        <v>0</v>
      </c>
      <c r="BT262" s="6" t="s">
        <v>3647</v>
      </c>
      <c r="BU262">
        <v>20</v>
      </c>
    </row>
    <row r="263" spans="1:73" s="9" customFormat="1" ht="15.75" customHeight="1" x14ac:dyDescent="0.2">
      <c r="A263" s="7">
        <f t="shared" si="4"/>
        <v>2261</v>
      </c>
      <c r="B263" s="7" t="s">
        <v>2047</v>
      </c>
      <c r="C263" s="7" t="s">
        <v>2140</v>
      </c>
      <c r="D263" s="11" t="s">
        <v>2144</v>
      </c>
      <c r="E263" s="11" t="s">
        <v>2128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2836</v>
      </c>
      <c r="AO263" s="7" t="s">
        <v>50</v>
      </c>
      <c r="AP263" s="7">
        <v>60</v>
      </c>
      <c r="AQ263" s="7">
        <v>2.2000000000000002</v>
      </c>
      <c r="AR263" s="9">
        <v>1500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row>
    <row r="264" spans="1:73" ht="15.75" customHeight="1" x14ac:dyDescent="0.2">
      <c r="A264" s="3">
        <f t="shared" si="4"/>
        <v>2262</v>
      </c>
      <c r="B264" s="3" t="s">
        <v>2818</v>
      </c>
      <c r="C264" s="3" t="s">
        <v>2818</v>
      </c>
      <c r="D264" s="4" t="s">
        <v>2819</v>
      </c>
      <c r="E264" s="4" t="s">
        <v>2816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2833</v>
      </c>
      <c r="AO264" s="3" t="s">
        <v>51</v>
      </c>
      <c r="AP264" s="3">
        <v>60</v>
      </c>
      <c r="AQ264" s="3">
        <v>2.2000000000000002</v>
      </c>
      <c r="AR264">
        <v>1500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3615</v>
      </c>
      <c r="BQ264">
        <v>20</v>
      </c>
      <c r="BR264" s="6" t="s">
        <v>50</v>
      </c>
      <c r="BS264">
        <v>0</v>
      </c>
      <c r="BT264" s="6" t="s">
        <v>3647</v>
      </c>
      <c r="BU264">
        <v>20</v>
      </c>
    </row>
    <row r="265" spans="1:73" s="18" customFormat="1" ht="15.75" customHeight="1" x14ac:dyDescent="0.2">
      <c r="A265" s="16">
        <f t="shared" si="4"/>
        <v>2263</v>
      </c>
      <c r="B265" s="16" t="s">
        <v>2137</v>
      </c>
      <c r="C265" s="16" t="s">
        <v>3431</v>
      </c>
      <c r="D265" s="20" t="s">
        <v>3440</v>
      </c>
      <c r="E265" s="20" t="s">
        <v>3455</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70</v>
      </c>
      <c r="Z265" s="16">
        <v>0</v>
      </c>
      <c r="AA265" s="16">
        <v>0</v>
      </c>
      <c r="AB265" s="16">
        <v>0</v>
      </c>
      <c r="AC265" s="16">
        <v>20</v>
      </c>
      <c r="AD265" s="16">
        <v>0</v>
      </c>
      <c r="AE265" s="16">
        <v>10</v>
      </c>
      <c r="AF265" s="16">
        <v>0</v>
      </c>
      <c r="AG265" s="16">
        <v>5</v>
      </c>
      <c r="AH265" s="16">
        <v>0</v>
      </c>
      <c r="AI265" s="16">
        <v>0</v>
      </c>
      <c r="AJ265" s="16">
        <v>0</v>
      </c>
      <c r="AK265" s="16">
        <v>0</v>
      </c>
      <c r="AL265" s="16" t="s">
        <v>31</v>
      </c>
      <c r="AM265" s="16" t="s">
        <v>48</v>
      </c>
      <c r="AN265" s="16" t="s">
        <v>2012</v>
      </c>
      <c r="AO265" s="16" t="s">
        <v>50</v>
      </c>
      <c r="AP265" s="16">
        <v>60</v>
      </c>
      <c r="AQ265" s="16">
        <v>2.2000000000000002</v>
      </c>
      <c r="AR265" s="18">
        <v>1500</v>
      </c>
      <c r="AS265" s="18">
        <v>50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c r="BP265" s="19" t="s">
        <v>3615</v>
      </c>
      <c r="BQ265" s="18">
        <v>20</v>
      </c>
      <c r="BR265" s="19" t="s">
        <v>50</v>
      </c>
      <c r="BS265" s="18">
        <v>0</v>
      </c>
      <c r="BT265" s="19" t="s">
        <v>50</v>
      </c>
      <c r="BU265" s="18">
        <v>0</v>
      </c>
    </row>
    <row r="266" spans="1:73" s="18" customFormat="1" ht="15.75" customHeight="1" x14ac:dyDescent="0.2">
      <c r="A266" s="16">
        <f t="shared" si="4"/>
        <v>2264</v>
      </c>
      <c r="B266" s="16" t="s">
        <v>2994</v>
      </c>
      <c r="C266" s="16" t="s">
        <v>3432</v>
      </c>
      <c r="D266" s="20" t="s">
        <v>3436</v>
      </c>
      <c r="E266" s="20" t="s">
        <v>2122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120</v>
      </c>
      <c r="Z266" s="16">
        <v>0</v>
      </c>
      <c r="AA266" s="16">
        <v>10</v>
      </c>
      <c r="AB266" s="16">
        <v>0</v>
      </c>
      <c r="AC266" s="16">
        <v>20</v>
      </c>
      <c r="AD266" s="16">
        <v>0</v>
      </c>
      <c r="AE266" s="16">
        <v>10</v>
      </c>
      <c r="AF266" s="16">
        <v>0</v>
      </c>
      <c r="AG266" s="16">
        <v>5</v>
      </c>
      <c r="AH266" s="16">
        <v>30</v>
      </c>
      <c r="AI266" s="16">
        <v>0</v>
      </c>
      <c r="AJ266" s="16">
        <v>0</v>
      </c>
      <c r="AK266" s="16">
        <v>0</v>
      </c>
      <c r="AL266" s="16" t="s">
        <v>31</v>
      </c>
      <c r="AM266" s="16" t="s">
        <v>48</v>
      </c>
      <c r="AN266" s="16" t="s">
        <v>2053</v>
      </c>
      <c r="AO266" s="16" t="s">
        <v>50</v>
      </c>
      <c r="AP266" s="16">
        <v>60</v>
      </c>
      <c r="AQ266" s="16">
        <v>2.2000000000000002</v>
      </c>
      <c r="AR266" s="18">
        <v>1500</v>
      </c>
      <c r="AS266" s="18">
        <v>50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c r="BP266" s="19" t="s">
        <v>3615</v>
      </c>
      <c r="BQ266" s="18">
        <v>20</v>
      </c>
      <c r="BR266" s="19" t="s">
        <v>50</v>
      </c>
      <c r="BS266" s="18">
        <v>0</v>
      </c>
      <c r="BT266" s="19" t="s">
        <v>50</v>
      </c>
      <c r="BU266" s="18">
        <v>0</v>
      </c>
    </row>
    <row r="267" spans="1:73" s="18" customFormat="1" ht="15.75" customHeight="1" x14ac:dyDescent="0.2">
      <c r="A267" s="16">
        <f t="shared" si="4"/>
        <v>2265</v>
      </c>
      <c r="B267" s="16" t="s">
        <v>2992</v>
      </c>
      <c r="C267" s="16" t="s">
        <v>3433</v>
      </c>
      <c r="D267" s="20" t="s">
        <v>3437</v>
      </c>
      <c r="E267" s="20" t="s">
        <v>2118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70</v>
      </c>
      <c r="Z267" s="16">
        <v>0</v>
      </c>
      <c r="AA267" s="16">
        <v>0</v>
      </c>
      <c r="AB267" s="16">
        <v>0</v>
      </c>
      <c r="AC267" s="16">
        <v>20</v>
      </c>
      <c r="AD267" s="16">
        <v>0</v>
      </c>
      <c r="AE267" s="16">
        <v>1</v>
      </c>
      <c r="AF267" s="16">
        <v>20</v>
      </c>
      <c r="AG267" s="16">
        <v>5</v>
      </c>
      <c r="AH267" s="16">
        <v>0</v>
      </c>
      <c r="AI267" s="16">
        <v>0</v>
      </c>
      <c r="AJ267" s="16">
        <v>0</v>
      </c>
      <c r="AK267" s="16">
        <v>0</v>
      </c>
      <c r="AL267" s="16" t="s">
        <v>31</v>
      </c>
      <c r="AM267" s="16" t="s">
        <v>48</v>
      </c>
      <c r="AN267" s="16" t="s">
        <v>2835</v>
      </c>
      <c r="AO267" s="16" t="s">
        <v>50</v>
      </c>
      <c r="AP267" s="16">
        <v>60</v>
      </c>
      <c r="AQ267" s="16">
        <v>2.2000000000000002</v>
      </c>
      <c r="AR267" s="18">
        <v>1500</v>
      </c>
      <c r="AS267" s="18">
        <v>50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c r="BP267" s="19" t="s">
        <v>3615</v>
      </c>
      <c r="BQ267" s="18">
        <v>20</v>
      </c>
      <c r="BR267" s="19" t="s">
        <v>50</v>
      </c>
      <c r="BS267" s="18">
        <v>0</v>
      </c>
      <c r="BT267" s="19" t="s">
        <v>50</v>
      </c>
      <c r="BU267" s="18">
        <v>0</v>
      </c>
    </row>
    <row r="268" spans="1:73" s="18" customFormat="1" ht="15.75" customHeight="1" x14ac:dyDescent="0.2">
      <c r="A268" s="16">
        <f t="shared" si="4"/>
        <v>2266</v>
      </c>
      <c r="B268" s="16" t="s">
        <v>2993</v>
      </c>
      <c r="C268" s="16" t="s">
        <v>3434</v>
      </c>
      <c r="D268" s="20" t="s">
        <v>3438</v>
      </c>
      <c r="E268" s="20" t="s">
        <v>2119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100</v>
      </c>
      <c r="Z268" s="16">
        <v>0</v>
      </c>
      <c r="AA268" s="16">
        <v>0</v>
      </c>
      <c r="AB268" s="16">
        <v>0</v>
      </c>
      <c r="AC268" s="16">
        <v>70</v>
      </c>
      <c r="AD268" s="16">
        <v>0</v>
      </c>
      <c r="AE268" s="16">
        <v>1</v>
      </c>
      <c r="AF268" s="16">
        <v>5</v>
      </c>
      <c r="AG268" s="16">
        <v>30</v>
      </c>
      <c r="AH268" s="16">
        <v>0</v>
      </c>
      <c r="AI268" s="16">
        <v>0</v>
      </c>
      <c r="AJ268" s="16">
        <v>0</v>
      </c>
      <c r="AK268" s="16">
        <v>0</v>
      </c>
      <c r="AL268" s="16" t="s">
        <v>31</v>
      </c>
      <c r="AM268" s="16" t="s">
        <v>48</v>
      </c>
      <c r="AN268" s="16" t="s">
        <v>2834</v>
      </c>
      <c r="AO268" s="16" t="s">
        <v>50</v>
      </c>
      <c r="AP268" s="16">
        <v>60</v>
      </c>
      <c r="AQ268" s="16">
        <v>2.2000000000000002</v>
      </c>
      <c r="AR268" s="18">
        <v>1500</v>
      </c>
      <c r="AS268" s="18">
        <v>50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c r="BP268" s="19" t="s">
        <v>3615</v>
      </c>
      <c r="BQ268" s="18">
        <v>20</v>
      </c>
      <c r="BR268" s="19" t="s">
        <v>50</v>
      </c>
      <c r="BS268" s="18">
        <v>0</v>
      </c>
      <c r="BT268" s="19" t="s">
        <v>50</v>
      </c>
      <c r="BU268" s="18">
        <v>0</v>
      </c>
    </row>
    <row r="269" spans="1:73" s="9" customFormat="1" ht="15.75" customHeight="1" x14ac:dyDescent="0.2">
      <c r="A269" s="7">
        <f t="shared" si="4"/>
        <v>2267</v>
      </c>
      <c r="B269" s="7" t="s">
        <v>2047</v>
      </c>
      <c r="C269" s="7" t="s">
        <v>3447</v>
      </c>
      <c r="D269" s="11" t="s">
        <v>3453</v>
      </c>
      <c r="E269" s="11" t="s">
        <v>2128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2836</v>
      </c>
      <c r="AO269" s="7" t="s">
        <v>50</v>
      </c>
      <c r="AP269" s="7">
        <v>60</v>
      </c>
      <c r="AQ269" s="7">
        <v>2.2000000000000002</v>
      </c>
      <c r="AR269" s="9">
        <v>1500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row>
    <row r="270" spans="1:73" s="18" customFormat="1" ht="15.75" customHeight="1" x14ac:dyDescent="0.2">
      <c r="A270" s="16">
        <f t="shared" si="4"/>
        <v>2268</v>
      </c>
      <c r="B270" s="16" t="s">
        <v>2818</v>
      </c>
      <c r="C270" s="16" t="s">
        <v>3435</v>
      </c>
      <c r="D270" s="20" t="s">
        <v>3439</v>
      </c>
      <c r="E270" s="20" t="s">
        <v>2816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60</v>
      </c>
      <c r="Z270" s="16">
        <v>0</v>
      </c>
      <c r="AA270" s="16">
        <v>0</v>
      </c>
      <c r="AB270" s="16">
        <v>0</v>
      </c>
      <c r="AC270" s="16">
        <v>20</v>
      </c>
      <c r="AD270" s="16">
        <v>0</v>
      </c>
      <c r="AE270" s="16">
        <v>5</v>
      </c>
      <c r="AF270" s="16">
        <v>20</v>
      </c>
      <c r="AG270" s="16">
        <v>10</v>
      </c>
      <c r="AH270" s="16">
        <v>25</v>
      </c>
      <c r="AI270" s="16">
        <v>0</v>
      </c>
      <c r="AJ270" s="16">
        <v>0</v>
      </c>
      <c r="AK270" s="16">
        <v>0</v>
      </c>
      <c r="AL270" s="16" t="s">
        <v>31</v>
      </c>
      <c r="AM270" s="16" t="s">
        <v>48</v>
      </c>
      <c r="AN270" s="16" t="s">
        <v>2833</v>
      </c>
      <c r="AO270" s="16" t="s">
        <v>51</v>
      </c>
      <c r="AP270" s="16">
        <v>60</v>
      </c>
      <c r="AQ270" s="16">
        <v>2.2000000000000002</v>
      </c>
      <c r="AR270" s="18">
        <v>1500</v>
      </c>
      <c r="AS270" s="18">
        <v>50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c r="BP270" s="19" t="s">
        <v>3615</v>
      </c>
      <c r="BQ270" s="18">
        <v>20</v>
      </c>
      <c r="BR270" s="19" t="s">
        <v>50</v>
      </c>
      <c r="BS270" s="18">
        <v>0</v>
      </c>
      <c r="BT270" s="19" t="s">
        <v>50</v>
      </c>
      <c r="BU270" s="18">
        <v>0</v>
      </c>
    </row>
    <row r="271" spans="1:73" ht="15.75" customHeight="1" x14ac:dyDescent="0.2">
      <c r="A271" s="3">
        <f t="shared" si="4"/>
        <v>2269</v>
      </c>
      <c r="B271" s="3" t="s">
        <v>3441</v>
      </c>
      <c r="C271" s="3" t="s">
        <v>3441</v>
      </c>
      <c r="D271" s="4" t="s">
        <v>3448</v>
      </c>
      <c r="E271" s="4" t="s">
        <v>3454</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2012</v>
      </c>
      <c r="AO271" s="3" t="s">
        <v>50</v>
      </c>
      <c r="AP271" s="3">
        <v>60</v>
      </c>
      <c r="AQ271" s="3">
        <v>2.2000000000000002</v>
      </c>
      <c r="AR271">
        <v>1500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1702</v>
      </c>
      <c r="BK271">
        <v>3</v>
      </c>
      <c r="BL271">
        <v>30</v>
      </c>
      <c r="BM271">
        <v>0</v>
      </c>
      <c r="BN271">
        <v>0</v>
      </c>
      <c r="BO271">
        <v>0</v>
      </c>
      <c r="BP271" s="6" t="s">
        <v>3615</v>
      </c>
      <c r="BQ271">
        <v>20</v>
      </c>
      <c r="BR271" s="6" t="s">
        <v>50</v>
      </c>
      <c r="BS271">
        <v>0</v>
      </c>
      <c r="BT271" s="6" t="s">
        <v>3646</v>
      </c>
      <c r="BU271">
        <v>20</v>
      </c>
    </row>
    <row r="272" spans="1:73" s="9" customFormat="1" ht="15.75" customHeight="1" x14ac:dyDescent="0.2">
      <c r="A272" s="7">
        <f t="shared" si="4"/>
        <v>2270</v>
      </c>
      <c r="B272" s="7" t="s">
        <v>2994</v>
      </c>
      <c r="C272" s="7" t="s">
        <v>3442</v>
      </c>
      <c r="D272" s="11" t="s">
        <v>3449</v>
      </c>
      <c r="E272" s="11" t="s">
        <v>2122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2053</v>
      </c>
      <c r="AO272" s="7" t="s">
        <v>50</v>
      </c>
      <c r="AP272" s="7">
        <v>60</v>
      </c>
      <c r="AQ272" s="7">
        <v>2.2000000000000002</v>
      </c>
      <c r="AR272" s="9">
        <v>1500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row>
    <row r="273" spans="1:73" s="9" customFormat="1" ht="15.75" customHeight="1" x14ac:dyDescent="0.2">
      <c r="A273" s="7">
        <f t="shared" si="4"/>
        <v>2271</v>
      </c>
      <c r="B273" s="7" t="s">
        <v>2992</v>
      </c>
      <c r="C273" s="7" t="s">
        <v>3443</v>
      </c>
      <c r="D273" s="11" t="s">
        <v>3596</v>
      </c>
      <c r="E273" s="11" t="s">
        <v>2118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2835</v>
      </c>
      <c r="AO273" s="7" t="s">
        <v>50</v>
      </c>
      <c r="AP273" s="7">
        <v>60</v>
      </c>
      <c r="AQ273" s="7">
        <v>2.2000000000000002</v>
      </c>
      <c r="AR273" s="9">
        <v>1500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row>
    <row r="274" spans="1:73" s="9" customFormat="1" ht="15.75" customHeight="1" x14ac:dyDescent="0.2">
      <c r="A274" s="7">
        <f t="shared" si="4"/>
        <v>2272</v>
      </c>
      <c r="B274" s="7" t="s">
        <v>2993</v>
      </c>
      <c r="C274" s="7" t="s">
        <v>3444</v>
      </c>
      <c r="D274" s="11" t="s">
        <v>3450</v>
      </c>
      <c r="E274" s="11" t="s">
        <v>2119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2834</v>
      </c>
      <c r="AO274" s="7" t="s">
        <v>50</v>
      </c>
      <c r="AP274" s="7">
        <v>60</v>
      </c>
      <c r="AQ274" s="7">
        <v>2.2000000000000002</v>
      </c>
      <c r="AR274" s="9">
        <v>1500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row>
    <row r="275" spans="1:73" s="9" customFormat="1" ht="15.75" customHeight="1" x14ac:dyDescent="0.2">
      <c r="A275" s="7">
        <f t="shared" si="4"/>
        <v>2273</v>
      </c>
      <c r="B275" s="7" t="s">
        <v>2047</v>
      </c>
      <c r="C275" s="7" t="s">
        <v>3446</v>
      </c>
      <c r="D275" s="11" t="s">
        <v>3452</v>
      </c>
      <c r="E275" s="11" t="s">
        <v>2128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2836</v>
      </c>
      <c r="AO275" s="7" t="s">
        <v>50</v>
      </c>
      <c r="AP275" s="7">
        <v>60</v>
      </c>
      <c r="AQ275" s="7">
        <v>2.2000000000000002</v>
      </c>
      <c r="AR275" s="9">
        <v>1500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row>
    <row r="276" spans="1:73" s="9" customFormat="1" ht="15.75" customHeight="1" x14ac:dyDescent="0.2">
      <c r="A276" s="7">
        <f t="shared" si="4"/>
        <v>2274</v>
      </c>
      <c r="B276" s="7" t="s">
        <v>2818</v>
      </c>
      <c r="C276" s="7" t="s">
        <v>3445</v>
      </c>
      <c r="D276" s="11" t="s">
        <v>3451</v>
      </c>
      <c r="E276" s="11" t="s">
        <v>2816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2833</v>
      </c>
      <c r="AO276" s="7" t="s">
        <v>51</v>
      </c>
      <c r="AP276" s="7">
        <v>60</v>
      </c>
      <c r="AQ276" s="7">
        <v>2.2000000000000002</v>
      </c>
      <c r="AR276" s="9">
        <v>1500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row>
    <row r="277" spans="1:73"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2012</v>
      </c>
      <c r="AO277" s="7" t="s">
        <v>1847</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c r="BP277" s="10" t="s">
        <v>50</v>
      </c>
      <c r="BQ277" s="9">
        <v>0</v>
      </c>
      <c r="BR277" s="10" t="s">
        <v>50</v>
      </c>
      <c r="BS277" s="9">
        <v>0</v>
      </c>
      <c r="BT277" s="10" t="s">
        <v>50</v>
      </c>
      <c r="BU277" s="9">
        <v>0</v>
      </c>
    </row>
    <row r="278" spans="1:73" s="9" customFormat="1" ht="15.75" customHeight="1" x14ac:dyDescent="0.2">
      <c r="A278" s="7">
        <f t="shared" si="4"/>
        <v>2276</v>
      </c>
      <c r="B278" s="7" t="s">
        <v>249</v>
      </c>
      <c r="C278" s="7" t="s">
        <v>249</v>
      </c>
      <c r="D278" s="11" t="s">
        <v>2340</v>
      </c>
      <c r="E278" s="11" t="s">
        <v>3405</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2012</v>
      </c>
      <c r="AO278" s="7" t="s">
        <v>1847</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3615</v>
      </c>
      <c r="BQ278" s="9">
        <v>20</v>
      </c>
      <c r="BR278" s="10" t="s">
        <v>50</v>
      </c>
      <c r="BS278" s="9">
        <v>0</v>
      </c>
      <c r="BT278" s="10" t="s">
        <v>50</v>
      </c>
      <c r="BU278" s="9">
        <v>0</v>
      </c>
    </row>
    <row r="279" spans="1:73" ht="15.75" customHeight="1" x14ac:dyDescent="0.2">
      <c r="A279" s="3">
        <f t="shared" si="4"/>
        <v>2277</v>
      </c>
      <c r="B279" s="3" t="s">
        <v>3375</v>
      </c>
      <c r="C279" s="3" t="s">
        <v>2145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2012</v>
      </c>
      <c r="AO279" s="3" t="s">
        <v>1847</v>
      </c>
      <c r="AP279" s="3">
        <v>70</v>
      </c>
      <c r="AQ279" s="3">
        <v>2.5</v>
      </c>
      <c r="AR279">
        <v>2000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3615</v>
      </c>
      <c r="BQ279">
        <v>20</v>
      </c>
      <c r="BR279" s="6" t="s">
        <v>50</v>
      </c>
      <c r="BS279">
        <v>0</v>
      </c>
      <c r="BT279" s="6" t="s">
        <v>3647</v>
      </c>
      <c r="BU279">
        <v>30</v>
      </c>
    </row>
    <row r="280" spans="1:73" s="43" customFormat="1" ht="15.75" customHeight="1" x14ac:dyDescent="0.2">
      <c r="A280" s="40">
        <f t="shared" si="4"/>
        <v>2278</v>
      </c>
      <c r="B280" s="40" t="s">
        <v>2047</v>
      </c>
      <c r="C280" s="40" t="s">
        <v>2362</v>
      </c>
      <c r="D280" s="45" t="s">
        <v>2518</v>
      </c>
      <c r="E280" s="45" t="s">
        <v>2363</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2012</v>
      </c>
      <c r="AO280" s="40" t="s">
        <v>50</v>
      </c>
      <c r="AP280" s="40">
        <v>60</v>
      </c>
      <c r="AQ280" s="40">
        <v>2.7</v>
      </c>
      <c r="AR280" s="43">
        <v>2000</v>
      </c>
      <c r="AS280" s="43">
        <v>50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1</v>
      </c>
      <c r="BN280" s="43">
        <v>0</v>
      </c>
      <c r="BO280" s="43">
        <v>1</v>
      </c>
      <c r="BP280" s="44" t="s">
        <v>50</v>
      </c>
      <c r="BQ280" s="43">
        <v>0</v>
      </c>
      <c r="BR280" s="44" t="s">
        <v>50</v>
      </c>
      <c r="BS280" s="43">
        <v>0</v>
      </c>
      <c r="BT280" s="44" t="s">
        <v>50</v>
      </c>
      <c r="BU280" s="43">
        <v>0</v>
      </c>
    </row>
    <row r="281" spans="1:73" ht="15.75" customHeight="1" x14ac:dyDescent="0.2">
      <c r="A281" s="3">
        <f t="shared" si="4"/>
        <v>2279</v>
      </c>
      <c r="B281" s="3" t="s">
        <v>2296</v>
      </c>
      <c r="C281" s="3" t="s">
        <v>2296</v>
      </c>
      <c r="D281" s="4" t="s">
        <v>2294</v>
      </c>
      <c r="E281" s="4" t="s">
        <v>2295</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-100</v>
      </c>
      <c r="AI281" s="3">
        <v>0</v>
      </c>
      <c r="AJ281" s="3">
        <v>0</v>
      </c>
      <c r="AK281" s="3">
        <v>0</v>
      </c>
      <c r="AL281" s="3" t="s">
        <v>31</v>
      </c>
      <c r="AM281" s="3" t="s">
        <v>48</v>
      </c>
      <c r="AN281" s="3" t="s">
        <v>3429</v>
      </c>
      <c r="AO281" s="3" t="s">
        <v>50</v>
      </c>
      <c r="AP281" s="3">
        <v>60</v>
      </c>
      <c r="AQ281" s="3">
        <v>1.4</v>
      </c>
      <c r="AR281">
        <v>1500</v>
      </c>
      <c r="AS281">
        <v>50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c r="BP281" s="6" t="s">
        <v>3615</v>
      </c>
      <c r="BQ281">
        <v>30</v>
      </c>
      <c r="BR281" s="6" t="s">
        <v>50</v>
      </c>
      <c r="BS281">
        <v>0</v>
      </c>
      <c r="BT281" s="6" t="s">
        <v>50</v>
      </c>
      <c r="BU281">
        <v>0</v>
      </c>
    </row>
    <row r="282" spans="1:73" ht="15.75" customHeight="1" x14ac:dyDescent="0.2">
      <c r="A282" s="3">
        <f t="shared" si="4"/>
        <v>2280</v>
      </c>
      <c r="B282" s="3" t="s">
        <v>2298</v>
      </c>
      <c r="C282" s="3" t="s">
        <v>2298</v>
      </c>
      <c r="D282" s="4" t="s">
        <v>2297</v>
      </c>
      <c r="E282" s="4" t="s">
        <v>2299</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-100</v>
      </c>
      <c r="AI282" s="3">
        <v>0</v>
      </c>
      <c r="AJ282" s="3">
        <v>0</v>
      </c>
      <c r="AK282" s="3">
        <v>0</v>
      </c>
      <c r="AL282" s="3" t="s">
        <v>31</v>
      </c>
      <c r="AM282" s="3" t="s">
        <v>48</v>
      </c>
      <c r="AN282" s="3" t="s">
        <v>3429</v>
      </c>
      <c r="AO282" s="3" t="s">
        <v>50</v>
      </c>
      <c r="AP282" s="3">
        <v>60</v>
      </c>
      <c r="AQ282" s="3">
        <v>1.4</v>
      </c>
      <c r="AR282">
        <v>1500</v>
      </c>
      <c r="AS282">
        <v>50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c r="BP282" s="6" t="s">
        <v>3615</v>
      </c>
      <c r="BQ282">
        <v>30</v>
      </c>
      <c r="BR282" s="6" t="s">
        <v>50</v>
      </c>
      <c r="BS282">
        <v>0</v>
      </c>
      <c r="BT282" s="6" t="s">
        <v>50</v>
      </c>
      <c r="BU282">
        <v>0</v>
      </c>
    </row>
    <row r="283" spans="1:73" s="9" customFormat="1" ht="15.75" customHeight="1" x14ac:dyDescent="0.2">
      <c r="A283" s="3">
        <f t="shared" si="4"/>
        <v>2281</v>
      </c>
      <c r="B283" s="7" t="s">
        <v>2047</v>
      </c>
      <c r="C283" s="7" t="s">
        <v>2113</v>
      </c>
      <c r="D283" s="11" t="s">
        <v>2112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2012</v>
      </c>
      <c r="AO283" s="7" t="s">
        <v>1847</v>
      </c>
      <c r="AP283" s="7">
        <v>60</v>
      </c>
      <c r="AQ283" s="7">
        <v>2</v>
      </c>
      <c r="AR283" s="9">
        <v>3000</v>
      </c>
      <c r="AS283" s="9">
        <v>50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c r="BP283" s="10" t="s">
        <v>50</v>
      </c>
      <c r="BQ283" s="9">
        <v>0</v>
      </c>
      <c r="BR283" s="10" t="s">
        <v>50</v>
      </c>
      <c r="BS283" s="9">
        <v>0</v>
      </c>
      <c r="BT283" s="10" t="s">
        <v>50</v>
      </c>
      <c r="BU283" s="9">
        <v>0</v>
      </c>
    </row>
    <row r="284" spans="1:73" s="9" customFormat="1" ht="15.75" customHeight="1" x14ac:dyDescent="0.2">
      <c r="A284" s="3">
        <f t="shared" si="4"/>
        <v>2282</v>
      </c>
      <c r="B284" s="7" t="s">
        <v>2047</v>
      </c>
      <c r="C284" s="7" t="s">
        <v>583</v>
      </c>
      <c r="D284" s="28" t="s">
        <v>582</v>
      </c>
      <c r="E284" s="8" t="s">
        <v>2959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2012</v>
      </c>
      <c r="AO284" s="7" t="s">
        <v>1847</v>
      </c>
      <c r="AP284" s="7">
        <v>60</v>
      </c>
      <c r="AQ284" s="7">
        <v>2</v>
      </c>
      <c r="AR284" s="9">
        <v>10000</v>
      </c>
      <c r="AS284" s="9">
        <v>50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c r="BP284" s="10" t="s">
        <v>50</v>
      </c>
      <c r="BQ284" s="9">
        <v>0</v>
      </c>
      <c r="BR284" s="10" t="s">
        <v>50</v>
      </c>
      <c r="BS284" s="9">
        <v>0</v>
      </c>
      <c r="BT284" s="10" t="s">
        <v>50</v>
      </c>
      <c r="BU284" s="9">
        <v>0</v>
      </c>
    </row>
    <row r="285" spans="1:73"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2011</v>
      </c>
      <c r="AO285" s="7" t="s">
        <v>1847</v>
      </c>
      <c r="AP285" s="7">
        <v>60</v>
      </c>
      <c r="AQ285" s="7">
        <v>2</v>
      </c>
      <c r="AR285" s="9">
        <v>800</v>
      </c>
      <c r="AS285" s="7">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c r="BP285" s="10" t="s">
        <v>50</v>
      </c>
      <c r="BQ285" s="9">
        <v>0</v>
      </c>
      <c r="BR285" s="10" t="s">
        <v>50</v>
      </c>
      <c r="BS285" s="9">
        <v>0</v>
      </c>
      <c r="BT285" s="10" t="s">
        <v>50</v>
      </c>
      <c r="BU285" s="9">
        <v>0</v>
      </c>
    </row>
    <row r="286" spans="1:73" s="23" customFormat="1" ht="15.75" customHeight="1" x14ac:dyDescent="0.2">
      <c r="A286" s="21">
        <f t="shared" si="4"/>
        <v>2284</v>
      </c>
      <c r="B286" s="21" t="s">
        <v>373</v>
      </c>
      <c r="C286" s="21" t="s">
        <v>2745</v>
      </c>
      <c r="D286" s="22" t="s">
        <v>2746</v>
      </c>
      <c r="E286" s="22" t="s">
        <v>2278</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405</v>
      </c>
      <c r="AN286" s="21" t="s">
        <v>2013</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c r="BP286" s="24" t="s">
        <v>50</v>
      </c>
      <c r="BQ286" s="23">
        <v>0</v>
      </c>
      <c r="BR286" s="24" t="s">
        <v>50</v>
      </c>
      <c r="BS286" s="23">
        <v>0</v>
      </c>
      <c r="BT286" s="24" t="s">
        <v>50</v>
      </c>
      <c r="BU286" s="23">
        <v>0</v>
      </c>
    </row>
    <row r="287" spans="1:73" ht="15.75" customHeight="1" x14ac:dyDescent="0.2">
      <c r="A287" s="3">
        <f t="shared" si="4"/>
        <v>2285</v>
      </c>
      <c r="B287" s="3" t="s">
        <v>2387</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20</v>
      </c>
      <c r="AH287" s="3">
        <v>0</v>
      </c>
      <c r="AI287" s="3">
        <v>0</v>
      </c>
      <c r="AJ287" s="3">
        <v>0</v>
      </c>
      <c r="AK287" s="3">
        <v>30</v>
      </c>
      <c r="AL287" s="3" t="s">
        <v>31</v>
      </c>
      <c r="AM287" s="3" t="s">
        <v>121</v>
      </c>
      <c r="AN287" s="3" t="s">
        <v>2875</v>
      </c>
      <c r="AO287" s="3" t="s">
        <v>1847</v>
      </c>
      <c r="AP287" s="3">
        <v>50</v>
      </c>
      <c r="AQ287" s="3">
        <v>2</v>
      </c>
      <c r="AR287">
        <v>2000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c r="BP287" s="6" t="s">
        <v>3615</v>
      </c>
      <c r="BQ287">
        <v>15</v>
      </c>
      <c r="BR287" s="6" t="s">
        <v>50</v>
      </c>
      <c r="BS287">
        <v>0</v>
      </c>
      <c r="BT287" s="6" t="s">
        <v>50</v>
      </c>
      <c r="BU287">
        <v>0</v>
      </c>
    </row>
    <row r="288" spans="1:73" ht="15.75" customHeight="1" x14ac:dyDescent="0.2">
      <c r="A288" s="3">
        <f t="shared" si="4"/>
        <v>2286</v>
      </c>
      <c r="B288" s="3" t="s">
        <v>2747</v>
      </c>
      <c r="C288" s="3" t="s">
        <v>2747</v>
      </c>
      <c r="D288" s="4" t="s">
        <v>2752</v>
      </c>
      <c r="E288" s="4" t="s">
        <v>2753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5</v>
      </c>
      <c r="AH288" s="3">
        <v>0</v>
      </c>
      <c r="AI288" s="3">
        <v>0</v>
      </c>
      <c r="AJ288" s="3">
        <v>0</v>
      </c>
      <c r="AK288" s="3">
        <v>140</v>
      </c>
      <c r="AL288" s="3" t="s">
        <v>31</v>
      </c>
      <c r="AM288" s="3" t="s">
        <v>121</v>
      </c>
      <c r="AN288" s="3" t="s">
        <v>2022</v>
      </c>
      <c r="AO288" s="3" t="s">
        <v>50</v>
      </c>
      <c r="AP288" s="3">
        <v>50</v>
      </c>
      <c r="AQ288" s="3">
        <v>1</v>
      </c>
      <c r="AR288">
        <v>2000</v>
      </c>
      <c r="AS288" s="3">
        <v>10</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c r="BP288" s="6" t="s">
        <v>3615</v>
      </c>
      <c r="BQ288">
        <v>10</v>
      </c>
      <c r="BR288" s="6" t="s">
        <v>50</v>
      </c>
      <c r="BS288">
        <v>0</v>
      </c>
      <c r="BT288" s="6" t="s">
        <v>50</v>
      </c>
      <c r="BU288">
        <v>0</v>
      </c>
    </row>
    <row r="289" spans="1:73" s="23" customFormat="1" ht="15.75" customHeight="1" x14ac:dyDescent="0.2">
      <c r="A289" s="21">
        <f t="shared" si="4"/>
        <v>2287</v>
      </c>
      <c r="B289" s="21" t="s">
        <v>373</v>
      </c>
      <c r="C289" s="21" t="s">
        <v>2300</v>
      </c>
      <c r="D289" s="22" t="s">
        <v>2301</v>
      </c>
      <c r="E289" s="22" t="s">
        <v>2278</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405</v>
      </c>
      <c r="AN289" s="21" t="s">
        <v>2013</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c r="BP289" s="24" t="s">
        <v>50</v>
      </c>
      <c r="BQ289" s="23">
        <v>0</v>
      </c>
      <c r="BR289" s="24" t="s">
        <v>50</v>
      </c>
      <c r="BS289" s="23">
        <v>0</v>
      </c>
      <c r="BT289" s="24" t="s">
        <v>50</v>
      </c>
      <c r="BU289" s="23">
        <v>0</v>
      </c>
    </row>
    <row r="290" spans="1:73" ht="15.75" customHeight="1" x14ac:dyDescent="0.2">
      <c r="A290" s="3">
        <f t="shared" si="4"/>
        <v>2288</v>
      </c>
      <c r="B290" s="3" t="s">
        <v>373</v>
      </c>
      <c r="C290" s="3" t="s">
        <v>373</v>
      </c>
      <c r="D290" s="27" t="s">
        <v>372</v>
      </c>
      <c r="E290" s="5" t="s">
        <v>378</v>
      </c>
      <c r="F290" s="3">
        <v>1</v>
      </c>
      <c r="G290" s="3">
        <v>300</v>
      </c>
      <c r="H290" s="3">
        <v>0</v>
      </c>
      <c r="I290" s="3">
        <v>50</v>
      </c>
      <c r="J290" s="3">
        <v>3</v>
      </c>
      <c r="K290" s="3">
        <v>1</v>
      </c>
      <c r="L290" s="3">
        <v>0</v>
      </c>
      <c r="M290" s="3">
        <v>0</v>
      </c>
      <c r="N290" s="3">
        <v>0</v>
      </c>
      <c r="O290" s="3">
        <v>0</v>
      </c>
      <c r="P290" s="3">
        <v>28</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-30</v>
      </c>
      <c r="AH290" s="3">
        <v>0</v>
      </c>
      <c r="AI290" s="3">
        <v>0</v>
      </c>
      <c r="AJ290" s="3">
        <v>0</v>
      </c>
      <c r="AK290" s="3">
        <v>105</v>
      </c>
      <c r="AL290" s="3" t="s">
        <v>31</v>
      </c>
      <c r="AM290" s="3" t="s">
        <v>405</v>
      </c>
      <c r="AN290" s="3" t="s">
        <v>2013</v>
      </c>
      <c r="AO290" s="3" t="s">
        <v>1848</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c r="BP290" s="6" t="s">
        <v>50</v>
      </c>
      <c r="BQ290">
        <v>0</v>
      </c>
      <c r="BR290" s="6" t="s">
        <v>50</v>
      </c>
      <c r="BS290">
        <v>0</v>
      </c>
      <c r="BT290" s="6" t="s">
        <v>50</v>
      </c>
      <c r="BU290">
        <v>0</v>
      </c>
    </row>
    <row r="291" spans="1:73" ht="15.75" customHeight="1" x14ac:dyDescent="0.2">
      <c r="A291" s="3">
        <f t="shared" si="4"/>
        <v>2289</v>
      </c>
      <c r="B291" s="3" t="s">
        <v>373</v>
      </c>
      <c r="C291" s="3" t="s">
        <v>2291</v>
      </c>
      <c r="D291" s="27" t="s">
        <v>2292</v>
      </c>
      <c r="E291" s="5" t="s">
        <v>2293</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-30</v>
      </c>
      <c r="AH291" s="3">
        <v>0</v>
      </c>
      <c r="AI291" s="3">
        <v>0</v>
      </c>
      <c r="AJ291" s="3">
        <v>0</v>
      </c>
      <c r="AK291" s="3">
        <v>105</v>
      </c>
      <c r="AL291" s="3" t="s">
        <v>157</v>
      </c>
      <c r="AM291" s="3" t="s">
        <v>405</v>
      </c>
      <c r="AN291" s="3" t="s">
        <v>2013</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c r="BP291" s="6" t="s">
        <v>50</v>
      </c>
      <c r="BQ291">
        <v>0</v>
      </c>
      <c r="BR291" s="6" t="s">
        <v>50</v>
      </c>
      <c r="BS291">
        <v>0</v>
      </c>
      <c r="BT291" s="6" t="s">
        <v>50</v>
      </c>
      <c r="BU291">
        <v>0</v>
      </c>
    </row>
    <row r="292" spans="1:73" ht="15.75" customHeight="1" x14ac:dyDescent="0.2">
      <c r="A292" s="3">
        <f t="shared" si="4"/>
        <v>2290</v>
      </c>
      <c r="B292" s="3" t="s">
        <v>373</v>
      </c>
      <c r="C292" s="3" t="s">
        <v>489</v>
      </c>
      <c r="D292" s="27" t="s">
        <v>372</v>
      </c>
      <c r="E292" s="5" t="s">
        <v>378</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-30</v>
      </c>
      <c r="AH292" s="3">
        <v>0</v>
      </c>
      <c r="AI292" s="3">
        <v>0</v>
      </c>
      <c r="AJ292" s="3">
        <v>0</v>
      </c>
      <c r="AK292" s="3">
        <v>105</v>
      </c>
      <c r="AL292" s="3" t="s">
        <v>31</v>
      </c>
      <c r="AM292" s="3" t="s">
        <v>405</v>
      </c>
      <c r="AN292" s="3" t="s">
        <v>2013</v>
      </c>
      <c r="AO292" s="3" t="s">
        <v>1848</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row>
    <row r="293" spans="1:73" s="9" customFormat="1" ht="15.75" customHeight="1" x14ac:dyDescent="0.2">
      <c r="A293" s="3">
        <f t="shared" si="4"/>
        <v>2291</v>
      </c>
      <c r="B293" s="7" t="s">
        <v>373</v>
      </c>
      <c r="C293" s="7" t="s">
        <v>476</v>
      </c>
      <c r="D293" s="28" t="s">
        <v>477</v>
      </c>
      <c r="E293" s="8" t="s">
        <v>645</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405</v>
      </c>
      <c r="AN293" s="7" t="s">
        <v>2013</v>
      </c>
      <c r="AO293" s="7" t="s">
        <v>1847</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c r="BP293" s="10" t="s">
        <v>50</v>
      </c>
      <c r="BQ293" s="9">
        <v>0</v>
      </c>
      <c r="BR293" s="10" t="s">
        <v>50</v>
      </c>
      <c r="BS293" s="9">
        <v>0</v>
      </c>
      <c r="BT293" s="10" t="s">
        <v>50</v>
      </c>
      <c r="BU293" s="9">
        <v>0</v>
      </c>
    </row>
    <row r="294" spans="1:73" s="9" customFormat="1" ht="15.75" customHeight="1" x14ac:dyDescent="0.2">
      <c r="A294" s="3">
        <f t="shared" si="4"/>
        <v>2292</v>
      </c>
      <c r="B294" s="7" t="s">
        <v>373</v>
      </c>
      <c r="C294" s="7" t="s">
        <v>643</v>
      </c>
      <c r="D294" s="28" t="s">
        <v>644</v>
      </c>
      <c r="E294" s="8" t="s">
        <v>646</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405</v>
      </c>
      <c r="AN294" s="7" t="s">
        <v>2013</v>
      </c>
      <c r="AO294" s="7" t="s">
        <v>1847</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c r="BP294" s="10" t="s">
        <v>50</v>
      </c>
      <c r="BQ294" s="9">
        <v>0</v>
      </c>
      <c r="BR294" s="10" t="s">
        <v>50</v>
      </c>
      <c r="BS294" s="9">
        <v>0</v>
      </c>
      <c r="BT294" s="10" t="s">
        <v>50</v>
      </c>
      <c r="BU294" s="9">
        <v>0</v>
      </c>
    </row>
    <row r="295" spans="1:73" ht="15.75" customHeight="1" x14ac:dyDescent="0.2">
      <c r="A295" s="3">
        <f t="shared" si="4"/>
        <v>2293</v>
      </c>
      <c r="B295" s="3" t="s">
        <v>449</v>
      </c>
      <c r="C295" s="3" t="s">
        <v>449</v>
      </c>
      <c r="D295" s="27" t="s">
        <v>447</v>
      </c>
      <c r="E295" s="5" t="s">
        <v>448</v>
      </c>
      <c r="F295" s="3">
        <v>0</v>
      </c>
      <c r="G295" s="3">
        <v>300</v>
      </c>
      <c r="H295" s="3">
        <v>0</v>
      </c>
      <c r="I295" s="3">
        <v>50</v>
      </c>
      <c r="J295" s="3">
        <v>3</v>
      </c>
      <c r="K295" s="3">
        <v>1</v>
      </c>
      <c r="L295" s="3">
        <v>0</v>
      </c>
      <c r="M295" s="3">
        <v>0</v>
      </c>
      <c r="N295" s="3">
        <v>0</v>
      </c>
      <c r="O295" s="3">
        <v>0</v>
      </c>
      <c r="P295" s="3">
        <v>0</v>
      </c>
      <c r="Q295" s="3">
        <v>0</v>
      </c>
      <c r="R295" s="3">
        <v>0</v>
      </c>
      <c r="S295" s="3">
        <v>0</v>
      </c>
      <c r="T295" s="3">
        <v>0</v>
      </c>
      <c r="U295" s="3">
        <v>0</v>
      </c>
      <c r="V295" s="3">
        <v>0</v>
      </c>
      <c r="W295" s="3">
        <v>0</v>
      </c>
      <c r="X295" s="3">
        <v>0</v>
      </c>
      <c r="Y295" s="3">
        <v>40</v>
      </c>
      <c r="Z295" s="3">
        <v>0</v>
      </c>
      <c r="AA295" s="3">
        <v>0</v>
      </c>
      <c r="AB295" s="3">
        <v>0</v>
      </c>
      <c r="AC295" s="3">
        <v>0</v>
      </c>
      <c r="AD295" s="3">
        <v>0</v>
      </c>
      <c r="AE295" s="3">
        <v>0</v>
      </c>
      <c r="AF295" s="3">
        <v>0</v>
      </c>
      <c r="AG295" s="3">
        <v>-30</v>
      </c>
      <c r="AH295" s="3">
        <v>0</v>
      </c>
      <c r="AI295" s="3">
        <v>0</v>
      </c>
      <c r="AJ295" s="3">
        <v>0</v>
      </c>
      <c r="AK295" s="3">
        <v>0</v>
      </c>
      <c r="AL295" s="3" t="s">
        <v>31</v>
      </c>
      <c r="AM295" s="3" t="s">
        <v>1519</v>
      </c>
      <c r="AN295" s="3" t="s">
        <v>2014</v>
      </c>
      <c r="AO295" s="3" t="s">
        <v>1848</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c r="BP295" s="6" t="s">
        <v>50</v>
      </c>
      <c r="BQ295">
        <v>0</v>
      </c>
      <c r="BR295" s="6" t="s">
        <v>50</v>
      </c>
      <c r="BS295">
        <v>0</v>
      </c>
      <c r="BT295" s="6" t="s">
        <v>50</v>
      </c>
      <c r="BU295">
        <v>0</v>
      </c>
    </row>
    <row r="296" spans="1:73" s="9" customFormat="1" ht="15.75" customHeight="1" x14ac:dyDescent="0.2">
      <c r="A296" s="3">
        <f t="shared" si="4"/>
        <v>2294</v>
      </c>
      <c r="B296" s="7" t="s">
        <v>449</v>
      </c>
      <c r="C296" s="7" t="s">
        <v>478</v>
      </c>
      <c r="D296" s="28" t="s">
        <v>479</v>
      </c>
      <c r="E296" s="8" t="s">
        <v>480</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1519</v>
      </c>
      <c r="AN296" s="7" t="s">
        <v>2014</v>
      </c>
      <c r="AO296" s="7" t="s">
        <v>1847</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c r="BP296" s="10" t="s">
        <v>50</v>
      </c>
      <c r="BQ296" s="9">
        <v>0</v>
      </c>
      <c r="BR296" s="10" t="s">
        <v>50</v>
      </c>
      <c r="BS296" s="9">
        <v>0</v>
      </c>
      <c r="BT296" s="10" t="s">
        <v>50</v>
      </c>
      <c r="BU296" s="9">
        <v>0</v>
      </c>
    </row>
    <row r="297" spans="1:73" s="9" customFormat="1" ht="15.75" customHeight="1" x14ac:dyDescent="0.2">
      <c r="A297" s="3">
        <f t="shared" si="4"/>
        <v>2295</v>
      </c>
      <c r="B297" s="7" t="s">
        <v>449</v>
      </c>
      <c r="C297" s="7" t="s">
        <v>647</v>
      </c>
      <c r="D297" s="28" t="s">
        <v>649</v>
      </c>
      <c r="E297" s="8" t="s">
        <v>648</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1519</v>
      </c>
      <c r="AN297" s="7" t="s">
        <v>2014</v>
      </c>
      <c r="AO297" s="7" t="s">
        <v>1847</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c r="BP297" s="10" t="s">
        <v>50</v>
      </c>
      <c r="BQ297" s="9">
        <v>0</v>
      </c>
      <c r="BR297" s="10" t="s">
        <v>50</v>
      </c>
      <c r="BS297" s="9">
        <v>0</v>
      </c>
      <c r="BT297" s="10" t="s">
        <v>50</v>
      </c>
      <c r="BU297" s="9">
        <v>0</v>
      </c>
    </row>
    <row r="298" spans="1:73" s="9" customFormat="1" ht="15.75" customHeight="1" x14ac:dyDescent="0.2">
      <c r="A298" s="3">
        <f t="shared" si="4"/>
        <v>2296</v>
      </c>
      <c r="B298" s="7" t="s">
        <v>449</v>
      </c>
      <c r="C298" s="7" t="s">
        <v>666</v>
      </c>
      <c r="D298" s="28" t="s">
        <v>703</v>
      </c>
      <c r="E298" s="8" t="s">
        <v>667</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405</v>
      </c>
      <c r="AN298" s="7" t="s">
        <v>2013</v>
      </c>
      <c r="AO298" s="7" t="s">
        <v>1847</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c r="BP298" s="10" t="s">
        <v>50</v>
      </c>
      <c r="BQ298" s="9">
        <v>0</v>
      </c>
      <c r="BR298" s="10" t="s">
        <v>50</v>
      </c>
      <c r="BS298" s="9">
        <v>0</v>
      </c>
      <c r="BT298" s="10" t="s">
        <v>50</v>
      </c>
      <c r="BU298" s="9">
        <v>0</v>
      </c>
    </row>
    <row r="299" spans="1:73" s="9" customFormat="1" ht="15.75" customHeight="1" x14ac:dyDescent="0.2">
      <c r="A299" s="3">
        <f t="shared" si="4"/>
        <v>2297</v>
      </c>
      <c r="B299" s="7" t="s">
        <v>449</v>
      </c>
      <c r="C299" s="7" t="s">
        <v>668</v>
      </c>
      <c r="D299" s="28" t="s">
        <v>704</v>
      </c>
      <c r="E299" s="8" t="s">
        <v>669</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405</v>
      </c>
      <c r="AN299" s="7" t="s">
        <v>2013</v>
      </c>
      <c r="AO299" s="7" t="s">
        <v>1847</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c r="BP299" s="10" t="s">
        <v>50</v>
      </c>
      <c r="BQ299" s="9">
        <v>0</v>
      </c>
      <c r="BR299" s="10" t="s">
        <v>50</v>
      </c>
      <c r="BS299" s="9">
        <v>0</v>
      </c>
      <c r="BT299" s="10" t="s">
        <v>50</v>
      </c>
      <c r="BU299" s="9">
        <v>0</v>
      </c>
    </row>
    <row r="300" spans="1:73" ht="15.75" customHeight="1" x14ac:dyDescent="0.2">
      <c r="A300" s="3">
        <f t="shared" si="4"/>
        <v>2298</v>
      </c>
      <c r="B300" s="3" t="s">
        <v>2715</v>
      </c>
      <c r="C300" s="3" t="s">
        <v>2715</v>
      </c>
      <c r="D300" s="27" t="s">
        <v>2714</v>
      </c>
      <c r="E300" s="5" t="s">
        <v>3366</v>
      </c>
      <c r="F300" s="3">
        <v>1</v>
      </c>
      <c r="G300" s="3">
        <v>300</v>
      </c>
      <c r="H300" s="3">
        <v>0</v>
      </c>
      <c r="I300" s="3">
        <v>20</v>
      </c>
      <c r="J300" s="3">
        <v>0</v>
      </c>
      <c r="K300" s="3">
        <v>1</v>
      </c>
      <c r="L300" s="3">
        <v>0</v>
      </c>
      <c r="M300" s="3">
        <v>0</v>
      </c>
      <c r="N300" s="3">
        <v>0</v>
      </c>
      <c r="O300" s="3">
        <v>0</v>
      </c>
      <c r="P300" s="3">
        <v>30</v>
      </c>
      <c r="Q300" s="3">
        <v>30</v>
      </c>
      <c r="R300" s="3">
        <v>0</v>
      </c>
      <c r="S300" s="3">
        <v>10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405</v>
      </c>
      <c r="AN300" s="3" t="s">
        <v>2013</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c r="BP300" s="6" t="s">
        <v>50</v>
      </c>
      <c r="BQ300">
        <v>0</v>
      </c>
      <c r="BR300" s="6" t="s">
        <v>50</v>
      </c>
      <c r="BS300">
        <v>0</v>
      </c>
      <c r="BT300" s="6" t="s">
        <v>50</v>
      </c>
      <c r="BU300">
        <v>0</v>
      </c>
    </row>
    <row r="301" spans="1:73" ht="15.75" customHeight="1" x14ac:dyDescent="0.2">
      <c r="A301" s="3">
        <f t="shared" si="4"/>
        <v>2299</v>
      </c>
      <c r="B301" s="3" t="s">
        <v>2354</v>
      </c>
      <c r="C301" s="3" t="s">
        <v>2354</v>
      </c>
      <c r="D301" s="27" t="s">
        <v>2353</v>
      </c>
      <c r="E301" s="5" t="s">
        <v>2355</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70</v>
      </c>
      <c r="Z301" s="3">
        <v>0</v>
      </c>
      <c r="AA301" s="3">
        <v>0</v>
      </c>
      <c r="AB301" s="3">
        <v>0</v>
      </c>
      <c r="AC301" s="3">
        <v>0</v>
      </c>
      <c r="AD301" s="3">
        <v>0</v>
      </c>
      <c r="AE301" s="3">
        <v>0</v>
      </c>
      <c r="AF301" s="3">
        <v>10</v>
      </c>
      <c r="AG301" s="3">
        <v>10</v>
      </c>
      <c r="AH301" s="3">
        <v>0</v>
      </c>
      <c r="AI301" s="3">
        <v>0</v>
      </c>
      <c r="AJ301" s="3">
        <v>0</v>
      </c>
      <c r="AK301" s="3">
        <v>0</v>
      </c>
      <c r="AL301" s="3" t="s">
        <v>31</v>
      </c>
      <c r="AM301" s="3" t="s">
        <v>99</v>
      </c>
      <c r="AN301" s="3" t="s">
        <v>2000</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c r="BP301" s="6" t="s">
        <v>50</v>
      </c>
      <c r="BQ301">
        <v>0</v>
      </c>
      <c r="BR301" s="6" t="s">
        <v>50</v>
      </c>
      <c r="BS301">
        <v>0</v>
      </c>
      <c r="BT301" s="6" t="s">
        <v>50</v>
      </c>
      <c r="BU301">
        <v>0</v>
      </c>
    </row>
    <row r="302" spans="1:73" s="9" customFormat="1" ht="15.75" customHeight="1" x14ac:dyDescent="0.2">
      <c r="A302" s="7">
        <f t="shared" si="4"/>
        <v>2300</v>
      </c>
      <c r="B302" s="7" t="s">
        <v>2365</v>
      </c>
      <c r="C302" s="7" t="s">
        <v>2365</v>
      </c>
      <c r="D302" s="28" t="s">
        <v>2364</v>
      </c>
      <c r="E302" s="8" t="s">
        <v>2519</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405</v>
      </c>
      <c r="AN302" s="7" t="s">
        <v>2013</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c r="BP302" s="10" t="s">
        <v>50</v>
      </c>
      <c r="BQ302" s="9">
        <v>0</v>
      </c>
      <c r="BR302" s="10" t="s">
        <v>50</v>
      </c>
      <c r="BS302" s="9">
        <v>0</v>
      </c>
      <c r="BT302" s="10" t="s">
        <v>50</v>
      </c>
      <c r="BU302" s="9">
        <v>0</v>
      </c>
    </row>
    <row r="303" spans="1:73" s="23" customFormat="1" ht="15.75" customHeight="1" x14ac:dyDescent="0.2">
      <c r="A303" s="21">
        <f t="shared" si="4"/>
        <v>2301</v>
      </c>
      <c r="B303" s="21" t="s">
        <v>348</v>
      </c>
      <c r="C303" s="21" t="s">
        <v>2283</v>
      </c>
      <c r="D303" s="22" t="s">
        <v>2284</v>
      </c>
      <c r="E303" s="22" t="s">
        <v>2278</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2012</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c r="BP303" s="24" t="s">
        <v>50</v>
      </c>
      <c r="BQ303" s="23">
        <v>0</v>
      </c>
      <c r="BR303" s="24" t="s">
        <v>50</v>
      </c>
      <c r="BS303" s="23">
        <v>0</v>
      </c>
      <c r="BT303" s="24" t="s">
        <v>50</v>
      </c>
      <c r="BU303" s="23">
        <v>0</v>
      </c>
    </row>
    <row r="304" spans="1:73" ht="15.75" customHeight="1" x14ac:dyDescent="0.2">
      <c r="A304" s="3">
        <f t="shared" si="4"/>
        <v>2302</v>
      </c>
      <c r="B304" s="3" t="s">
        <v>348</v>
      </c>
      <c r="C304" s="3" t="s">
        <v>336</v>
      </c>
      <c r="D304" s="4" t="s">
        <v>337</v>
      </c>
      <c r="E304" s="4" t="s">
        <v>736</v>
      </c>
      <c r="F304" s="3">
        <v>1</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-50</v>
      </c>
      <c r="Y304" s="3">
        <v>60</v>
      </c>
      <c r="Z304" s="3">
        <v>0</v>
      </c>
      <c r="AA304" s="3">
        <v>0</v>
      </c>
      <c r="AB304" s="3">
        <v>0</v>
      </c>
      <c r="AC304" s="3">
        <v>0</v>
      </c>
      <c r="AD304" s="3">
        <v>0</v>
      </c>
      <c r="AE304" s="3">
        <v>0</v>
      </c>
      <c r="AF304" s="3">
        <v>5</v>
      </c>
      <c r="AG304" s="3">
        <v>0</v>
      </c>
      <c r="AH304" s="3">
        <v>0</v>
      </c>
      <c r="AI304" s="3">
        <v>0</v>
      </c>
      <c r="AJ304" s="3">
        <v>0</v>
      </c>
      <c r="AK304" s="3">
        <v>0</v>
      </c>
      <c r="AL304" s="3" t="s">
        <v>31</v>
      </c>
      <c r="AM304" s="3" t="s">
        <v>347</v>
      </c>
      <c r="AN304" s="3" t="s">
        <v>2015</v>
      </c>
      <c r="AO304" s="3" t="s">
        <v>1848</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347</v>
      </c>
      <c r="BE304" s="6" t="s">
        <v>50</v>
      </c>
      <c r="BF304" s="6" t="s">
        <v>50</v>
      </c>
      <c r="BG304" s="6" t="s">
        <v>50</v>
      </c>
      <c r="BH304" s="6" t="s">
        <v>50</v>
      </c>
      <c r="BI304">
        <v>1</v>
      </c>
      <c r="BJ304">
        <v>100</v>
      </c>
      <c r="BK304">
        <v>1</v>
      </c>
      <c r="BL304">
        <v>30</v>
      </c>
      <c r="BM304">
        <v>0</v>
      </c>
      <c r="BN304">
        <v>0</v>
      </c>
      <c r="BO304">
        <v>0</v>
      </c>
      <c r="BP304" s="6" t="s">
        <v>3615</v>
      </c>
      <c r="BQ304">
        <v>15</v>
      </c>
      <c r="BR304" s="6" t="s">
        <v>50</v>
      </c>
      <c r="BS304">
        <v>0</v>
      </c>
      <c r="BT304" s="6" t="s">
        <v>50</v>
      </c>
      <c r="BU304">
        <v>0</v>
      </c>
    </row>
    <row r="305" spans="1:73" ht="15.75" customHeight="1" x14ac:dyDescent="0.2">
      <c r="A305" s="3">
        <f t="shared" si="4"/>
        <v>2303</v>
      </c>
      <c r="B305" s="3" t="s">
        <v>1273</v>
      </c>
      <c r="C305" s="3" t="s">
        <v>780</v>
      </c>
      <c r="D305" s="4" t="s">
        <v>779</v>
      </c>
      <c r="E305" s="4" t="s">
        <v>781</v>
      </c>
      <c r="F305" s="3">
        <v>1</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-50</v>
      </c>
      <c r="Y305" s="3">
        <v>70</v>
      </c>
      <c r="Z305" s="3">
        <v>0</v>
      </c>
      <c r="AA305" s="3">
        <v>0</v>
      </c>
      <c r="AB305" s="3">
        <v>0</v>
      </c>
      <c r="AC305" s="3">
        <v>0</v>
      </c>
      <c r="AD305" s="3">
        <v>0</v>
      </c>
      <c r="AE305" s="3">
        <v>0</v>
      </c>
      <c r="AF305" s="3">
        <v>5</v>
      </c>
      <c r="AG305" s="3">
        <v>0</v>
      </c>
      <c r="AH305" s="3">
        <v>0</v>
      </c>
      <c r="AI305" s="3">
        <v>0</v>
      </c>
      <c r="AJ305" s="3">
        <v>0</v>
      </c>
      <c r="AK305" s="3">
        <v>0</v>
      </c>
      <c r="AL305" s="3" t="s">
        <v>31</v>
      </c>
      <c r="AM305" s="3" t="s">
        <v>347</v>
      </c>
      <c r="AN305" s="3" t="s">
        <v>2015</v>
      </c>
      <c r="AO305" s="3" t="s">
        <v>1848</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1224</v>
      </c>
      <c r="BE305" s="6" t="s">
        <v>50</v>
      </c>
      <c r="BF305" s="6" t="s">
        <v>50</v>
      </c>
      <c r="BG305" s="6" t="s">
        <v>50</v>
      </c>
      <c r="BH305" s="6" t="s">
        <v>50</v>
      </c>
      <c r="BI305">
        <v>1</v>
      </c>
      <c r="BJ305">
        <v>870</v>
      </c>
      <c r="BK305">
        <v>1</v>
      </c>
      <c r="BL305">
        <v>30</v>
      </c>
      <c r="BM305">
        <v>0</v>
      </c>
      <c r="BN305">
        <v>0</v>
      </c>
      <c r="BO305">
        <v>0</v>
      </c>
      <c r="BP305" s="6" t="s">
        <v>3615</v>
      </c>
      <c r="BQ305">
        <v>15</v>
      </c>
      <c r="BR305" s="6" t="s">
        <v>50</v>
      </c>
      <c r="BS305">
        <v>0</v>
      </c>
      <c r="BT305" s="6" t="s">
        <v>3647</v>
      </c>
      <c r="BU305">
        <v>15</v>
      </c>
    </row>
    <row r="306" spans="1:73" ht="15.75" customHeight="1" x14ac:dyDescent="0.2">
      <c r="A306" s="3">
        <f t="shared" si="4"/>
        <v>2304</v>
      </c>
      <c r="B306" s="3" t="s">
        <v>1274</v>
      </c>
      <c r="C306" s="3" t="s">
        <v>1246</v>
      </c>
      <c r="D306" s="4" t="s">
        <v>1247</v>
      </c>
      <c r="E306" s="4" t="s">
        <v>1248</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70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2015</v>
      </c>
      <c r="AO306" s="3" t="s">
        <v>1848</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1251</v>
      </c>
      <c r="BE306" s="6" t="s">
        <v>50</v>
      </c>
      <c r="BF306" s="6" t="s">
        <v>50</v>
      </c>
      <c r="BG306" s="6" t="s">
        <v>50</v>
      </c>
      <c r="BH306" s="6" t="s">
        <v>50</v>
      </c>
      <c r="BI306">
        <v>1</v>
      </c>
      <c r="BJ306">
        <v>874</v>
      </c>
      <c r="BK306">
        <v>1</v>
      </c>
      <c r="BL306">
        <v>30</v>
      </c>
      <c r="BM306">
        <v>0</v>
      </c>
      <c r="BN306">
        <v>0</v>
      </c>
      <c r="BO306">
        <v>0</v>
      </c>
      <c r="BP306" s="6" t="s">
        <v>3615</v>
      </c>
      <c r="BQ306">
        <v>15</v>
      </c>
      <c r="BR306" s="6" t="s">
        <v>50</v>
      </c>
      <c r="BS306">
        <v>0</v>
      </c>
      <c r="BT306" s="6" t="s">
        <v>3647</v>
      </c>
      <c r="BU306">
        <v>15</v>
      </c>
    </row>
    <row r="307" spans="1:73" ht="15.75" customHeight="1" x14ac:dyDescent="0.2">
      <c r="A307" s="3">
        <f t="shared" si="4"/>
        <v>2305</v>
      </c>
      <c r="B307" s="3" t="s">
        <v>1122</v>
      </c>
      <c r="C307" s="3" t="s">
        <v>789</v>
      </c>
      <c r="D307" s="4" t="s">
        <v>787</v>
      </c>
      <c r="E307" s="4" t="s">
        <v>788</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10</v>
      </c>
      <c r="AH307" s="3">
        <v>0</v>
      </c>
      <c r="AI307" s="3">
        <v>0</v>
      </c>
      <c r="AJ307" s="3">
        <v>0</v>
      </c>
      <c r="AK307" s="3">
        <v>0</v>
      </c>
      <c r="AL307" s="3" t="s">
        <v>31</v>
      </c>
      <c r="AM307" s="3" t="s">
        <v>347</v>
      </c>
      <c r="AN307" s="3" t="s">
        <v>2015</v>
      </c>
      <c r="AO307" s="3" t="s">
        <v>1848</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1225</v>
      </c>
      <c r="BE307" s="6" t="s">
        <v>50</v>
      </c>
      <c r="BF307" s="6" t="s">
        <v>50</v>
      </c>
      <c r="BG307" s="6" t="s">
        <v>50</v>
      </c>
      <c r="BH307" s="6" t="s">
        <v>50</v>
      </c>
      <c r="BI307">
        <v>1</v>
      </c>
      <c r="BJ307">
        <v>871</v>
      </c>
      <c r="BK307">
        <v>1</v>
      </c>
      <c r="BL307">
        <v>30</v>
      </c>
      <c r="BM307">
        <v>0</v>
      </c>
      <c r="BN307">
        <v>0</v>
      </c>
      <c r="BO307">
        <v>0</v>
      </c>
      <c r="BP307" s="6" t="s">
        <v>3615</v>
      </c>
      <c r="BQ307">
        <v>15</v>
      </c>
      <c r="BR307" s="6" t="s">
        <v>50</v>
      </c>
      <c r="BS307">
        <v>0</v>
      </c>
      <c r="BT307" s="6" t="s">
        <v>3647</v>
      </c>
      <c r="BU307">
        <v>15</v>
      </c>
    </row>
    <row r="308" spans="1:73" ht="15.75" customHeight="1" x14ac:dyDescent="0.2">
      <c r="A308" s="3">
        <f t="shared" si="4"/>
        <v>2306</v>
      </c>
      <c r="B308" s="3" t="s">
        <v>1275</v>
      </c>
      <c r="C308" s="3" t="s">
        <v>1243</v>
      </c>
      <c r="D308" s="4" t="s">
        <v>1244</v>
      </c>
      <c r="E308" s="4" t="s">
        <v>1245</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10</v>
      </c>
      <c r="AH308" s="3">
        <v>0</v>
      </c>
      <c r="AI308" s="3">
        <v>0</v>
      </c>
      <c r="AJ308" s="3">
        <v>0</v>
      </c>
      <c r="AK308" s="3">
        <v>0</v>
      </c>
      <c r="AL308" s="3" t="s">
        <v>31</v>
      </c>
      <c r="AM308" s="3" t="s">
        <v>347</v>
      </c>
      <c r="AN308" s="3" t="s">
        <v>2015</v>
      </c>
      <c r="AO308" s="3" t="s">
        <v>1848</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1252</v>
      </c>
      <c r="BE308" s="6" t="s">
        <v>50</v>
      </c>
      <c r="BF308" s="6" t="s">
        <v>50</v>
      </c>
      <c r="BG308" s="6" t="s">
        <v>50</v>
      </c>
      <c r="BH308" s="6" t="s">
        <v>50</v>
      </c>
      <c r="BI308">
        <v>1</v>
      </c>
      <c r="BJ308">
        <v>875</v>
      </c>
      <c r="BK308">
        <v>1</v>
      </c>
      <c r="BL308">
        <v>30</v>
      </c>
      <c r="BM308">
        <v>0</v>
      </c>
      <c r="BN308">
        <v>0</v>
      </c>
      <c r="BO308">
        <v>0</v>
      </c>
      <c r="BP308" s="6" t="s">
        <v>3615</v>
      </c>
      <c r="BQ308">
        <v>15</v>
      </c>
      <c r="BR308" s="6" t="s">
        <v>50</v>
      </c>
      <c r="BS308">
        <v>0</v>
      </c>
      <c r="BT308" s="6" t="s">
        <v>3647</v>
      </c>
      <c r="BU308">
        <v>15</v>
      </c>
    </row>
    <row r="309" spans="1:73" ht="15.75" customHeight="1" x14ac:dyDescent="0.2">
      <c r="A309" s="3">
        <f t="shared" si="4"/>
        <v>2307</v>
      </c>
      <c r="B309" s="3" t="s">
        <v>1150</v>
      </c>
      <c r="C309" s="3" t="s">
        <v>796</v>
      </c>
      <c r="D309" s="4" t="s">
        <v>795</v>
      </c>
      <c r="E309" s="4" t="s">
        <v>797</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2015</v>
      </c>
      <c r="AO309" s="3" t="s">
        <v>1848</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1226</v>
      </c>
      <c r="BE309" s="6" t="s">
        <v>50</v>
      </c>
      <c r="BF309" s="6" t="s">
        <v>50</v>
      </c>
      <c r="BG309" s="6" t="s">
        <v>50</v>
      </c>
      <c r="BH309" s="6" t="s">
        <v>50</v>
      </c>
      <c r="BI309">
        <v>1</v>
      </c>
      <c r="BJ309">
        <v>872</v>
      </c>
      <c r="BK309">
        <v>1</v>
      </c>
      <c r="BL309">
        <v>30</v>
      </c>
      <c r="BM309">
        <v>0</v>
      </c>
      <c r="BN309">
        <v>0</v>
      </c>
      <c r="BO309">
        <v>0</v>
      </c>
      <c r="BP309" s="6" t="s">
        <v>3615</v>
      </c>
      <c r="BQ309">
        <v>15</v>
      </c>
      <c r="BR309" s="6" t="s">
        <v>50</v>
      </c>
      <c r="BS309">
        <v>0</v>
      </c>
      <c r="BT309" s="6" t="s">
        <v>3647</v>
      </c>
      <c r="BU309">
        <v>15</v>
      </c>
    </row>
    <row r="310" spans="1:73" ht="15.75" customHeight="1" x14ac:dyDescent="0.2">
      <c r="A310" s="3">
        <f t="shared" si="4"/>
        <v>2308</v>
      </c>
      <c r="B310" s="3" t="s">
        <v>1373</v>
      </c>
      <c r="C310" s="3" t="s">
        <v>1364</v>
      </c>
      <c r="D310" s="4" t="s">
        <v>1363</v>
      </c>
      <c r="E310" s="4" t="s">
        <v>1365</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90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2015</v>
      </c>
      <c r="AO310" s="3" t="s">
        <v>1848</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1369</v>
      </c>
      <c r="BE310" s="6" t="s">
        <v>50</v>
      </c>
      <c r="BF310" s="6" t="s">
        <v>50</v>
      </c>
      <c r="BG310" s="6" t="s">
        <v>50</v>
      </c>
      <c r="BH310" s="6" t="s">
        <v>50</v>
      </c>
      <c r="BI310">
        <v>1</v>
      </c>
      <c r="BJ310">
        <v>877</v>
      </c>
      <c r="BK310">
        <v>1</v>
      </c>
      <c r="BL310">
        <v>30</v>
      </c>
      <c r="BM310">
        <v>0</v>
      </c>
      <c r="BN310">
        <v>0</v>
      </c>
      <c r="BO310">
        <v>0</v>
      </c>
      <c r="BP310" s="6" t="s">
        <v>3615</v>
      </c>
      <c r="BQ310">
        <v>15</v>
      </c>
      <c r="BR310" s="6" t="s">
        <v>50</v>
      </c>
      <c r="BS310">
        <v>0</v>
      </c>
      <c r="BT310" s="6" t="s">
        <v>3647</v>
      </c>
      <c r="BU310">
        <v>15</v>
      </c>
    </row>
    <row r="311" spans="1:73" ht="15.75" customHeight="1" x14ac:dyDescent="0.2">
      <c r="A311" s="3">
        <f t="shared" si="4"/>
        <v>2309</v>
      </c>
      <c r="B311" s="3" t="s">
        <v>1276</v>
      </c>
      <c r="C311" s="3" t="s">
        <v>1250</v>
      </c>
      <c r="D311" s="4" t="s">
        <v>1249</v>
      </c>
      <c r="E311" s="4" t="s">
        <v>1356</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130</v>
      </c>
      <c r="Z311" s="3">
        <v>0</v>
      </c>
      <c r="AA311" s="3">
        <v>0</v>
      </c>
      <c r="AB311" s="3">
        <v>0</v>
      </c>
      <c r="AC311" s="3">
        <v>0</v>
      </c>
      <c r="AD311" s="3">
        <v>0</v>
      </c>
      <c r="AE311" s="3">
        <v>-10</v>
      </c>
      <c r="AF311" s="3">
        <v>10</v>
      </c>
      <c r="AG311" s="3">
        <v>10</v>
      </c>
      <c r="AH311" s="3">
        <v>0</v>
      </c>
      <c r="AI311" s="3">
        <v>0</v>
      </c>
      <c r="AJ311" s="3">
        <v>0</v>
      </c>
      <c r="AK311" s="3">
        <v>0</v>
      </c>
      <c r="AL311" s="3" t="s">
        <v>31</v>
      </c>
      <c r="AM311" s="3" t="s">
        <v>347</v>
      </c>
      <c r="AN311" s="3" t="s">
        <v>2015</v>
      </c>
      <c r="AO311" s="3" t="s">
        <v>1848</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1253</v>
      </c>
      <c r="BE311" s="6" t="s">
        <v>50</v>
      </c>
      <c r="BF311" s="6" t="s">
        <v>50</v>
      </c>
      <c r="BG311" s="6" t="s">
        <v>50</v>
      </c>
      <c r="BH311" s="6" t="s">
        <v>50</v>
      </c>
      <c r="BI311">
        <v>1</v>
      </c>
      <c r="BJ311">
        <v>876</v>
      </c>
      <c r="BK311">
        <v>4</v>
      </c>
      <c r="BL311">
        <v>30</v>
      </c>
      <c r="BM311">
        <v>0</v>
      </c>
      <c r="BN311">
        <v>0</v>
      </c>
      <c r="BO311">
        <v>0</v>
      </c>
      <c r="BP311" s="6" t="s">
        <v>3615</v>
      </c>
      <c r="BQ311">
        <v>15</v>
      </c>
      <c r="BR311" s="6" t="s">
        <v>50</v>
      </c>
      <c r="BS311">
        <v>0</v>
      </c>
      <c r="BT311" s="6" t="s">
        <v>3647</v>
      </c>
      <c r="BU311">
        <v>15</v>
      </c>
    </row>
    <row r="312" spans="1:73" ht="15.75" customHeight="1" x14ac:dyDescent="0.2">
      <c r="A312" s="3">
        <f t="shared" si="4"/>
        <v>2310</v>
      </c>
      <c r="B312" s="3" t="s">
        <v>3376</v>
      </c>
      <c r="C312" s="3" t="s">
        <v>791</v>
      </c>
      <c r="D312" s="4" t="s">
        <v>3553</v>
      </c>
      <c r="E312" s="4" t="s">
        <v>790</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80</v>
      </c>
      <c r="Z312" s="3">
        <v>0</v>
      </c>
      <c r="AA312" s="3">
        <v>0</v>
      </c>
      <c r="AB312" s="3">
        <v>0</v>
      </c>
      <c r="AC312" s="3">
        <v>0</v>
      </c>
      <c r="AD312" s="3">
        <v>0</v>
      </c>
      <c r="AE312" s="3">
        <v>0</v>
      </c>
      <c r="AF312" s="3">
        <v>5</v>
      </c>
      <c r="AG312" s="3">
        <v>5</v>
      </c>
      <c r="AH312" s="3">
        <v>0</v>
      </c>
      <c r="AI312" s="3">
        <v>0</v>
      </c>
      <c r="AJ312" s="3">
        <v>0</v>
      </c>
      <c r="AK312" s="3">
        <v>0</v>
      </c>
      <c r="AL312" s="3" t="s">
        <v>31</v>
      </c>
      <c r="AM312" s="3" t="s">
        <v>347</v>
      </c>
      <c r="AN312" s="3" t="s">
        <v>2015</v>
      </c>
      <c r="AO312" s="3" t="s">
        <v>1847</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347</v>
      </c>
      <c r="BE312" s="6" t="s">
        <v>50</v>
      </c>
      <c r="BF312" s="6" t="s">
        <v>50</v>
      </c>
      <c r="BG312" s="6" t="s">
        <v>50</v>
      </c>
      <c r="BH312" s="6" t="s">
        <v>50</v>
      </c>
      <c r="BI312">
        <v>1</v>
      </c>
      <c r="BJ312">
        <v>878</v>
      </c>
      <c r="BK312">
        <v>2</v>
      </c>
      <c r="BL312">
        <v>30</v>
      </c>
      <c r="BM312">
        <v>0</v>
      </c>
      <c r="BN312">
        <v>0</v>
      </c>
      <c r="BO312">
        <v>0</v>
      </c>
      <c r="BP312" s="6" t="s">
        <v>3615</v>
      </c>
      <c r="BQ312">
        <v>15</v>
      </c>
      <c r="BR312" s="6" t="s">
        <v>50</v>
      </c>
      <c r="BS312">
        <v>0</v>
      </c>
      <c r="BT312" s="6" t="s">
        <v>3647</v>
      </c>
      <c r="BU312">
        <v>15</v>
      </c>
    </row>
    <row r="313" spans="1:73" s="9" customFormat="1" ht="15.75" customHeight="1" x14ac:dyDescent="0.2">
      <c r="A313" s="3">
        <f t="shared" si="4"/>
        <v>2311</v>
      </c>
      <c r="B313" s="7" t="s">
        <v>348</v>
      </c>
      <c r="C313" s="7" t="s">
        <v>800</v>
      </c>
      <c r="D313" s="11" t="s">
        <v>798</v>
      </c>
      <c r="E313" s="11" t="s">
        <v>799</v>
      </c>
      <c r="F313" s="7">
        <v>1</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-50</v>
      </c>
      <c r="Y313" s="7">
        <v>80</v>
      </c>
      <c r="Z313" s="7">
        <v>0</v>
      </c>
      <c r="AA313" s="7">
        <v>0</v>
      </c>
      <c r="AB313" s="7">
        <v>0</v>
      </c>
      <c r="AC313" s="7">
        <v>0</v>
      </c>
      <c r="AD313" s="7">
        <v>0</v>
      </c>
      <c r="AE313" s="7">
        <v>0</v>
      </c>
      <c r="AF313" s="7">
        <v>0</v>
      </c>
      <c r="AG313" s="7">
        <v>0</v>
      </c>
      <c r="AH313" s="7">
        <v>0</v>
      </c>
      <c r="AI313" s="7">
        <v>0</v>
      </c>
      <c r="AJ313" s="7">
        <v>0</v>
      </c>
      <c r="AK313" s="7">
        <v>0</v>
      </c>
      <c r="AL313" s="7" t="s">
        <v>31</v>
      </c>
      <c r="AM313" s="7" t="s">
        <v>347</v>
      </c>
      <c r="AN313" s="7" t="s">
        <v>2015</v>
      </c>
      <c r="AO313" s="7" t="s">
        <v>1847</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347</v>
      </c>
      <c r="BE313" s="10" t="s">
        <v>50</v>
      </c>
      <c r="BF313" s="10" t="s">
        <v>50</v>
      </c>
      <c r="BG313" s="10" t="s">
        <v>50</v>
      </c>
      <c r="BH313" s="10" t="s">
        <v>50</v>
      </c>
      <c r="BI313" s="9">
        <v>0</v>
      </c>
      <c r="BJ313" s="9">
        <v>100</v>
      </c>
      <c r="BK313" s="9">
        <v>1</v>
      </c>
      <c r="BL313" s="9">
        <v>30</v>
      </c>
      <c r="BM313">
        <v>0</v>
      </c>
      <c r="BN313">
        <v>0</v>
      </c>
      <c r="BO313" s="9">
        <v>0</v>
      </c>
      <c r="BP313" s="10" t="s">
        <v>50</v>
      </c>
      <c r="BQ313" s="9">
        <v>0</v>
      </c>
      <c r="BR313" s="10" t="s">
        <v>50</v>
      </c>
      <c r="BS313" s="9">
        <v>0</v>
      </c>
      <c r="BT313" s="10" t="s">
        <v>50</v>
      </c>
      <c r="BU313" s="9">
        <v>0</v>
      </c>
    </row>
    <row r="314" spans="1:73" s="9" customFormat="1" ht="15.75" customHeight="1" x14ac:dyDescent="0.2">
      <c r="A314" s="3">
        <f t="shared" si="4"/>
        <v>2312</v>
      </c>
      <c r="B314" s="7" t="s">
        <v>1277</v>
      </c>
      <c r="C314" s="7" t="s">
        <v>794</v>
      </c>
      <c r="D314" s="11" t="s">
        <v>792</v>
      </c>
      <c r="E314" s="11" t="s">
        <v>793</v>
      </c>
      <c r="F314" s="7">
        <v>1</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-50</v>
      </c>
      <c r="Y314" s="7">
        <v>80</v>
      </c>
      <c r="Z314" s="7">
        <v>0</v>
      </c>
      <c r="AA314" s="7">
        <v>0</v>
      </c>
      <c r="AB314" s="7">
        <v>0</v>
      </c>
      <c r="AC314" s="7">
        <v>0</v>
      </c>
      <c r="AD314" s="7">
        <v>0</v>
      </c>
      <c r="AE314" s="7">
        <v>0</v>
      </c>
      <c r="AF314" s="7">
        <v>0</v>
      </c>
      <c r="AG314" s="7">
        <v>0</v>
      </c>
      <c r="AH314" s="7">
        <v>0</v>
      </c>
      <c r="AI314" s="7">
        <v>0</v>
      </c>
      <c r="AJ314" s="7">
        <v>0</v>
      </c>
      <c r="AK314" s="7">
        <v>0</v>
      </c>
      <c r="AL314" s="7" t="s">
        <v>31</v>
      </c>
      <c r="AM314" s="7" t="s">
        <v>347</v>
      </c>
      <c r="AN314" s="7" t="s">
        <v>2015</v>
      </c>
      <c r="AO314" s="7" t="s">
        <v>1847</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1227</v>
      </c>
      <c r="BE314" s="10" t="s">
        <v>50</v>
      </c>
      <c r="BF314" s="10" t="s">
        <v>50</v>
      </c>
      <c r="BG314" s="10" t="s">
        <v>50</v>
      </c>
      <c r="BH314" s="10" t="s">
        <v>50</v>
      </c>
      <c r="BI314" s="9">
        <v>0</v>
      </c>
      <c r="BJ314" s="9">
        <v>873</v>
      </c>
      <c r="BK314" s="9">
        <v>1</v>
      </c>
      <c r="BL314" s="9">
        <v>30</v>
      </c>
      <c r="BM314">
        <v>0</v>
      </c>
      <c r="BN314">
        <v>0</v>
      </c>
      <c r="BO314" s="9">
        <v>0</v>
      </c>
      <c r="BP314" s="10" t="s">
        <v>50</v>
      </c>
      <c r="BQ314" s="9">
        <v>0</v>
      </c>
      <c r="BR314" s="10" t="s">
        <v>50</v>
      </c>
      <c r="BS314" s="9">
        <v>0</v>
      </c>
      <c r="BT314" s="10" t="s">
        <v>50</v>
      </c>
      <c r="BU314" s="9">
        <v>0</v>
      </c>
    </row>
    <row r="315" spans="1:73" ht="15.75" customHeight="1" x14ac:dyDescent="0.2">
      <c r="A315" s="3">
        <f t="shared" si="4"/>
        <v>2313</v>
      </c>
      <c r="B315" s="3" t="s">
        <v>2890</v>
      </c>
      <c r="C315" s="3" t="s">
        <v>2890</v>
      </c>
      <c r="D315" s="4" t="s">
        <v>2889</v>
      </c>
      <c r="E315" s="4" t="s">
        <v>2942</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100</v>
      </c>
      <c r="Z315" s="3">
        <v>0</v>
      </c>
      <c r="AA315" s="3">
        <v>0</v>
      </c>
      <c r="AB315" s="3">
        <v>0</v>
      </c>
      <c r="AC315" s="3">
        <v>0</v>
      </c>
      <c r="AD315" s="3">
        <v>0</v>
      </c>
      <c r="AE315" s="3">
        <v>20</v>
      </c>
      <c r="AF315" s="3">
        <v>-20</v>
      </c>
      <c r="AG315" s="3">
        <v>0</v>
      </c>
      <c r="AH315" s="3">
        <v>0</v>
      </c>
      <c r="AI315" s="3">
        <v>0</v>
      </c>
      <c r="AJ315" s="3">
        <v>0</v>
      </c>
      <c r="AK315" s="3">
        <v>0</v>
      </c>
      <c r="AL315" s="3" t="s">
        <v>31</v>
      </c>
      <c r="AM315" s="3" t="s">
        <v>347</v>
      </c>
      <c r="AN315" s="3" t="s">
        <v>3462</v>
      </c>
      <c r="AO315" s="3" t="s">
        <v>51</v>
      </c>
      <c r="AP315" s="3">
        <v>50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347</v>
      </c>
      <c r="BE315" s="6" t="s">
        <v>50</v>
      </c>
      <c r="BF315" s="6" t="s">
        <v>50</v>
      </c>
      <c r="BG315" s="6" t="s">
        <v>50</v>
      </c>
      <c r="BH315" s="6" t="s">
        <v>50</v>
      </c>
      <c r="BI315">
        <v>1</v>
      </c>
      <c r="BJ315">
        <v>885</v>
      </c>
      <c r="BK315">
        <v>2</v>
      </c>
      <c r="BL315">
        <v>30</v>
      </c>
      <c r="BM315">
        <v>0</v>
      </c>
      <c r="BN315">
        <v>0</v>
      </c>
      <c r="BO315">
        <v>0</v>
      </c>
      <c r="BP315" s="6" t="s">
        <v>3615</v>
      </c>
      <c r="BQ315">
        <v>20</v>
      </c>
      <c r="BR315" s="6" t="s">
        <v>50</v>
      </c>
      <c r="BS315">
        <v>0</v>
      </c>
      <c r="BT315" s="6" t="s">
        <v>3647</v>
      </c>
      <c r="BU315">
        <v>15</v>
      </c>
    </row>
    <row r="316" spans="1:73" ht="15.75" customHeight="1" x14ac:dyDescent="0.2">
      <c r="A316" s="3">
        <f t="shared" si="4"/>
        <v>2314</v>
      </c>
      <c r="B316" s="3" t="s">
        <v>2072</v>
      </c>
      <c r="C316" s="3" t="s">
        <v>2072</v>
      </c>
      <c r="D316" s="4" t="s">
        <v>2068</v>
      </c>
      <c r="E316" s="4" t="s">
        <v>2713</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0</v>
      </c>
      <c r="AG316" s="3">
        <v>0</v>
      </c>
      <c r="AH316" s="3">
        <v>20</v>
      </c>
      <c r="AI316" s="3">
        <v>0</v>
      </c>
      <c r="AJ316" s="3">
        <v>0</v>
      </c>
      <c r="AK316" s="3">
        <v>0</v>
      </c>
      <c r="AL316" s="3" t="s">
        <v>31</v>
      </c>
      <c r="AM316" s="3" t="s">
        <v>347</v>
      </c>
      <c r="AN316" s="3" t="s">
        <v>2015</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1</v>
      </c>
      <c r="BN316">
        <v>1</v>
      </c>
      <c r="BO316">
        <v>0</v>
      </c>
      <c r="BP316" s="6" t="s">
        <v>50</v>
      </c>
      <c r="BQ316">
        <v>0</v>
      </c>
      <c r="BR316" s="6" t="s">
        <v>50</v>
      </c>
      <c r="BS316">
        <v>0</v>
      </c>
      <c r="BT316" s="6" t="s">
        <v>50</v>
      </c>
      <c r="BU316">
        <v>0</v>
      </c>
    </row>
    <row r="317" spans="1:73" s="43" customFormat="1" ht="15.75" customHeight="1" x14ac:dyDescent="0.2">
      <c r="A317" s="40">
        <f t="shared" si="4"/>
        <v>2315</v>
      </c>
      <c r="B317" s="40" t="s">
        <v>2079</v>
      </c>
      <c r="C317" s="40" t="s">
        <v>3572</v>
      </c>
      <c r="D317" s="45" t="s">
        <v>3570</v>
      </c>
      <c r="E317" s="45" t="s">
        <v>3571</v>
      </c>
      <c r="F317" s="40">
        <v>1</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-50</v>
      </c>
      <c r="Y317" s="40">
        <v>130</v>
      </c>
      <c r="Z317" s="40">
        <v>0</v>
      </c>
      <c r="AA317" s="40">
        <v>20</v>
      </c>
      <c r="AB317" s="40">
        <v>0</v>
      </c>
      <c r="AC317" s="40">
        <v>0</v>
      </c>
      <c r="AD317" s="40">
        <v>0</v>
      </c>
      <c r="AE317" s="40">
        <v>-100</v>
      </c>
      <c r="AF317" s="40">
        <v>40</v>
      </c>
      <c r="AG317" s="40">
        <v>30</v>
      </c>
      <c r="AH317" s="40">
        <v>40</v>
      </c>
      <c r="AI317" s="40">
        <v>0</v>
      </c>
      <c r="AJ317" s="40">
        <v>0</v>
      </c>
      <c r="AK317" s="40">
        <v>0</v>
      </c>
      <c r="AL317" s="40" t="s">
        <v>31</v>
      </c>
      <c r="AM317" s="40" t="s">
        <v>347</v>
      </c>
      <c r="AN317" s="40" t="s">
        <v>3489</v>
      </c>
      <c r="AO317" s="40" t="s">
        <v>50</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c r="BP317" s="44" t="s">
        <v>3615</v>
      </c>
      <c r="BQ317" s="43">
        <v>30</v>
      </c>
      <c r="BR317" s="44" t="s">
        <v>50</v>
      </c>
      <c r="BS317" s="43">
        <v>0</v>
      </c>
      <c r="BT317" s="44" t="s">
        <v>3647</v>
      </c>
      <c r="BU317" s="43">
        <v>30</v>
      </c>
    </row>
    <row r="318" spans="1:73" s="43" customFormat="1" ht="15.75" customHeight="1" x14ac:dyDescent="0.2">
      <c r="A318" s="40">
        <f t="shared" si="4"/>
        <v>2316</v>
      </c>
      <c r="B318" s="40" t="s">
        <v>2079</v>
      </c>
      <c r="C318" s="40" t="s">
        <v>2712</v>
      </c>
      <c r="D318" s="45" t="s">
        <v>2073</v>
      </c>
      <c r="E318" s="45" t="s">
        <v>2074</v>
      </c>
      <c r="F318" s="40">
        <v>1</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-50</v>
      </c>
      <c r="Y318" s="40">
        <v>130</v>
      </c>
      <c r="Z318" s="40">
        <v>0</v>
      </c>
      <c r="AA318" s="40">
        <v>20</v>
      </c>
      <c r="AB318" s="40">
        <v>0</v>
      </c>
      <c r="AC318" s="40">
        <v>0</v>
      </c>
      <c r="AD318" s="40">
        <v>0</v>
      </c>
      <c r="AE318" s="40">
        <v>0</v>
      </c>
      <c r="AF318" s="40">
        <v>0</v>
      </c>
      <c r="AG318" s="40">
        <v>-30</v>
      </c>
      <c r="AH318" s="40">
        <v>65</v>
      </c>
      <c r="AI318" s="40">
        <v>0</v>
      </c>
      <c r="AJ318" s="40">
        <v>0</v>
      </c>
      <c r="AK318" s="40">
        <v>0</v>
      </c>
      <c r="AL318" s="40" t="s">
        <v>31</v>
      </c>
      <c r="AM318" s="40" t="s">
        <v>347</v>
      </c>
      <c r="AN318" s="40" t="s">
        <v>3489</v>
      </c>
      <c r="AO318" s="40" t="s">
        <v>50</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c r="BP318" s="44" t="s">
        <v>3615</v>
      </c>
      <c r="BQ318" s="43">
        <v>30</v>
      </c>
      <c r="BR318" s="44" t="s">
        <v>50</v>
      </c>
      <c r="BS318" s="43">
        <v>0</v>
      </c>
      <c r="BT318" s="44" t="s">
        <v>3647</v>
      </c>
      <c r="BU318" s="43">
        <v>30</v>
      </c>
    </row>
    <row r="319" spans="1:73" ht="15.75" customHeight="1" x14ac:dyDescent="0.2">
      <c r="A319" s="3">
        <f t="shared" si="4"/>
        <v>2317</v>
      </c>
      <c r="B319" s="3" t="s">
        <v>2070</v>
      </c>
      <c r="C319" s="3" t="s">
        <v>2070</v>
      </c>
      <c r="D319" s="4" t="s">
        <v>2071</v>
      </c>
      <c r="E319" s="4" t="s">
        <v>3483</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80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3460</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c r="BP319" s="6" t="s">
        <v>50</v>
      </c>
      <c r="BQ319">
        <v>0</v>
      </c>
      <c r="BR319" s="6" t="s">
        <v>50</v>
      </c>
      <c r="BS319">
        <v>0</v>
      </c>
      <c r="BT319" s="6" t="s">
        <v>3647</v>
      </c>
      <c r="BU319">
        <v>15</v>
      </c>
    </row>
    <row r="320" spans="1:73" ht="15.75" customHeight="1" x14ac:dyDescent="0.2">
      <c r="A320" s="3">
        <f t="shared" si="4"/>
        <v>2318</v>
      </c>
      <c r="B320" s="3" t="s">
        <v>3482</v>
      </c>
      <c r="C320" s="3" t="s">
        <v>3482</v>
      </c>
      <c r="D320" s="4" t="s">
        <v>3481</v>
      </c>
      <c r="E320" s="4" t="s">
        <v>2520</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-20</v>
      </c>
      <c r="AF320" s="3">
        <v>20</v>
      </c>
      <c r="AG320" s="3">
        <v>0</v>
      </c>
      <c r="AH320" s="3">
        <v>0</v>
      </c>
      <c r="AI320" s="3">
        <v>0</v>
      </c>
      <c r="AJ320" s="3">
        <v>0</v>
      </c>
      <c r="AK320" s="3">
        <v>0</v>
      </c>
      <c r="AL320" s="3" t="s">
        <v>31</v>
      </c>
      <c r="AM320" s="3" t="s">
        <v>347</v>
      </c>
      <c r="AN320" s="3" t="s">
        <v>3460</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c r="BP320" s="6" t="s">
        <v>50</v>
      </c>
      <c r="BQ320">
        <v>0</v>
      </c>
      <c r="BR320" s="6" t="s">
        <v>50</v>
      </c>
      <c r="BS320">
        <v>0</v>
      </c>
      <c r="BT320" s="6" t="s">
        <v>3647</v>
      </c>
      <c r="BU320">
        <v>15</v>
      </c>
    </row>
    <row r="321" spans="1:73" s="43" customFormat="1" ht="15.75" customHeight="1" x14ac:dyDescent="0.2">
      <c r="A321" s="40">
        <f t="shared" si="4"/>
        <v>2319</v>
      </c>
      <c r="B321" s="40" t="s">
        <v>2079</v>
      </c>
      <c r="C321" s="40" t="s">
        <v>2708</v>
      </c>
      <c r="D321" s="45" t="s">
        <v>2069</v>
      </c>
      <c r="E321" s="45" t="s">
        <v>2521</v>
      </c>
      <c r="F321" s="40">
        <v>1</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-50</v>
      </c>
      <c r="Y321" s="40">
        <v>130</v>
      </c>
      <c r="Z321" s="40">
        <v>0</v>
      </c>
      <c r="AA321" s="40">
        <v>20</v>
      </c>
      <c r="AB321" s="40">
        <v>0</v>
      </c>
      <c r="AC321" s="40">
        <v>0</v>
      </c>
      <c r="AD321" s="40">
        <v>0</v>
      </c>
      <c r="AE321" s="40">
        <v>-100</v>
      </c>
      <c r="AF321" s="40">
        <v>50</v>
      </c>
      <c r="AG321" s="40">
        <v>30</v>
      </c>
      <c r="AH321" s="40">
        <v>50</v>
      </c>
      <c r="AI321" s="40">
        <v>0</v>
      </c>
      <c r="AJ321" s="40">
        <v>0</v>
      </c>
      <c r="AK321" s="40">
        <v>0</v>
      </c>
      <c r="AL321" s="40" t="s">
        <v>31</v>
      </c>
      <c r="AM321" s="40" t="s">
        <v>347</v>
      </c>
      <c r="AN321" s="40" t="s">
        <v>3461</v>
      </c>
      <c r="AO321" s="40" t="s">
        <v>50</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c r="BP321" s="44" t="s">
        <v>3615</v>
      </c>
      <c r="BQ321" s="43">
        <v>30</v>
      </c>
      <c r="BR321" s="44" t="s">
        <v>50</v>
      </c>
      <c r="BS321" s="43">
        <v>0</v>
      </c>
      <c r="BT321" s="44" t="s">
        <v>3647</v>
      </c>
      <c r="BU321" s="43">
        <v>30</v>
      </c>
    </row>
    <row r="322" spans="1:73" ht="15.75" customHeight="1" x14ac:dyDescent="0.2">
      <c r="A322" s="3">
        <f t="shared" si="4"/>
        <v>2320</v>
      </c>
      <c r="B322" s="3" t="s">
        <v>2783</v>
      </c>
      <c r="C322" s="3" t="s">
        <v>2783</v>
      </c>
      <c r="D322" s="27" t="s">
        <v>2687</v>
      </c>
      <c r="E322" s="5" t="s">
        <v>2352</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120</v>
      </c>
      <c r="Z322" s="3">
        <v>0</v>
      </c>
      <c r="AA322" s="3">
        <v>0</v>
      </c>
      <c r="AB322" s="3">
        <v>0</v>
      </c>
      <c r="AC322" s="3">
        <v>0</v>
      </c>
      <c r="AD322" s="3">
        <v>0</v>
      </c>
      <c r="AE322" s="3">
        <v>20</v>
      </c>
      <c r="AF322" s="3">
        <v>-20</v>
      </c>
      <c r="AG322" s="3">
        <v>0</v>
      </c>
      <c r="AH322" s="3">
        <v>0</v>
      </c>
      <c r="AI322" s="3">
        <v>0</v>
      </c>
      <c r="AJ322" s="3">
        <v>0</v>
      </c>
      <c r="AK322" s="3">
        <v>0</v>
      </c>
      <c r="AL322" s="3" t="s">
        <v>31</v>
      </c>
      <c r="AM322" s="3" t="s">
        <v>347</v>
      </c>
      <c r="AN322" s="3" t="s">
        <v>2015</v>
      </c>
      <c r="AO322" s="3" t="s">
        <v>50</v>
      </c>
      <c r="AP322" s="3">
        <v>50</v>
      </c>
      <c r="AQ322" s="3">
        <v>2.1</v>
      </c>
      <c r="AR322">
        <v>3000</v>
      </c>
      <c r="AS322">
        <v>50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c r="BP322" s="6" t="s">
        <v>50</v>
      </c>
      <c r="BQ322">
        <v>0</v>
      </c>
      <c r="BR322" s="6" t="s">
        <v>50</v>
      </c>
      <c r="BS322">
        <v>0</v>
      </c>
      <c r="BT322" s="6" t="s">
        <v>50</v>
      </c>
      <c r="BU322">
        <v>0</v>
      </c>
    </row>
    <row r="323" spans="1:73" s="9" customFormat="1" ht="15.75" customHeight="1" x14ac:dyDescent="0.2">
      <c r="A323" s="7">
        <f t="shared" si="4"/>
        <v>2321</v>
      </c>
      <c r="B323" s="7" t="s">
        <v>348</v>
      </c>
      <c r="C323" s="7" t="s">
        <v>432</v>
      </c>
      <c r="D323" s="28" t="s">
        <v>2351</v>
      </c>
      <c r="E323" s="8" t="s">
        <v>431</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347</v>
      </c>
      <c r="AN323" s="7" t="s">
        <v>2015</v>
      </c>
      <c r="AO323" s="7" t="s">
        <v>1847</v>
      </c>
      <c r="AP323" s="7">
        <v>30</v>
      </c>
      <c r="AQ323" s="7">
        <v>3</v>
      </c>
      <c r="AR323" s="9">
        <v>3000</v>
      </c>
      <c r="AS323" s="9">
        <v>50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c r="BP323" s="10" t="s">
        <v>50</v>
      </c>
      <c r="BQ323" s="9">
        <v>0</v>
      </c>
      <c r="BR323" s="10" t="s">
        <v>50</v>
      </c>
      <c r="BS323" s="9">
        <v>0</v>
      </c>
      <c r="BT323" s="10" t="s">
        <v>50</v>
      </c>
      <c r="BU323" s="9">
        <v>0</v>
      </c>
    </row>
    <row r="324" spans="1:73" s="23" customFormat="1" ht="15.75" customHeight="1" x14ac:dyDescent="0.2">
      <c r="A324" s="21">
        <f t="shared" si="4"/>
        <v>2322</v>
      </c>
      <c r="B324" s="21" t="s">
        <v>1357</v>
      </c>
      <c r="C324" s="21" t="s">
        <v>2285</v>
      </c>
      <c r="D324" s="22" t="s">
        <v>2286</v>
      </c>
      <c r="E324" s="22" t="s">
        <v>2278</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2012</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c r="BP324" s="24" t="s">
        <v>50</v>
      </c>
      <c r="BQ324" s="23">
        <v>0</v>
      </c>
      <c r="BR324" s="24" t="s">
        <v>50</v>
      </c>
      <c r="BS324" s="23">
        <v>0</v>
      </c>
      <c r="BT324" s="24" t="s">
        <v>50</v>
      </c>
      <c r="BU324" s="23">
        <v>0</v>
      </c>
    </row>
    <row r="325" spans="1:73" ht="15.75" customHeight="1" x14ac:dyDescent="0.2">
      <c r="A325" s="3">
        <f t="shared" si="4"/>
        <v>2323</v>
      </c>
      <c r="B325" s="3" t="s">
        <v>1357</v>
      </c>
      <c r="C325" s="3" t="s">
        <v>342</v>
      </c>
      <c r="D325" s="4" t="s">
        <v>349</v>
      </c>
      <c r="E325" s="4" t="s">
        <v>350</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-20</v>
      </c>
      <c r="Y325" s="3">
        <v>100</v>
      </c>
      <c r="Z325" s="3">
        <v>0</v>
      </c>
      <c r="AA325" s="3">
        <v>0</v>
      </c>
      <c r="AB325" s="3">
        <v>0</v>
      </c>
      <c r="AC325" s="3">
        <v>0</v>
      </c>
      <c r="AD325" s="3">
        <v>0</v>
      </c>
      <c r="AE325" s="3">
        <v>-10</v>
      </c>
      <c r="AF325" s="3">
        <v>10</v>
      </c>
      <c r="AG325" s="3">
        <v>20</v>
      </c>
      <c r="AH325" s="3">
        <v>0</v>
      </c>
      <c r="AI325" s="3">
        <v>0</v>
      </c>
      <c r="AJ325" s="3">
        <v>0</v>
      </c>
      <c r="AK325" s="3">
        <v>0</v>
      </c>
      <c r="AL325" s="3" t="s">
        <v>31</v>
      </c>
      <c r="AM325" s="3" t="s">
        <v>341</v>
      </c>
      <c r="AN325" s="3" t="s">
        <v>2016</v>
      </c>
      <c r="AO325" s="3" t="s">
        <v>1847</v>
      </c>
      <c r="AP325" s="3">
        <v>40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c r="BP325" s="6" t="s">
        <v>3615</v>
      </c>
      <c r="BQ325">
        <v>20</v>
      </c>
      <c r="BR325" s="6" t="s">
        <v>3643</v>
      </c>
      <c r="BS325">
        <v>5</v>
      </c>
      <c r="BT325" s="6" t="s">
        <v>3626</v>
      </c>
      <c r="BU325">
        <v>20</v>
      </c>
    </row>
    <row r="326" spans="1:73" ht="15.75" customHeight="1" x14ac:dyDescent="0.2">
      <c r="A326" s="3">
        <f t="shared" si="4"/>
        <v>2324</v>
      </c>
      <c r="B326" s="3" t="s">
        <v>1278</v>
      </c>
      <c r="C326" s="3" t="s">
        <v>360</v>
      </c>
      <c r="D326" s="4" t="s">
        <v>1279</v>
      </c>
      <c r="E326" s="4" t="s">
        <v>1069</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-20</v>
      </c>
      <c r="Y326" s="3">
        <v>100</v>
      </c>
      <c r="Z326" s="3">
        <v>0</v>
      </c>
      <c r="AA326" s="3">
        <v>0</v>
      </c>
      <c r="AB326" s="3">
        <v>0</v>
      </c>
      <c r="AC326" s="3">
        <v>0</v>
      </c>
      <c r="AD326" s="3">
        <v>0</v>
      </c>
      <c r="AE326" s="3">
        <v>-10</v>
      </c>
      <c r="AF326" s="3">
        <v>10</v>
      </c>
      <c r="AG326" s="3">
        <v>20</v>
      </c>
      <c r="AH326" s="3">
        <v>0</v>
      </c>
      <c r="AI326" s="3">
        <v>0</v>
      </c>
      <c r="AJ326" s="3">
        <v>0</v>
      </c>
      <c r="AK326" s="3">
        <v>0</v>
      </c>
      <c r="AL326" s="3" t="s">
        <v>31</v>
      </c>
      <c r="AM326" s="3" t="s">
        <v>341</v>
      </c>
      <c r="AN326" s="3" t="s">
        <v>2016</v>
      </c>
      <c r="AO326" s="3" t="s">
        <v>50</v>
      </c>
      <c r="AP326" s="3">
        <v>40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c r="BP326" s="6" t="s">
        <v>3615</v>
      </c>
      <c r="BQ326">
        <v>20</v>
      </c>
      <c r="BR326" s="6" t="s">
        <v>3643</v>
      </c>
      <c r="BS326">
        <v>15</v>
      </c>
      <c r="BT326" s="6" t="s">
        <v>3645</v>
      </c>
      <c r="BU326">
        <v>20</v>
      </c>
    </row>
    <row r="327" spans="1:73" ht="15.75" customHeight="1" x14ac:dyDescent="0.2">
      <c r="A327" s="3">
        <f t="shared" si="4"/>
        <v>2325</v>
      </c>
      <c r="B327" s="3" t="s">
        <v>3417</v>
      </c>
      <c r="C327" s="3" t="s">
        <v>340</v>
      </c>
      <c r="D327" s="4" t="s">
        <v>3367</v>
      </c>
      <c r="E327" s="4" t="s">
        <v>3590</v>
      </c>
      <c r="F327" s="3">
        <v>1</v>
      </c>
      <c r="G327" s="3">
        <v>100</v>
      </c>
      <c r="H327" s="3">
        <v>0</v>
      </c>
      <c r="I327" s="3">
        <v>20</v>
      </c>
      <c r="J327" s="3">
        <v>0</v>
      </c>
      <c r="K327" s="3">
        <v>1</v>
      </c>
      <c r="L327" s="3">
        <v>0</v>
      </c>
      <c r="M327" s="3">
        <v>0</v>
      </c>
      <c r="N327" s="3">
        <v>0</v>
      </c>
      <c r="O327" s="3">
        <v>0</v>
      </c>
      <c r="P327" s="3">
        <v>0</v>
      </c>
      <c r="Q327" s="3">
        <v>0</v>
      </c>
      <c r="R327" s="3">
        <v>0</v>
      </c>
      <c r="S327" s="3">
        <v>0</v>
      </c>
      <c r="T327" s="3">
        <v>0</v>
      </c>
      <c r="U327" s="3">
        <v>0</v>
      </c>
      <c r="V327" s="3">
        <v>0</v>
      </c>
      <c r="W327" s="3">
        <v>0</v>
      </c>
      <c r="X327" s="3">
        <v>-20</v>
      </c>
      <c r="Y327" s="3">
        <v>120</v>
      </c>
      <c r="Z327" s="3">
        <v>0</v>
      </c>
      <c r="AA327" s="3">
        <v>0</v>
      </c>
      <c r="AB327" s="3">
        <v>0</v>
      </c>
      <c r="AC327" s="3">
        <v>0</v>
      </c>
      <c r="AD327" s="3">
        <v>0</v>
      </c>
      <c r="AE327" s="3">
        <v>20</v>
      </c>
      <c r="AF327" s="3">
        <v>-20</v>
      </c>
      <c r="AG327" s="3">
        <v>20</v>
      </c>
      <c r="AH327" s="3">
        <v>0</v>
      </c>
      <c r="AI327" s="3">
        <v>0</v>
      </c>
      <c r="AJ327" s="3">
        <v>0</v>
      </c>
      <c r="AK327" s="3">
        <v>0</v>
      </c>
      <c r="AL327" s="3" t="s">
        <v>31</v>
      </c>
      <c r="AM327" s="3" t="s">
        <v>341</v>
      </c>
      <c r="AN327" s="3" t="s">
        <v>2016</v>
      </c>
      <c r="AO327" s="3" t="s">
        <v>1847</v>
      </c>
      <c r="AP327" s="3">
        <v>40</v>
      </c>
      <c r="AQ327" s="3">
        <v>2.5</v>
      </c>
      <c r="AR327">
        <v>4000</v>
      </c>
      <c r="AS327" s="3">
        <v>10</v>
      </c>
      <c r="AT327" s="6" t="s">
        <v>50</v>
      </c>
      <c r="AU327" s="6" t="s">
        <v>50</v>
      </c>
      <c r="AV327" s="6" t="s">
        <v>50</v>
      </c>
      <c r="AW327" s="6" t="s">
        <v>50</v>
      </c>
      <c r="AX327" s="6" t="s">
        <v>50</v>
      </c>
      <c r="AY327" s="6" t="s">
        <v>50</v>
      </c>
      <c r="AZ327" s="6" t="s">
        <v>50</v>
      </c>
      <c r="BA327" s="6" t="s">
        <v>50</v>
      </c>
      <c r="BB327" s="6" t="s">
        <v>50</v>
      </c>
      <c r="BC327" s="6" t="s">
        <v>50</v>
      </c>
      <c r="BD327" s="6" t="s">
        <v>50</v>
      </c>
      <c r="BE327" s="6" t="s">
        <v>50</v>
      </c>
      <c r="BF327" s="6" t="s">
        <v>50</v>
      </c>
      <c r="BG327" s="6" t="s">
        <v>50</v>
      </c>
      <c r="BH327" s="6" t="s">
        <v>50</v>
      </c>
      <c r="BI327">
        <v>0</v>
      </c>
      <c r="BJ327">
        <v>952</v>
      </c>
      <c r="BK327">
        <v>3</v>
      </c>
      <c r="BL327">
        <v>30</v>
      </c>
      <c r="BM327">
        <v>0</v>
      </c>
      <c r="BN327">
        <v>0</v>
      </c>
      <c r="BO327">
        <v>0</v>
      </c>
      <c r="BP327" s="6" t="s">
        <v>3615</v>
      </c>
      <c r="BQ327">
        <v>10</v>
      </c>
      <c r="BR327" s="6" t="s">
        <v>3643</v>
      </c>
      <c r="BS327">
        <v>20</v>
      </c>
      <c r="BT327" s="6" t="s">
        <v>3647</v>
      </c>
      <c r="BU327">
        <v>20</v>
      </c>
    </row>
    <row r="328" spans="1:73" s="23" customFormat="1" ht="15.75" customHeight="1" x14ac:dyDescent="0.2">
      <c r="A328" s="21">
        <f t="shared" si="4"/>
        <v>2326</v>
      </c>
      <c r="B328" s="21" t="s">
        <v>74</v>
      </c>
      <c r="C328" s="21" t="s">
        <v>2287</v>
      </c>
      <c r="D328" s="22" t="s">
        <v>2288</v>
      </c>
      <c r="E328" s="22" t="s">
        <v>2278</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2012</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c r="BP328" s="24" t="s">
        <v>50</v>
      </c>
      <c r="BQ328" s="23">
        <v>0</v>
      </c>
      <c r="BR328" s="24" t="s">
        <v>50</v>
      </c>
      <c r="BS328" s="23">
        <v>0</v>
      </c>
      <c r="BT328" s="24" t="s">
        <v>50</v>
      </c>
      <c r="BU328" s="23">
        <v>0</v>
      </c>
    </row>
    <row r="329" spans="1:73"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3649</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c r="BP329" s="6" t="s">
        <v>50</v>
      </c>
      <c r="BQ329">
        <v>0</v>
      </c>
      <c r="BR329" s="6" t="s">
        <v>50</v>
      </c>
      <c r="BS329">
        <v>0</v>
      </c>
      <c r="BT329" s="6" t="s">
        <v>3626</v>
      </c>
      <c r="BU329">
        <v>10</v>
      </c>
    </row>
    <row r="330" spans="1:73" ht="15.75" customHeight="1" x14ac:dyDescent="0.2">
      <c r="A330" s="3">
        <f t="shared" si="4"/>
        <v>2328</v>
      </c>
      <c r="B330" s="3" t="s">
        <v>949</v>
      </c>
      <c r="C330" s="3" t="s">
        <v>865</v>
      </c>
      <c r="D330" s="4" t="s">
        <v>863</v>
      </c>
      <c r="E330" s="4" t="s">
        <v>864</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3649</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c r="BP330" s="6" t="s">
        <v>50</v>
      </c>
      <c r="BQ330">
        <v>0</v>
      </c>
      <c r="BR330" s="6" t="s">
        <v>50</v>
      </c>
      <c r="BS330">
        <v>0</v>
      </c>
      <c r="BT330" s="6" t="s">
        <v>3626</v>
      </c>
      <c r="BU330">
        <v>10</v>
      </c>
    </row>
    <row r="331" spans="1:73" ht="15.75" customHeight="1" x14ac:dyDescent="0.2">
      <c r="A331" s="3">
        <f t="shared" si="4"/>
        <v>2329</v>
      </c>
      <c r="B331" s="3" t="s">
        <v>1374</v>
      </c>
      <c r="C331" s="3" t="s">
        <v>1323</v>
      </c>
      <c r="D331" s="4" t="s">
        <v>1321</v>
      </c>
      <c r="E331" s="4" t="s">
        <v>1322</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3649</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c r="BP331" s="6" t="s">
        <v>50</v>
      </c>
      <c r="BQ331">
        <v>0</v>
      </c>
      <c r="BR331" s="6" t="s">
        <v>50</v>
      </c>
      <c r="BS331">
        <v>0</v>
      </c>
      <c r="BT331" s="6" t="s">
        <v>3626</v>
      </c>
      <c r="BU331">
        <v>10</v>
      </c>
    </row>
    <row r="332" spans="1:73" ht="15.75" customHeight="1" x14ac:dyDescent="0.2">
      <c r="A332" s="3">
        <f t="shared" si="4"/>
        <v>2330</v>
      </c>
      <c r="B332" s="3" t="s">
        <v>1287</v>
      </c>
      <c r="C332" s="3" t="s">
        <v>1254</v>
      </c>
      <c r="D332" s="4" t="s">
        <v>1263</v>
      </c>
      <c r="E332" s="4" t="s">
        <v>1280</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10</v>
      </c>
      <c r="AH332" s="3">
        <v>0</v>
      </c>
      <c r="AI332" s="3">
        <v>0</v>
      </c>
      <c r="AJ332" s="3">
        <v>0</v>
      </c>
      <c r="AK332" s="3">
        <v>0</v>
      </c>
      <c r="AL332" s="3" t="s">
        <v>31</v>
      </c>
      <c r="AM332" s="3" t="s">
        <v>77</v>
      </c>
      <c r="AN332" s="3" t="s">
        <v>3649</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c r="BP332" s="6" t="s">
        <v>50</v>
      </c>
      <c r="BQ332">
        <v>0</v>
      </c>
      <c r="BR332" s="6" t="s">
        <v>50</v>
      </c>
      <c r="BS332">
        <v>0</v>
      </c>
      <c r="BT332" s="6" t="s">
        <v>3626</v>
      </c>
      <c r="BU332">
        <v>10</v>
      </c>
    </row>
    <row r="333" spans="1:73" ht="15.75" customHeight="1" x14ac:dyDescent="0.2">
      <c r="A333" s="3">
        <f t="shared" si="4"/>
        <v>2331</v>
      </c>
      <c r="B333" s="3" t="s">
        <v>1288</v>
      </c>
      <c r="C333" s="3" t="s">
        <v>1255</v>
      </c>
      <c r="D333" s="4" t="s">
        <v>1264</v>
      </c>
      <c r="E333" s="4" t="s">
        <v>1281</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3649</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c r="BP333" s="6" t="s">
        <v>50</v>
      </c>
      <c r="BQ333">
        <v>0</v>
      </c>
      <c r="BR333" s="6" t="s">
        <v>50</v>
      </c>
      <c r="BS333">
        <v>0</v>
      </c>
      <c r="BT333" s="6" t="s">
        <v>3626</v>
      </c>
      <c r="BU333">
        <v>10</v>
      </c>
    </row>
    <row r="334" spans="1:73" ht="15.75" customHeight="1" x14ac:dyDescent="0.2">
      <c r="A334" s="3">
        <f t="shared" si="4"/>
        <v>2332</v>
      </c>
      <c r="B334" s="3" t="s">
        <v>1284</v>
      </c>
      <c r="C334" s="3" t="s">
        <v>1256</v>
      </c>
      <c r="D334" s="4" t="s">
        <v>1265</v>
      </c>
      <c r="E334" s="4" t="s">
        <v>1282</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3649</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c r="BP334" s="6" t="s">
        <v>50</v>
      </c>
      <c r="BQ334">
        <v>0</v>
      </c>
      <c r="BR334" s="6" t="s">
        <v>50</v>
      </c>
      <c r="BS334">
        <v>0</v>
      </c>
      <c r="BT334" s="6" t="s">
        <v>3626</v>
      </c>
      <c r="BU334">
        <v>10</v>
      </c>
    </row>
    <row r="335" spans="1:73" ht="15.75" customHeight="1" x14ac:dyDescent="0.2">
      <c r="A335" s="3">
        <f t="shared" si="4"/>
        <v>2333</v>
      </c>
      <c r="B335" s="3" t="s">
        <v>1286</v>
      </c>
      <c r="C335" s="3" t="s">
        <v>1257</v>
      </c>
      <c r="D335" s="4" t="s">
        <v>1266</v>
      </c>
      <c r="E335" s="4" t="s">
        <v>1283</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10</v>
      </c>
      <c r="AH335" s="3">
        <v>0</v>
      </c>
      <c r="AI335" s="3">
        <v>0</v>
      </c>
      <c r="AJ335" s="3">
        <v>0</v>
      </c>
      <c r="AK335" s="3">
        <v>0</v>
      </c>
      <c r="AL335" s="3" t="s">
        <v>31</v>
      </c>
      <c r="AM335" s="3" t="s">
        <v>77</v>
      </c>
      <c r="AN335" s="3" t="s">
        <v>3649</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c r="BP335" s="6" t="s">
        <v>50</v>
      </c>
      <c r="BQ335">
        <v>0</v>
      </c>
      <c r="BR335" s="6" t="s">
        <v>50</v>
      </c>
      <c r="BS335">
        <v>0</v>
      </c>
      <c r="BT335" s="6" t="s">
        <v>3626</v>
      </c>
      <c r="BU335">
        <v>10</v>
      </c>
    </row>
    <row r="336" spans="1:73" ht="15.75" customHeight="1" x14ac:dyDescent="0.2">
      <c r="A336" s="3">
        <f t="shared" si="4"/>
        <v>2334</v>
      </c>
      <c r="B336" s="3" t="s">
        <v>1419</v>
      </c>
      <c r="C336" s="3" t="s">
        <v>1326</v>
      </c>
      <c r="D336" s="4" t="s">
        <v>1324</v>
      </c>
      <c r="E336" s="4" t="s">
        <v>1325</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3649</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c r="BP336" s="6" t="s">
        <v>50</v>
      </c>
      <c r="BQ336">
        <v>0</v>
      </c>
      <c r="BR336" s="6" t="s">
        <v>50</v>
      </c>
      <c r="BS336">
        <v>0</v>
      </c>
      <c r="BT336" s="6" t="s">
        <v>3626</v>
      </c>
      <c r="BU336">
        <v>10</v>
      </c>
    </row>
    <row r="337" spans="1:73" ht="15.75" customHeight="1" x14ac:dyDescent="0.2">
      <c r="A337" s="3">
        <f t="shared" ref="A337:A392" si="5">ROW()+1998</f>
        <v>2335</v>
      </c>
      <c r="B337" s="3" t="s">
        <v>1600</v>
      </c>
      <c r="C337" s="3" t="s">
        <v>1601</v>
      </c>
      <c r="D337" s="4" t="s">
        <v>1602</v>
      </c>
      <c r="E337" s="4" t="s">
        <v>1603</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10</v>
      </c>
      <c r="AH337" s="3">
        <v>0</v>
      </c>
      <c r="AI337" s="3">
        <v>0</v>
      </c>
      <c r="AJ337" s="3">
        <v>0</v>
      </c>
      <c r="AK337" s="3">
        <v>0</v>
      </c>
      <c r="AL337" s="3" t="s">
        <v>31</v>
      </c>
      <c r="AM337" s="3" t="s">
        <v>77</v>
      </c>
      <c r="AN337" s="3" t="s">
        <v>3649</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c r="BP337" s="6" t="s">
        <v>50</v>
      </c>
      <c r="BQ337">
        <v>0</v>
      </c>
      <c r="BR337" s="6" t="s">
        <v>50</v>
      </c>
      <c r="BS337">
        <v>0</v>
      </c>
      <c r="BT337" s="6" t="s">
        <v>3626</v>
      </c>
      <c r="BU337">
        <v>10</v>
      </c>
    </row>
    <row r="338" spans="1:73" ht="15.75" customHeight="1" x14ac:dyDescent="0.2">
      <c r="A338" s="3">
        <f t="shared" si="5"/>
        <v>2336</v>
      </c>
      <c r="B338" s="3" t="s">
        <v>1102</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2017</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c r="BP338" s="6" t="s">
        <v>3615</v>
      </c>
      <c r="BQ338">
        <v>5</v>
      </c>
      <c r="BR338" s="6" t="s">
        <v>50</v>
      </c>
      <c r="BS338">
        <v>0</v>
      </c>
      <c r="BT338" s="6" t="s">
        <v>3626</v>
      </c>
      <c r="BU338">
        <v>10</v>
      </c>
    </row>
    <row r="339" spans="1:73" ht="15.75" customHeight="1" x14ac:dyDescent="0.2">
      <c r="A339" s="3">
        <f t="shared" si="5"/>
        <v>2337</v>
      </c>
      <c r="B339" s="3" t="s">
        <v>1103</v>
      </c>
      <c r="C339" s="3" t="s">
        <v>170</v>
      </c>
      <c r="D339" s="4" t="s">
        <v>3104</v>
      </c>
      <c r="E339" s="4" t="s">
        <v>1078</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2017</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c r="BP339" s="6" t="s">
        <v>3615</v>
      </c>
      <c r="BQ339">
        <v>10</v>
      </c>
      <c r="BR339" s="6" t="s">
        <v>50</v>
      </c>
      <c r="BS339">
        <v>0</v>
      </c>
      <c r="BT339" s="6" t="s">
        <v>3626</v>
      </c>
      <c r="BU339">
        <v>30</v>
      </c>
    </row>
    <row r="340" spans="1:73" ht="15.75" customHeight="1" x14ac:dyDescent="0.2">
      <c r="A340" s="3">
        <f t="shared" si="5"/>
        <v>2338</v>
      </c>
      <c r="B340" s="3" t="s">
        <v>1285</v>
      </c>
      <c r="C340" s="3" t="s">
        <v>1039</v>
      </c>
      <c r="D340" s="4" t="s">
        <v>1040</v>
      </c>
      <c r="E340" s="4" t="s">
        <v>1079</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10</v>
      </c>
      <c r="AH340" s="3">
        <v>0</v>
      </c>
      <c r="AI340" s="3">
        <v>0</v>
      </c>
      <c r="AJ340" s="3">
        <v>0</v>
      </c>
      <c r="AK340" s="3">
        <v>0</v>
      </c>
      <c r="AL340" s="3" t="s">
        <v>31</v>
      </c>
      <c r="AM340" s="3" t="s">
        <v>77</v>
      </c>
      <c r="AN340" s="3" t="s">
        <v>2017</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c r="BP340" s="6" t="s">
        <v>3615</v>
      </c>
      <c r="BQ340">
        <v>10</v>
      </c>
      <c r="BR340" s="6" t="s">
        <v>50</v>
      </c>
      <c r="BS340">
        <v>0</v>
      </c>
      <c r="BT340" s="6" t="s">
        <v>3626</v>
      </c>
      <c r="BU340">
        <v>10</v>
      </c>
    </row>
    <row r="341" spans="1:73" ht="15.75" customHeight="1" x14ac:dyDescent="0.2">
      <c r="A341" s="3">
        <f t="shared" si="5"/>
        <v>2339</v>
      </c>
      <c r="B341" s="3" t="s">
        <v>1049</v>
      </c>
      <c r="C341" s="3" t="s">
        <v>1049</v>
      </c>
      <c r="D341" s="4" t="s">
        <v>1048</v>
      </c>
      <c r="E341" s="4" t="s">
        <v>1050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5</v>
      </c>
      <c r="AH341" s="3">
        <v>0</v>
      </c>
      <c r="AI341" s="3">
        <v>0</v>
      </c>
      <c r="AJ341" s="3">
        <v>0</v>
      </c>
      <c r="AK341" s="3">
        <v>0</v>
      </c>
      <c r="AL341" s="3" t="s">
        <v>31</v>
      </c>
      <c r="AM341" s="3" t="s">
        <v>77</v>
      </c>
      <c r="AN341" s="3" t="s">
        <v>2018</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c r="BP341" s="6" t="s">
        <v>3615</v>
      </c>
      <c r="BQ341">
        <v>10</v>
      </c>
      <c r="BR341" s="6" t="s">
        <v>50</v>
      </c>
      <c r="BS341">
        <v>0</v>
      </c>
      <c r="BT341" s="6" t="s">
        <v>3626</v>
      </c>
      <c r="BU341">
        <v>15</v>
      </c>
    </row>
    <row r="342" spans="1:73" ht="15.75" customHeight="1" x14ac:dyDescent="0.2">
      <c r="A342" s="3">
        <f t="shared" si="5"/>
        <v>2340</v>
      </c>
      <c r="B342" s="3" t="s">
        <v>3054</v>
      </c>
      <c r="C342" s="3" t="s">
        <v>3054</v>
      </c>
      <c r="D342" s="4" t="s">
        <v>3114</v>
      </c>
      <c r="E342" s="4" t="s">
        <v>3055</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-10</v>
      </c>
      <c r="AF342" s="3">
        <v>10</v>
      </c>
      <c r="AG342" s="3">
        <v>10</v>
      </c>
      <c r="AH342" s="3">
        <v>0</v>
      </c>
      <c r="AI342" s="3">
        <v>10</v>
      </c>
      <c r="AJ342" s="3">
        <v>0</v>
      </c>
      <c r="AK342" s="3">
        <v>0</v>
      </c>
      <c r="AL342" s="3" t="s">
        <v>31</v>
      </c>
      <c r="AM342" s="3" t="s">
        <v>77</v>
      </c>
      <c r="AN342" s="3" t="s">
        <v>3098</v>
      </c>
      <c r="AO342" s="3" t="s">
        <v>50</v>
      </c>
      <c r="AP342" s="3">
        <v>30</v>
      </c>
      <c r="AQ342" s="3">
        <v>1.4</v>
      </c>
      <c r="AR342">
        <v>300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c r="BP342" s="6" t="s">
        <v>3615</v>
      </c>
      <c r="BQ342">
        <v>10</v>
      </c>
      <c r="BR342" s="6" t="s">
        <v>3643</v>
      </c>
      <c r="BS342">
        <v>20</v>
      </c>
      <c r="BT342" s="6" t="s">
        <v>3626</v>
      </c>
      <c r="BU342">
        <v>10</v>
      </c>
    </row>
    <row r="343" spans="1:73" ht="15.75" customHeight="1" x14ac:dyDescent="0.2">
      <c r="A343" s="3">
        <f t="shared" si="5"/>
        <v>2341</v>
      </c>
      <c r="B343" s="3" t="s">
        <v>3056</v>
      </c>
      <c r="C343" s="3" t="s">
        <v>3056</v>
      </c>
      <c r="D343" s="4" t="s">
        <v>3115</v>
      </c>
      <c r="E343" s="4" t="s">
        <v>3057</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-10</v>
      </c>
      <c r="AF343" s="3">
        <v>10</v>
      </c>
      <c r="AG343" s="3">
        <v>10</v>
      </c>
      <c r="AH343" s="3">
        <v>0</v>
      </c>
      <c r="AI343" s="3">
        <v>10</v>
      </c>
      <c r="AJ343" s="3">
        <v>0</v>
      </c>
      <c r="AK343" s="3">
        <v>0</v>
      </c>
      <c r="AL343" s="3" t="s">
        <v>31</v>
      </c>
      <c r="AM343" s="3" t="s">
        <v>77</v>
      </c>
      <c r="AN343" s="3" t="s">
        <v>3098</v>
      </c>
      <c r="AO343" s="3" t="s">
        <v>50</v>
      </c>
      <c r="AP343" s="3">
        <v>30</v>
      </c>
      <c r="AQ343" s="3">
        <v>1.4</v>
      </c>
      <c r="AR343">
        <v>300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c r="BP343" s="6" t="s">
        <v>3615</v>
      </c>
      <c r="BQ343">
        <v>10</v>
      </c>
      <c r="BR343" s="6" t="s">
        <v>3643</v>
      </c>
      <c r="BS343">
        <v>20</v>
      </c>
      <c r="BT343" s="6" t="s">
        <v>3626</v>
      </c>
      <c r="BU343">
        <v>10</v>
      </c>
    </row>
    <row r="344" spans="1:73" ht="15.75" customHeight="1" x14ac:dyDescent="0.2">
      <c r="A344" s="3">
        <f t="shared" si="5"/>
        <v>2342</v>
      </c>
      <c r="B344" s="3" t="s">
        <v>3058</v>
      </c>
      <c r="C344" s="3" t="s">
        <v>3058</v>
      </c>
      <c r="D344" s="4" t="s">
        <v>3116</v>
      </c>
      <c r="E344" s="4" t="s">
        <v>3101</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-10</v>
      </c>
      <c r="AF344" s="3">
        <v>10</v>
      </c>
      <c r="AG344" s="3">
        <v>10</v>
      </c>
      <c r="AH344" s="3">
        <v>0</v>
      </c>
      <c r="AI344" s="3">
        <v>10</v>
      </c>
      <c r="AJ344" s="3">
        <v>0</v>
      </c>
      <c r="AK344" s="3">
        <v>0</v>
      </c>
      <c r="AL344" s="3" t="s">
        <v>31</v>
      </c>
      <c r="AM344" s="3" t="s">
        <v>77</v>
      </c>
      <c r="AN344" s="3" t="s">
        <v>3098</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c r="BP344" s="6" t="s">
        <v>3615</v>
      </c>
      <c r="BQ344">
        <v>10</v>
      </c>
      <c r="BR344" s="6" t="s">
        <v>3643</v>
      </c>
      <c r="BS344">
        <v>20</v>
      </c>
      <c r="BT344" s="6" t="s">
        <v>3626</v>
      </c>
      <c r="BU344">
        <v>10</v>
      </c>
    </row>
    <row r="345" spans="1:73" ht="15.75" customHeight="1" x14ac:dyDescent="0.2">
      <c r="A345" s="3">
        <f t="shared" si="5"/>
        <v>2343</v>
      </c>
      <c r="B345" s="3" t="s">
        <v>3059</v>
      </c>
      <c r="C345" s="3" t="s">
        <v>3059</v>
      </c>
      <c r="D345" s="4" t="s">
        <v>3118</v>
      </c>
      <c r="E345" s="4" t="s">
        <v>3102</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-10</v>
      </c>
      <c r="AF345" s="3">
        <v>10</v>
      </c>
      <c r="AG345" s="3">
        <v>10</v>
      </c>
      <c r="AH345" s="3">
        <v>0</v>
      </c>
      <c r="AI345" s="3">
        <v>10</v>
      </c>
      <c r="AJ345" s="3">
        <v>0</v>
      </c>
      <c r="AK345" s="3">
        <v>0</v>
      </c>
      <c r="AL345" s="3" t="s">
        <v>31</v>
      </c>
      <c r="AM345" s="3" t="s">
        <v>77</v>
      </c>
      <c r="AN345" s="3" t="s">
        <v>3098</v>
      </c>
      <c r="AO345" s="3" t="s">
        <v>50</v>
      </c>
      <c r="AP345" s="3">
        <v>30</v>
      </c>
      <c r="AQ345" s="3">
        <v>1.4</v>
      </c>
      <c r="AR345">
        <v>300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c r="BP345" s="6" t="s">
        <v>3615</v>
      </c>
      <c r="BQ345">
        <v>10</v>
      </c>
      <c r="BR345" s="6" t="s">
        <v>3643</v>
      </c>
      <c r="BS345">
        <v>20</v>
      </c>
      <c r="BT345" s="6" t="s">
        <v>3626</v>
      </c>
      <c r="BU345">
        <v>10</v>
      </c>
    </row>
    <row r="346" spans="1:73" ht="15.75" customHeight="1" x14ac:dyDescent="0.2">
      <c r="A346" s="3">
        <f t="shared" si="5"/>
        <v>2344</v>
      </c>
      <c r="B346" s="3" t="s">
        <v>3060</v>
      </c>
      <c r="C346" s="3" t="s">
        <v>3060</v>
      </c>
      <c r="D346" s="4" t="s">
        <v>3370</v>
      </c>
      <c r="E346" s="4" t="s">
        <v>3103</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3098</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c r="BP346" s="6" t="s">
        <v>3615</v>
      </c>
      <c r="BQ346">
        <v>10</v>
      </c>
      <c r="BR346" s="6" t="s">
        <v>3643</v>
      </c>
      <c r="BS346">
        <v>20</v>
      </c>
      <c r="BT346" s="6" t="s">
        <v>3626</v>
      </c>
      <c r="BU346">
        <v>10</v>
      </c>
    </row>
    <row r="347" spans="1:73" ht="15.75" customHeight="1" x14ac:dyDescent="0.2">
      <c r="A347" s="3">
        <f t="shared" si="5"/>
        <v>2345</v>
      </c>
      <c r="B347" s="3" t="s">
        <v>3105</v>
      </c>
      <c r="C347" s="3" t="s">
        <v>3061</v>
      </c>
      <c r="D347" s="4" t="s">
        <v>3117</v>
      </c>
      <c r="E347" s="4" t="s">
        <v>3062</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3098</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c r="BP347" s="6" t="s">
        <v>3615</v>
      </c>
      <c r="BQ347">
        <v>10</v>
      </c>
      <c r="BR347" s="6" t="s">
        <v>3643</v>
      </c>
      <c r="BS347">
        <v>20</v>
      </c>
      <c r="BT347" s="6" t="s">
        <v>3626</v>
      </c>
      <c r="BU347">
        <v>10</v>
      </c>
    </row>
    <row r="348" spans="1:73" ht="15.75" customHeight="1" x14ac:dyDescent="0.2">
      <c r="A348" s="3">
        <f t="shared" si="5"/>
        <v>2346</v>
      </c>
      <c r="B348" s="3" t="s">
        <v>1596</v>
      </c>
      <c r="C348" s="3" t="s">
        <v>1592</v>
      </c>
      <c r="D348" s="4" t="s">
        <v>1635</v>
      </c>
      <c r="E348" s="4" t="s">
        <v>1594</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-20</v>
      </c>
      <c r="AF348" s="3">
        <v>20</v>
      </c>
      <c r="AG348" s="3">
        <v>10</v>
      </c>
      <c r="AH348" s="3">
        <v>0</v>
      </c>
      <c r="AI348" s="3">
        <v>0</v>
      </c>
      <c r="AJ348" s="3">
        <v>0</v>
      </c>
      <c r="AK348" s="3">
        <v>0</v>
      </c>
      <c r="AL348" s="3" t="s">
        <v>31</v>
      </c>
      <c r="AM348" s="3" t="s">
        <v>77</v>
      </c>
      <c r="AN348" s="3" t="s">
        <v>2017</v>
      </c>
      <c r="AO348" s="3" t="s">
        <v>50</v>
      </c>
      <c r="AP348" s="3">
        <v>30</v>
      </c>
      <c r="AQ348" s="3">
        <v>1.5</v>
      </c>
      <c r="AR348">
        <v>350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c r="BP348" s="6" t="s">
        <v>50</v>
      </c>
      <c r="BQ348">
        <v>0</v>
      </c>
      <c r="BR348" s="6" t="s">
        <v>50</v>
      </c>
      <c r="BS348">
        <v>0</v>
      </c>
      <c r="BT348" s="6" t="s">
        <v>3626</v>
      </c>
      <c r="BU348">
        <v>20</v>
      </c>
    </row>
    <row r="349" spans="1:73" ht="15.75" customHeight="1" x14ac:dyDescent="0.2">
      <c r="A349" s="3">
        <f t="shared" si="5"/>
        <v>2347</v>
      </c>
      <c r="B349" s="3" t="s">
        <v>1597</v>
      </c>
      <c r="C349" s="3" t="s">
        <v>1593</v>
      </c>
      <c r="D349" s="4" t="s">
        <v>1634</v>
      </c>
      <c r="E349" s="4" t="s">
        <v>1595</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-20</v>
      </c>
      <c r="AF349" s="3">
        <v>20</v>
      </c>
      <c r="AG349" s="3">
        <v>10</v>
      </c>
      <c r="AH349" s="3">
        <v>0</v>
      </c>
      <c r="AI349" s="3">
        <v>0</v>
      </c>
      <c r="AJ349" s="3">
        <v>0</v>
      </c>
      <c r="AK349" s="3">
        <v>0</v>
      </c>
      <c r="AL349" s="3" t="s">
        <v>31</v>
      </c>
      <c r="AM349" s="3" t="s">
        <v>77</v>
      </c>
      <c r="AN349" s="3" t="s">
        <v>2017</v>
      </c>
      <c r="AO349" s="3" t="s">
        <v>50</v>
      </c>
      <c r="AP349" s="3">
        <v>30</v>
      </c>
      <c r="AQ349" s="3">
        <v>1.7</v>
      </c>
      <c r="AR349">
        <v>350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c r="BP349" s="6" t="s">
        <v>50</v>
      </c>
      <c r="BQ349">
        <v>0</v>
      </c>
      <c r="BR349" s="6" t="s">
        <v>50</v>
      </c>
      <c r="BS349">
        <v>0</v>
      </c>
      <c r="BT349" s="6" t="s">
        <v>3626</v>
      </c>
      <c r="BU349">
        <v>20</v>
      </c>
    </row>
    <row r="350" spans="1:73" s="23" customFormat="1" ht="15.75" customHeight="1" x14ac:dyDescent="0.2">
      <c r="A350" s="21">
        <f t="shared" si="5"/>
        <v>2348</v>
      </c>
      <c r="B350" s="21" t="s">
        <v>97</v>
      </c>
      <c r="C350" s="21" t="s">
        <v>3369</v>
      </c>
      <c r="D350" s="22" t="s">
        <v>3368</v>
      </c>
      <c r="E350" s="22" t="s">
        <v>2278</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2625</v>
      </c>
      <c r="AN350" s="21" t="s">
        <v>2626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c r="BP350" s="24" t="s">
        <v>50</v>
      </c>
      <c r="BQ350" s="23">
        <v>0</v>
      </c>
      <c r="BR350" s="24" t="s">
        <v>50</v>
      </c>
      <c r="BS350" s="23">
        <v>0</v>
      </c>
      <c r="BT350" s="24" t="s">
        <v>50</v>
      </c>
      <c r="BU350" s="23">
        <v>0</v>
      </c>
    </row>
    <row r="351" spans="1:73" ht="15.75" customHeight="1" x14ac:dyDescent="0.2">
      <c r="A351" s="3">
        <f t="shared" si="5"/>
        <v>2349</v>
      </c>
      <c r="B351" s="3" t="s">
        <v>2624</v>
      </c>
      <c r="C351" s="3" t="s">
        <v>2624</v>
      </c>
      <c r="D351" s="4" t="s">
        <v>2656</v>
      </c>
      <c r="E351" s="4" t="s">
        <v>2623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-10</v>
      </c>
      <c r="AF351" s="3">
        <v>10</v>
      </c>
      <c r="AG351" s="3">
        <v>0</v>
      </c>
      <c r="AH351" s="3">
        <v>0</v>
      </c>
      <c r="AI351" s="3">
        <v>0</v>
      </c>
      <c r="AJ351" s="3">
        <v>0</v>
      </c>
      <c r="AK351" s="3">
        <v>0</v>
      </c>
      <c r="AL351" s="3" t="s">
        <v>31</v>
      </c>
      <c r="AM351" s="3" t="s">
        <v>2625</v>
      </c>
      <c r="AN351" s="3" t="s">
        <v>2626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c r="BP351" s="6" t="s">
        <v>3614</v>
      </c>
      <c r="BQ351">
        <v>30</v>
      </c>
      <c r="BR351" s="6" t="s">
        <v>3615</v>
      </c>
      <c r="BS351">
        <v>5</v>
      </c>
      <c r="BT351" s="6" t="s">
        <v>3626</v>
      </c>
      <c r="BU351">
        <v>5</v>
      </c>
    </row>
    <row r="352" spans="1:73" ht="15.75" customHeight="1" x14ac:dyDescent="0.2">
      <c r="A352" s="3">
        <f t="shared" si="5"/>
        <v>2350</v>
      </c>
      <c r="B352" s="3" t="s">
        <v>2659</v>
      </c>
      <c r="C352" s="3" t="s">
        <v>2659</v>
      </c>
      <c r="D352" s="4" t="s">
        <v>2657</v>
      </c>
      <c r="E352" s="4" t="s">
        <v>2658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-10</v>
      </c>
      <c r="AF352" s="3">
        <v>10</v>
      </c>
      <c r="AG352" s="3">
        <v>0</v>
      </c>
      <c r="AH352" s="3">
        <v>0</v>
      </c>
      <c r="AI352" s="3">
        <v>0</v>
      </c>
      <c r="AJ352" s="3">
        <v>0</v>
      </c>
      <c r="AK352" s="3">
        <v>0</v>
      </c>
      <c r="AL352" s="3" t="s">
        <v>31</v>
      </c>
      <c r="AM352" s="3" t="s">
        <v>2625</v>
      </c>
      <c r="AN352" s="3" t="s">
        <v>2626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c r="BP352" s="6" t="s">
        <v>3614</v>
      </c>
      <c r="BQ352">
        <v>30</v>
      </c>
      <c r="BR352" s="6" t="s">
        <v>3615</v>
      </c>
      <c r="BS352">
        <v>5</v>
      </c>
      <c r="BT352" s="6" t="s">
        <v>3626</v>
      </c>
      <c r="BU352">
        <v>10</v>
      </c>
    </row>
    <row r="353" spans="1:73" ht="15.75" customHeight="1" x14ac:dyDescent="0.2">
      <c r="A353" s="3">
        <f t="shared" si="5"/>
        <v>2351</v>
      </c>
      <c r="B353" s="3" t="s">
        <v>2670</v>
      </c>
      <c r="C353" s="3" t="s">
        <v>2670</v>
      </c>
      <c r="D353" s="4" t="s">
        <v>2669</v>
      </c>
      <c r="E353" s="4" t="s">
        <v>2671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-10</v>
      </c>
      <c r="AF353" s="3">
        <v>10</v>
      </c>
      <c r="AG353" s="3">
        <v>0</v>
      </c>
      <c r="AH353" s="3">
        <v>0</v>
      </c>
      <c r="AI353" s="3">
        <v>0</v>
      </c>
      <c r="AJ353" s="3">
        <v>0</v>
      </c>
      <c r="AK353" s="3">
        <v>0</v>
      </c>
      <c r="AL353" s="3" t="s">
        <v>31</v>
      </c>
      <c r="AM353" s="3" t="s">
        <v>2625</v>
      </c>
      <c r="AN353" s="3" t="s">
        <v>2626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c r="BP353" s="6" t="s">
        <v>3614</v>
      </c>
      <c r="BQ353">
        <v>30</v>
      </c>
      <c r="BR353" s="6" t="s">
        <v>3615</v>
      </c>
      <c r="BS353">
        <v>5</v>
      </c>
      <c r="BT353" s="6" t="s">
        <v>3626</v>
      </c>
      <c r="BU353">
        <v>10</v>
      </c>
    </row>
    <row r="354" spans="1:73" ht="15.75" customHeight="1" x14ac:dyDescent="0.2">
      <c r="A354" s="3">
        <f t="shared" si="5"/>
        <v>2352</v>
      </c>
      <c r="B354" s="3" t="s">
        <v>2662</v>
      </c>
      <c r="C354" s="3" t="s">
        <v>2662</v>
      </c>
      <c r="D354" s="4" t="s">
        <v>2660</v>
      </c>
      <c r="E354" s="4" t="s">
        <v>2661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-10</v>
      </c>
      <c r="AF354" s="3">
        <v>10</v>
      </c>
      <c r="AG354" s="3">
        <v>10</v>
      </c>
      <c r="AH354" s="3">
        <v>0</v>
      </c>
      <c r="AI354" s="3">
        <v>0</v>
      </c>
      <c r="AJ354" s="3">
        <v>0</v>
      </c>
      <c r="AK354" s="3">
        <v>0</v>
      </c>
      <c r="AL354" s="3" t="s">
        <v>31</v>
      </c>
      <c r="AM354" s="3" t="s">
        <v>2625</v>
      </c>
      <c r="AN354" s="3" t="s">
        <v>2626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c r="BP354" s="6" t="s">
        <v>3614</v>
      </c>
      <c r="BQ354">
        <v>30</v>
      </c>
      <c r="BR354" s="6" t="s">
        <v>3615</v>
      </c>
      <c r="BS354">
        <v>5</v>
      </c>
      <c r="BT354" s="6" t="s">
        <v>3626</v>
      </c>
      <c r="BU354">
        <v>10</v>
      </c>
    </row>
    <row r="355" spans="1:73" ht="15.75" customHeight="1" x14ac:dyDescent="0.2">
      <c r="A355" s="3">
        <f t="shared" si="5"/>
        <v>2353</v>
      </c>
      <c r="B355" s="3" t="s">
        <v>2665</v>
      </c>
      <c r="C355" s="3" t="s">
        <v>2665</v>
      </c>
      <c r="D355" s="4" t="s">
        <v>2663</v>
      </c>
      <c r="E355" s="4" t="s">
        <v>2664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2625</v>
      </c>
      <c r="AN355" s="3" t="s">
        <v>2626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c r="BP355" s="6" t="s">
        <v>3614</v>
      </c>
      <c r="BQ355">
        <v>30</v>
      </c>
      <c r="BR355" s="6" t="s">
        <v>3615</v>
      </c>
      <c r="BS355">
        <v>5</v>
      </c>
      <c r="BT355" s="6" t="s">
        <v>3626</v>
      </c>
      <c r="BU355">
        <v>10</v>
      </c>
    </row>
    <row r="356" spans="1:73" ht="15.75" customHeight="1" x14ac:dyDescent="0.2">
      <c r="A356" s="3">
        <f t="shared" si="5"/>
        <v>2354</v>
      </c>
      <c r="B356" s="3" t="s">
        <v>2668</v>
      </c>
      <c r="C356" s="3" t="s">
        <v>2668</v>
      </c>
      <c r="D356" s="4" t="s">
        <v>2666</v>
      </c>
      <c r="E356" s="4" t="s">
        <v>2667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2625</v>
      </c>
      <c r="AN356" s="3" t="s">
        <v>2626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c r="BP356" s="6" t="s">
        <v>3614</v>
      </c>
      <c r="BQ356">
        <v>30</v>
      </c>
      <c r="BR356" s="6" t="s">
        <v>3615</v>
      </c>
      <c r="BS356">
        <v>5</v>
      </c>
      <c r="BT356" s="6" t="s">
        <v>3626</v>
      </c>
      <c r="BU356">
        <v>10</v>
      </c>
    </row>
    <row r="357" spans="1:73" ht="15.75" customHeight="1" x14ac:dyDescent="0.2">
      <c r="A357" s="3">
        <f t="shared" si="5"/>
        <v>2355</v>
      </c>
      <c r="B357" s="3" t="s">
        <v>2678</v>
      </c>
      <c r="C357" s="3" t="s">
        <v>2678</v>
      </c>
      <c r="D357" s="4" t="s">
        <v>2674</v>
      </c>
      <c r="E357" s="4" t="s">
        <v>2676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10</v>
      </c>
      <c r="AH357" s="3">
        <v>0</v>
      </c>
      <c r="AI357" s="3">
        <v>0</v>
      </c>
      <c r="AJ357" s="3">
        <v>0</v>
      </c>
      <c r="AK357" s="3">
        <v>0</v>
      </c>
      <c r="AL357" s="3" t="s">
        <v>31</v>
      </c>
      <c r="AM357" s="3" t="s">
        <v>2625</v>
      </c>
      <c r="AN357" s="3" t="s">
        <v>2626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c r="BP357" s="6" t="s">
        <v>3614</v>
      </c>
      <c r="BQ357">
        <v>30</v>
      </c>
      <c r="BR357" s="6" t="s">
        <v>3615</v>
      </c>
      <c r="BS357">
        <v>5</v>
      </c>
      <c r="BT357" s="6" t="s">
        <v>3626</v>
      </c>
      <c r="BU357">
        <v>10</v>
      </c>
    </row>
    <row r="358" spans="1:73" ht="15.75" customHeight="1" x14ac:dyDescent="0.2">
      <c r="A358" s="3">
        <f t="shared" si="5"/>
        <v>2356</v>
      </c>
      <c r="B358" s="3" t="s">
        <v>2679</v>
      </c>
      <c r="C358" s="3" t="s">
        <v>2679</v>
      </c>
      <c r="D358" s="4" t="s">
        <v>2675</v>
      </c>
      <c r="E358" s="4" t="s">
        <v>2677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2625</v>
      </c>
      <c r="AN358" s="3" t="s">
        <v>2626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c r="BP358" s="6" t="s">
        <v>3614</v>
      </c>
      <c r="BQ358">
        <v>30</v>
      </c>
      <c r="BR358" s="6" t="s">
        <v>3615</v>
      </c>
      <c r="BS358">
        <v>5</v>
      </c>
      <c r="BT358" s="6" t="s">
        <v>3626</v>
      </c>
      <c r="BU358">
        <v>10</v>
      </c>
    </row>
    <row r="359" spans="1:73" ht="15.75" customHeight="1" x14ac:dyDescent="0.2">
      <c r="A359" s="3">
        <f t="shared" si="5"/>
        <v>2357</v>
      </c>
      <c r="B359" s="3" t="s">
        <v>2672</v>
      </c>
      <c r="C359" s="3" t="s">
        <v>2672</v>
      </c>
      <c r="D359" s="4" t="s">
        <v>2680</v>
      </c>
      <c r="E359" s="4" t="s">
        <v>2673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80</v>
      </c>
      <c r="Z359" s="3">
        <v>0</v>
      </c>
      <c r="AA359" s="3">
        <v>0</v>
      </c>
      <c r="AB359" s="3">
        <v>0</v>
      </c>
      <c r="AC359" s="3">
        <v>0</v>
      </c>
      <c r="AD359" s="3">
        <v>0</v>
      </c>
      <c r="AE359" s="3">
        <v>-10</v>
      </c>
      <c r="AF359" s="3">
        <v>10</v>
      </c>
      <c r="AG359" s="3">
        <v>10</v>
      </c>
      <c r="AH359" s="3">
        <v>0</v>
      </c>
      <c r="AI359" s="3">
        <v>0</v>
      </c>
      <c r="AJ359" s="3">
        <v>0</v>
      </c>
      <c r="AK359" s="3">
        <v>0</v>
      </c>
      <c r="AL359" s="3" t="s">
        <v>31</v>
      </c>
      <c r="AM359" s="3" t="s">
        <v>2625</v>
      </c>
      <c r="AN359" s="3" t="s">
        <v>2626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c r="BP359" s="6" t="s">
        <v>3614</v>
      </c>
      <c r="BQ359">
        <v>30</v>
      </c>
      <c r="BR359" s="6" t="s">
        <v>3615</v>
      </c>
      <c r="BS359">
        <v>5</v>
      </c>
      <c r="BT359" s="6" t="s">
        <v>3626</v>
      </c>
      <c r="BU359">
        <v>10</v>
      </c>
    </row>
    <row r="360" spans="1:73" s="9" customFormat="1" ht="15.75" customHeight="1" x14ac:dyDescent="0.2">
      <c r="A360" s="7">
        <f t="shared" si="5"/>
        <v>2358</v>
      </c>
      <c r="B360" s="7" t="s">
        <v>2683</v>
      </c>
      <c r="C360" s="7" t="s">
        <v>2683</v>
      </c>
      <c r="D360" s="11" t="s">
        <v>2681</v>
      </c>
      <c r="E360" s="11" t="s">
        <v>2682</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-10</v>
      </c>
      <c r="AF360" s="7">
        <v>10</v>
      </c>
      <c r="AG360" s="7">
        <v>10</v>
      </c>
      <c r="AH360" s="7">
        <v>0</v>
      </c>
      <c r="AI360" s="7">
        <v>0</v>
      </c>
      <c r="AJ360" s="7">
        <v>0</v>
      </c>
      <c r="AK360" s="7">
        <v>0</v>
      </c>
      <c r="AL360" s="7" t="s">
        <v>31</v>
      </c>
      <c r="AM360" s="7" t="s">
        <v>2625</v>
      </c>
      <c r="AN360" s="7" t="s">
        <v>2626</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c r="BP360" s="10" t="s">
        <v>3614</v>
      </c>
      <c r="BQ360" s="9">
        <v>30</v>
      </c>
      <c r="BR360" s="10" t="s">
        <v>50</v>
      </c>
      <c r="BS360" s="9">
        <v>0</v>
      </c>
      <c r="BT360" s="10" t="s">
        <v>50</v>
      </c>
      <c r="BU360" s="9">
        <v>0</v>
      </c>
    </row>
    <row r="361" spans="1:73" s="9" customFormat="1" ht="15.75" customHeight="1" x14ac:dyDescent="0.2">
      <c r="A361" s="7">
        <f t="shared" si="5"/>
        <v>2359</v>
      </c>
      <c r="B361" s="7" t="s">
        <v>2684</v>
      </c>
      <c r="C361" s="7" t="s">
        <v>2684</v>
      </c>
      <c r="D361" s="11" t="s">
        <v>2685</v>
      </c>
      <c r="E361" s="11" t="s">
        <v>2686</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-10</v>
      </c>
      <c r="AF361" s="7">
        <v>10</v>
      </c>
      <c r="AG361" s="7">
        <v>10</v>
      </c>
      <c r="AH361" s="7">
        <v>0</v>
      </c>
      <c r="AI361" s="7">
        <v>0</v>
      </c>
      <c r="AJ361" s="7">
        <v>0</v>
      </c>
      <c r="AK361" s="7">
        <v>0</v>
      </c>
      <c r="AL361" s="7" t="s">
        <v>31</v>
      </c>
      <c r="AM361" s="7" t="s">
        <v>2625</v>
      </c>
      <c r="AN361" s="7" t="s">
        <v>2626</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c r="BP361" s="10" t="s">
        <v>3614</v>
      </c>
      <c r="BQ361" s="9">
        <v>30</v>
      </c>
      <c r="BR361" s="10" t="s">
        <v>50</v>
      </c>
      <c r="BS361" s="9">
        <v>0</v>
      </c>
      <c r="BT361" s="10" t="s">
        <v>50</v>
      </c>
      <c r="BU361" s="9">
        <v>0</v>
      </c>
    </row>
    <row r="362" spans="1:73" ht="15.75" customHeight="1" x14ac:dyDescent="0.2">
      <c r="A362" s="3">
        <f t="shared" si="5"/>
        <v>2360</v>
      </c>
      <c r="B362" s="3" t="s">
        <v>2627</v>
      </c>
      <c r="C362" s="3" t="s">
        <v>2627</v>
      </c>
      <c r="D362" s="4" t="s">
        <v>2632</v>
      </c>
      <c r="E362" s="4" t="s">
        <v>2628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40</v>
      </c>
      <c r="Z362" s="3">
        <v>0</v>
      </c>
      <c r="AA362" s="3">
        <v>0</v>
      </c>
      <c r="AB362" s="3">
        <v>0</v>
      </c>
      <c r="AC362" s="3">
        <v>0</v>
      </c>
      <c r="AD362" s="3">
        <v>0</v>
      </c>
      <c r="AE362" s="3">
        <v>-20</v>
      </c>
      <c r="AF362" s="3">
        <v>20</v>
      </c>
      <c r="AG362" s="3">
        <v>0</v>
      </c>
      <c r="AH362" s="3">
        <v>0</v>
      </c>
      <c r="AI362" s="3">
        <v>0</v>
      </c>
      <c r="AJ362" s="3">
        <v>0</v>
      </c>
      <c r="AK362" s="3">
        <v>0</v>
      </c>
      <c r="AL362" s="3" t="s">
        <v>31</v>
      </c>
      <c r="AM362" s="3" t="s">
        <v>2625</v>
      </c>
      <c r="AN362" s="3" t="s">
        <v>2626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c r="BP362" s="6" t="s">
        <v>3614</v>
      </c>
      <c r="BQ362">
        <v>40</v>
      </c>
      <c r="BR362" s="6" t="s">
        <v>3615</v>
      </c>
      <c r="BS362">
        <v>7</v>
      </c>
      <c r="BT362" s="6" t="s">
        <v>3626</v>
      </c>
      <c r="BU362">
        <v>20</v>
      </c>
    </row>
    <row r="363" spans="1:73" s="23" customFormat="1" ht="15.75" customHeight="1" x14ac:dyDescent="0.2">
      <c r="A363" s="21">
        <f t="shared" si="5"/>
        <v>2361</v>
      </c>
      <c r="B363" s="21" t="s">
        <v>97</v>
      </c>
      <c r="C363" s="21" t="s">
        <v>3168</v>
      </c>
      <c r="D363" s="22" t="s">
        <v>3169</v>
      </c>
      <c r="E363" s="22" t="s">
        <v>2278</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2625</v>
      </c>
      <c r="AN363" s="21" t="s">
        <v>2626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c r="BP363" s="24" t="s">
        <v>50</v>
      </c>
      <c r="BQ363" s="23">
        <v>0</v>
      </c>
      <c r="BR363" s="24" t="s">
        <v>50</v>
      </c>
      <c r="BS363" s="23">
        <v>0</v>
      </c>
      <c r="BT363" s="24" t="s">
        <v>50</v>
      </c>
      <c r="BU363" s="23">
        <v>0</v>
      </c>
    </row>
    <row r="364" spans="1:73" ht="15.75" customHeight="1" x14ac:dyDescent="0.2">
      <c r="A364" s="3">
        <f t="shared" si="5"/>
        <v>2362</v>
      </c>
      <c r="B364" s="3" t="s">
        <v>3154</v>
      </c>
      <c r="C364" s="3" t="s">
        <v>3154</v>
      </c>
      <c r="D364" s="4" t="s">
        <v>3153</v>
      </c>
      <c r="E364" s="4" t="s">
        <v>3541</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110</v>
      </c>
      <c r="Z364" s="3">
        <v>0</v>
      </c>
      <c r="AA364" s="3">
        <v>0</v>
      </c>
      <c r="AB364" s="3">
        <v>0</v>
      </c>
      <c r="AC364" s="3">
        <v>0</v>
      </c>
      <c r="AD364" s="3">
        <v>0</v>
      </c>
      <c r="AE364" s="3">
        <v>-30</v>
      </c>
      <c r="AF364" s="3">
        <v>30</v>
      </c>
      <c r="AG364" s="3">
        <v>20</v>
      </c>
      <c r="AH364" s="3">
        <v>0</v>
      </c>
      <c r="AI364" s="3">
        <v>0</v>
      </c>
      <c r="AJ364" s="3">
        <v>0</v>
      </c>
      <c r="AK364" s="3">
        <v>0</v>
      </c>
      <c r="AL364" s="3" t="s">
        <v>31</v>
      </c>
      <c r="AM364" s="3" t="s">
        <v>2625</v>
      </c>
      <c r="AN364" s="3" t="s">
        <v>3378</v>
      </c>
      <c r="AO364" s="3" t="s">
        <v>50</v>
      </c>
      <c r="AP364" s="3">
        <v>40</v>
      </c>
      <c r="AQ364" s="3">
        <v>1.2</v>
      </c>
      <c r="AR364">
        <v>50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1820</v>
      </c>
      <c r="BK364">
        <v>3</v>
      </c>
      <c r="BL364">
        <v>20</v>
      </c>
      <c r="BM364">
        <v>1</v>
      </c>
      <c r="BN364">
        <v>0</v>
      </c>
      <c r="BO364">
        <v>0</v>
      </c>
      <c r="BP364" s="6" t="s">
        <v>3614</v>
      </c>
      <c r="BQ364">
        <v>30</v>
      </c>
      <c r="BR364" s="6" t="s">
        <v>3615</v>
      </c>
      <c r="BS364">
        <v>30</v>
      </c>
      <c r="BT364" s="6" t="s">
        <v>3626</v>
      </c>
      <c r="BU364">
        <v>10</v>
      </c>
    </row>
    <row r="365" spans="1:73" s="43" customFormat="1" ht="15.75" customHeight="1" x14ac:dyDescent="0.2">
      <c r="A365" s="40">
        <f t="shared" si="5"/>
        <v>2363</v>
      </c>
      <c r="B365" s="40" t="s">
        <v>2678</v>
      </c>
      <c r="C365" s="40" t="s">
        <v>3167</v>
      </c>
      <c r="D365" s="45" t="s">
        <v>3166</v>
      </c>
      <c r="E365" s="45" t="s">
        <v>3540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20</v>
      </c>
      <c r="AH365" s="40">
        <v>0</v>
      </c>
      <c r="AI365" s="40">
        <v>0</v>
      </c>
      <c r="AJ365" s="40">
        <v>0</v>
      </c>
      <c r="AK365" s="40">
        <v>0</v>
      </c>
      <c r="AL365" s="40" t="s">
        <v>31</v>
      </c>
      <c r="AM365" s="40" t="s">
        <v>2625</v>
      </c>
      <c r="AN365" s="40" t="s">
        <v>3378</v>
      </c>
      <c r="AO365" s="40" t="s">
        <v>50</v>
      </c>
      <c r="AP365" s="40">
        <v>50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c r="BP365" s="44" t="s">
        <v>3614</v>
      </c>
      <c r="BQ365" s="43">
        <v>30</v>
      </c>
      <c r="BR365" s="44" t="s">
        <v>3615</v>
      </c>
      <c r="BS365" s="43">
        <v>30</v>
      </c>
      <c r="BT365" s="44" t="s">
        <v>3626</v>
      </c>
      <c r="BU365" s="43">
        <v>30</v>
      </c>
    </row>
    <row r="366" spans="1:73" ht="15.75" customHeight="1" x14ac:dyDescent="0.2">
      <c r="A366" s="3">
        <f t="shared" si="5"/>
        <v>2364</v>
      </c>
      <c r="B366" s="3" t="s">
        <v>3535</v>
      </c>
      <c r="C366" s="3" t="s">
        <v>3155</v>
      </c>
      <c r="D366" s="4" t="s">
        <v>3336</v>
      </c>
      <c r="E366" s="4" t="s">
        <v>3337</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100</v>
      </c>
      <c r="Z366" s="3">
        <v>0</v>
      </c>
      <c r="AA366" s="3">
        <v>0</v>
      </c>
      <c r="AB366" s="3">
        <v>0</v>
      </c>
      <c r="AC366" s="3">
        <v>0</v>
      </c>
      <c r="AD366" s="3">
        <v>0</v>
      </c>
      <c r="AE366" s="3">
        <v>20</v>
      </c>
      <c r="AF366" s="3">
        <v>-20</v>
      </c>
      <c r="AG366" s="3">
        <v>20</v>
      </c>
      <c r="AH366" s="3">
        <v>0</v>
      </c>
      <c r="AI366" s="3">
        <v>0</v>
      </c>
      <c r="AJ366" s="3">
        <v>0</v>
      </c>
      <c r="AK366" s="3">
        <v>0</v>
      </c>
      <c r="AL366" s="3" t="s">
        <v>31</v>
      </c>
      <c r="AM366" s="3" t="s">
        <v>2625</v>
      </c>
      <c r="AN366" s="3" t="s">
        <v>3378</v>
      </c>
      <c r="AO366" s="3" t="s">
        <v>50</v>
      </c>
      <c r="AP366" s="3">
        <v>40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c r="BP366" s="6" t="s">
        <v>3614</v>
      </c>
      <c r="BQ366">
        <v>30</v>
      </c>
      <c r="BR366" s="6" t="s">
        <v>3615</v>
      </c>
      <c r="BS366">
        <v>30</v>
      </c>
      <c r="BT366" s="6" t="s">
        <v>3626</v>
      </c>
      <c r="BU366">
        <v>3</v>
      </c>
    </row>
    <row r="367" spans="1:73" ht="15.75" customHeight="1" x14ac:dyDescent="0.2">
      <c r="A367" s="3">
        <f t="shared" si="5"/>
        <v>2365</v>
      </c>
      <c r="B367" s="3" t="s">
        <v>3536</v>
      </c>
      <c r="C367" s="3" t="s">
        <v>3157</v>
      </c>
      <c r="D367" s="4" t="s">
        <v>3159</v>
      </c>
      <c r="E367" s="4" t="s">
        <v>3160</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120</v>
      </c>
      <c r="Z367" s="3">
        <v>0</v>
      </c>
      <c r="AA367" s="3">
        <v>0</v>
      </c>
      <c r="AB367" s="3">
        <v>0</v>
      </c>
      <c r="AC367" s="3">
        <v>0</v>
      </c>
      <c r="AD367" s="3">
        <v>0</v>
      </c>
      <c r="AE367" s="3">
        <v>20</v>
      </c>
      <c r="AF367" s="3">
        <v>-20</v>
      </c>
      <c r="AG367" s="3">
        <v>20</v>
      </c>
      <c r="AH367" s="3">
        <v>0</v>
      </c>
      <c r="AI367" s="3">
        <v>0</v>
      </c>
      <c r="AJ367" s="3">
        <v>0</v>
      </c>
      <c r="AK367" s="3">
        <v>0</v>
      </c>
      <c r="AL367" s="3" t="s">
        <v>31</v>
      </c>
      <c r="AM367" s="3" t="s">
        <v>2625</v>
      </c>
      <c r="AN367" s="3" t="s">
        <v>3378</v>
      </c>
      <c r="AO367" s="3" t="s">
        <v>50</v>
      </c>
      <c r="AP367" s="3">
        <v>40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c r="BP367" s="6" t="s">
        <v>3614</v>
      </c>
      <c r="BQ367">
        <v>30</v>
      </c>
      <c r="BR367" s="6" t="s">
        <v>3615</v>
      </c>
      <c r="BS367">
        <v>30</v>
      </c>
      <c r="BT367" s="6" t="s">
        <v>3626</v>
      </c>
      <c r="BU367">
        <v>5</v>
      </c>
    </row>
    <row r="368" spans="1:73" ht="15.75" customHeight="1" x14ac:dyDescent="0.2">
      <c r="A368" s="3">
        <f t="shared" si="5"/>
        <v>2366</v>
      </c>
      <c r="B368" s="3" t="s">
        <v>3537</v>
      </c>
      <c r="C368" s="3" t="s">
        <v>3156</v>
      </c>
      <c r="D368" s="4" t="s">
        <v>3335</v>
      </c>
      <c r="E368" s="4" t="s">
        <v>3589</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110</v>
      </c>
      <c r="Z368" s="3">
        <v>0</v>
      </c>
      <c r="AA368" s="3">
        <v>0</v>
      </c>
      <c r="AB368" s="3">
        <v>0</v>
      </c>
      <c r="AC368" s="3">
        <v>0</v>
      </c>
      <c r="AD368" s="3">
        <v>0</v>
      </c>
      <c r="AE368" s="3">
        <v>20</v>
      </c>
      <c r="AF368" s="3">
        <v>-20</v>
      </c>
      <c r="AG368" s="3">
        <v>20</v>
      </c>
      <c r="AH368" s="3">
        <v>0</v>
      </c>
      <c r="AI368" s="3">
        <v>0</v>
      </c>
      <c r="AJ368" s="3">
        <v>0</v>
      </c>
      <c r="AK368" s="3">
        <v>0</v>
      </c>
      <c r="AL368" s="3" t="s">
        <v>31</v>
      </c>
      <c r="AM368" s="3" t="s">
        <v>2625</v>
      </c>
      <c r="AN368" s="3" t="s">
        <v>3378</v>
      </c>
      <c r="AO368" s="3" t="s">
        <v>50</v>
      </c>
      <c r="AP368" s="3">
        <v>40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c r="BP368" s="6" t="s">
        <v>3614</v>
      </c>
      <c r="BQ368">
        <v>30</v>
      </c>
      <c r="BR368" s="6" t="s">
        <v>3615</v>
      </c>
      <c r="BS368">
        <v>30</v>
      </c>
      <c r="BT368" s="6" t="s">
        <v>3626</v>
      </c>
      <c r="BU368">
        <v>15</v>
      </c>
    </row>
    <row r="369" spans="1:73" ht="15.75" customHeight="1" x14ac:dyDescent="0.2">
      <c r="A369" s="3">
        <f t="shared" si="5"/>
        <v>2367</v>
      </c>
      <c r="B369" s="3" t="s">
        <v>3538</v>
      </c>
      <c r="C369" s="3" t="s">
        <v>3165</v>
      </c>
      <c r="D369" s="4" t="s">
        <v>3163</v>
      </c>
      <c r="E369" s="4" t="s">
        <v>3164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150</v>
      </c>
      <c r="Z369" s="3">
        <v>0</v>
      </c>
      <c r="AA369" s="3">
        <v>0</v>
      </c>
      <c r="AB369" s="3">
        <v>0</v>
      </c>
      <c r="AC369" s="3">
        <v>0</v>
      </c>
      <c r="AD369" s="3">
        <v>0</v>
      </c>
      <c r="AE369" s="3">
        <v>20</v>
      </c>
      <c r="AF369" s="3">
        <v>-20</v>
      </c>
      <c r="AG369" s="3">
        <v>20</v>
      </c>
      <c r="AH369" s="3">
        <v>0</v>
      </c>
      <c r="AI369" s="3">
        <v>0</v>
      </c>
      <c r="AJ369" s="3">
        <v>0</v>
      </c>
      <c r="AK369" s="3">
        <v>0</v>
      </c>
      <c r="AL369" s="3" t="s">
        <v>31</v>
      </c>
      <c r="AM369" s="3" t="s">
        <v>2625</v>
      </c>
      <c r="AN369" s="3" t="s">
        <v>3378</v>
      </c>
      <c r="AO369" s="3" t="s">
        <v>50</v>
      </c>
      <c r="AP369" s="3">
        <v>40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c r="BP369" s="6" t="s">
        <v>3614</v>
      </c>
      <c r="BQ369">
        <v>30</v>
      </c>
      <c r="BR369" s="6" t="s">
        <v>3615</v>
      </c>
      <c r="BS369">
        <v>30</v>
      </c>
      <c r="BT369" s="6" t="s">
        <v>3626</v>
      </c>
      <c r="BU369">
        <v>25</v>
      </c>
    </row>
    <row r="370" spans="1:73" ht="15.75" customHeight="1" x14ac:dyDescent="0.2">
      <c r="A370" s="3">
        <f t="shared" si="5"/>
        <v>2368</v>
      </c>
      <c r="B370" s="3" t="s">
        <v>3539</v>
      </c>
      <c r="C370" s="3" t="s">
        <v>3158</v>
      </c>
      <c r="D370" s="4" t="s">
        <v>3161</v>
      </c>
      <c r="E370" s="4" t="s">
        <v>3162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125</v>
      </c>
      <c r="Z370" s="3">
        <v>0</v>
      </c>
      <c r="AA370" s="3">
        <v>0</v>
      </c>
      <c r="AB370" s="3">
        <v>0</v>
      </c>
      <c r="AC370" s="3">
        <v>0</v>
      </c>
      <c r="AD370" s="3">
        <v>0</v>
      </c>
      <c r="AE370" s="3">
        <v>20</v>
      </c>
      <c r="AF370" s="3">
        <v>-20</v>
      </c>
      <c r="AG370" s="3">
        <v>20</v>
      </c>
      <c r="AH370" s="3">
        <v>0</v>
      </c>
      <c r="AI370" s="3">
        <v>0</v>
      </c>
      <c r="AJ370" s="3">
        <v>0</v>
      </c>
      <c r="AK370" s="3">
        <v>0</v>
      </c>
      <c r="AL370" s="3" t="s">
        <v>31</v>
      </c>
      <c r="AM370" s="3" t="s">
        <v>2625</v>
      </c>
      <c r="AN370" s="3" t="s">
        <v>3378</v>
      </c>
      <c r="AO370" s="3" t="s">
        <v>50</v>
      </c>
      <c r="AP370" s="3">
        <v>40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c r="BP370" s="6" t="s">
        <v>3614</v>
      </c>
      <c r="BQ370">
        <v>30</v>
      </c>
      <c r="BR370" s="6" t="s">
        <v>3615</v>
      </c>
      <c r="BS370">
        <v>30</v>
      </c>
      <c r="BT370" s="6" t="s">
        <v>3626</v>
      </c>
      <c r="BU370">
        <v>30</v>
      </c>
    </row>
    <row r="371" spans="1:73" s="23" customFormat="1" ht="15.75" customHeight="1" x14ac:dyDescent="0.2">
      <c r="A371" s="21">
        <f t="shared" si="5"/>
        <v>2369</v>
      </c>
      <c r="B371" s="21" t="s">
        <v>97</v>
      </c>
      <c r="C371" s="21" t="s">
        <v>2289</v>
      </c>
      <c r="D371" s="22" t="s">
        <v>2290</v>
      </c>
      <c r="E371" s="22" t="s">
        <v>2278</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2012</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c r="BP371" s="24" t="s">
        <v>50</v>
      </c>
      <c r="BQ371" s="23">
        <v>0</v>
      </c>
      <c r="BR371" s="24" t="s">
        <v>50</v>
      </c>
      <c r="BS371" s="23">
        <v>0</v>
      </c>
      <c r="BT371" s="24" t="s">
        <v>50</v>
      </c>
      <c r="BU371" s="23">
        <v>0</v>
      </c>
    </row>
    <row r="372" spans="1:73" ht="15.75" customHeight="1" x14ac:dyDescent="0.2">
      <c r="A372" s="3">
        <f t="shared" si="5"/>
        <v>2370</v>
      </c>
      <c r="B372" s="3" t="s">
        <v>97</v>
      </c>
      <c r="C372" s="3" t="s">
        <v>942</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20</v>
      </c>
      <c r="AF372" s="3">
        <v>-20</v>
      </c>
      <c r="AG372" s="3">
        <v>0</v>
      </c>
      <c r="AH372" s="3">
        <v>0</v>
      </c>
      <c r="AI372" s="3">
        <v>0</v>
      </c>
      <c r="AJ372" s="3">
        <v>0</v>
      </c>
      <c r="AK372" s="3">
        <v>0</v>
      </c>
      <c r="AL372" s="3" t="s">
        <v>31</v>
      </c>
      <c r="AM372" s="3" t="s">
        <v>122</v>
      </c>
      <c r="AN372" s="3" t="s">
        <v>2019</v>
      </c>
      <c r="AO372" s="3" t="s">
        <v>1848</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992</v>
      </c>
      <c r="BE372" s="6" t="s">
        <v>50</v>
      </c>
      <c r="BF372" s="6" t="s">
        <v>50</v>
      </c>
      <c r="BG372" s="6" t="s">
        <v>50</v>
      </c>
      <c r="BH372" s="6" t="s">
        <v>50</v>
      </c>
      <c r="BI372">
        <v>1</v>
      </c>
      <c r="BJ372">
        <v>601</v>
      </c>
      <c r="BK372">
        <v>3</v>
      </c>
      <c r="BL372">
        <v>10</v>
      </c>
      <c r="BM372">
        <v>0</v>
      </c>
      <c r="BN372">
        <v>0</v>
      </c>
      <c r="BO372">
        <v>0</v>
      </c>
      <c r="BP372" s="6" t="s">
        <v>50</v>
      </c>
      <c r="BQ372">
        <v>0</v>
      </c>
      <c r="BR372" s="6" t="s">
        <v>3615</v>
      </c>
      <c r="BS372">
        <v>20</v>
      </c>
      <c r="BT372" s="6" t="s">
        <v>50</v>
      </c>
      <c r="BU372">
        <v>0</v>
      </c>
    </row>
    <row r="373" spans="1:73" ht="15.75" customHeight="1" x14ac:dyDescent="0.2">
      <c r="A373" s="3">
        <f t="shared" si="5"/>
        <v>2371</v>
      </c>
      <c r="B373" s="3" t="s">
        <v>948</v>
      </c>
      <c r="C373" s="3" t="s">
        <v>862</v>
      </c>
      <c r="D373" s="4" t="s">
        <v>860</v>
      </c>
      <c r="E373" s="4" t="s">
        <v>861</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20</v>
      </c>
      <c r="AF373" s="3">
        <v>-20</v>
      </c>
      <c r="AG373" s="3">
        <v>0</v>
      </c>
      <c r="AH373" s="3">
        <v>0</v>
      </c>
      <c r="AI373" s="3">
        <v>0</v>
      </c>
      <c r="AJ373" s="3">
        <v>0</v>
      </c>
      <c r="AK373" s="3">
        <v>0</v>
      </c>
      <c r="AL373" s="3" t="s">
        <v>31</v>
      </c>
      <c r="AM373" s="3" t="s">
        <v>122</v>
      </c>
      <c r="AN373" s="3" t="s">
        <v>2019</v>
      </c>
      <c r="AO373" s="3" t="s">
        <v>1847</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872</v>
      </c>
      <c r="BE373" s="6" t="s">
        <v>50</v>
      </c>
      <c r="BF373" s="6" t="s">
        <v>50</v>
      </c>
      <c r="BG373" s="6" t="s">
        <v>50</v>
      </c>
      <c r="BH373" s="6" t="s">
        <v>50</v>
      </c>
      <c r="BI373">
        <v>1</v>
      </c>
      <c r="BJ373">
        <v>600</v>
      </c>
      <c r="BK373">
        <v>1</v>
      </c>
      <c r="BL373">
        <v>10</v>
      </c>
      <c r="BM373">
        <v>0</v>
      </c>
      <c r="BN373">
        <v>0</v>
      </c>
      <c r="BO373">
        <v>0</v>
      </c>
      <c r="BP373" s="6" t="s">
        <v>50</v>
      </c>
      <c r="BQ373">
        <v>0</v>
      </c>
      <c r="BR373" s="6" t="s">
        <v>3615</v>
      </c>
      <c r="BS373">
        <v>20</v>
      </c>
      <c r="BT373" s="6" t="s">
        <v>50</v>
      </c>
      <c r="BU373">
        <v>0</v>
      </c>
    </row>
    <row r="374" spans="1:73" ht="15.75" customHeight="1" x14ac:dyDescent="0.2">
      <c r="A374" s="3">
        <f t="shared" si="5"/>
        <v>2372</v>
      </c>
      <c r="B374" s="3" t="s">
        <v>1291</v>
      </c>
      <c r="C374" s="3" t="s">
        <v>847</v>
      </c>
      <c r="D374" s="4" t="s">
        <v>1517</v>
      </c>
      <c r="E374" s="4" t="s">
        <v>1474</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20</v>
      </c>
      <c r="AF374" s="3">
        <v>-20</v>
      </c>
      <c r="AG374" s="3">
        <v>10</v>
      </c>
      <c r="AH374" s="3">
        <v>0</v>
      </c>
      <c r="AI374" s="3">
        <v>0</v>
      </c>
      <c r="AJ374" s="3">
        <v>0</v>
      </c>
      <c r="AK374" s="3">
        <v>0</v>
      </c>
      <c r="AL374" s="3" t="s">
        <v>31</v>
      </c>
      <c r="AM374" s="3" t="s">
        <v>122</v>
      </c>
      <c r="AN374" s="3" t="s">
        <v>2019</v>
      </c>
      <c r="AO374" s="3" t="s">
        <v>1847</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1262</v>
      </c>
      <c r="BE374" s="6" t="s">
        <v>50</v>
      </c>
      <c r="BF374" s="6" t="s">
        <v>50</v>
      </c>
      <c r="BG374" s="6" t="s">
        <v>50</v>
      </c>
      <c r="BH374" s="6" t="s">
        <v>50</v>
      </c>
      <c r="BI374">
        <v>1</v>
      </c>
      <c r="BJ374">
        <v>602</v>
      </c>
      <c r="BK374">
        <v>4</v>
      </c>
      <c r="BL374">
        <v>10</v>
      </c>
      <c r="BM374">
        <v>0</v>
      </c>
      <c r="BN374">
        <v>0</v>
      </c>
      <c r="BO374">
        <v>0</v>
      </c>
      <c r="BP374" s="6" t="s">
        <v>50</v>
      </c>
      <c r="BQ374">
        <v>0</v>
      </c>
      <c r="BR374" s="6" t="s">
        <v>3615</v>
      </c>
      <c r="BS374">
        <v>20</v>
      </c>
      <c r="BT374" s="6" t="s">
        <v>50</v>
      </c>
      <c r="BU374">
        <v>0</v>
      </c>
    </row>
    <row r="375" spans="1:73" ht="15.75" customHeight="1" x14ac:dyDescent="0.2">
      <c r="A375" s="3">
        <f t="shared" si="5"/>
        <v>2373</v>
      </c>
      <c r="B375" s="3" t="s">
        <v>946</v>
      </c>
      <c r="C375" s="3" t="s">
        <v>832</v>
      </c>
      <c r="D375" s="4" t="s">
        <v>833</v>
      </c>
      <c r="E375" s="4" t="s">
        <v>834</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20</v>
      </c>
      <c r="AF375" s="3">
        <v>-20</v>
      </c>
      <c r="AG375" s="3">
        <v>10</v>
      </c>
      <c r="AH375" s="3">
        <v>0</v>
      </c>
      <c r="AI375" s="3">
        <v>0</v>
      </c>
      <c r="AJ375" s="3">
        <v>0</v>
      </c>
      <c r="AK375" s="3">
        <v>0</v>
      </c>
      <c r="AL375" s="3" t="s">
        <v>31</v>
      </c>
      <c r="AM375" s="3" t="s">
        <v>122</v>
      </c>
      <c r="AN375" s="3" t="s">
        <v>2019</v>
      </c>
      <c r="AO375" s="3" t="s">
        <v>1847</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835</v>
      </c>
      <c r="BE375" s="6" t="s">
        <v>50</v>
      </c>
      <c r="BF375" s="6" t="s">
        <v>50</v>
      </c>
      <c r="BG375" s="6" t="s">
        <v>50</v>
      </c>
      <c r="BH375" s="6" t="s">
        <v>50</v>
      </c>
      <c r="BI375">
        <v>1</v>
      </c>
      <c r="BJ375">
        <v>603</v>
      </c>
      <c r="BK375">
        <v>1</v>
      </c>
      <c r="BL375">
        <v>10</v>
      </c>
      <c r="BM375">
        <v>0</v>
      </c>
      <c r="BN375">
        <v>0</v>
      </c>
      <c r="BO375">
        <v>0</v>
      </c>
      <c r="BP375" s="6" t="s">
        <v>50</v>
      </c>
      <c r="BQ375">
        <v>0</v>
      </c>
      <c r="BR375" s="6" t="s">
        <v>3615</v>
      </c>
      <c r="BS375">
        <v>20</v>
      </c>
      <c r="BT375" s="6" t="s">
        <v>50</v>
      </c>
      <c r="BU375">
        <v>0</v>
      </c>
    </row>
    <row r="376" spans="1:73" ht="15.75" customHeight="1" x14ac:dyDescent="0.2">
      <c r="A376" s="3">
        <f t="shared" si="5"/>
        <v>2374</v>
      </c>
      <c r="B376" s="3" t="s">
        <v>1289</v>
      </c>
      <c r="C376" s="3" t="s">
        <v>1162</v>
      </c>
      <c r="D376" s="4" t="s">
        <v>1161</v>
      </c>
      <c r="E376" s="4" t="s">
        <v>1165</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20</v>
      </c>
      <c r="AF376" s="3">
        <v>-20</v>
      </c>
      <c r="AG376" s="3">
        <v>10</v>
      </c>
      <c r="AH376" s="3">
        <v>0</v>
      </c>
      <c r="AI376" s="3">
        <v>0</v>
      </c>
      <c r="AJ376" s="3">
        <v>0</v>
      </c>
      <c r="AK376" s="3">
        <v>0</v>
      </c>
      <c r="AL376" s="3" t="s">
        <v>31</v>
      </c>
      <c r="AM376" s="3" t="s">
        <v>122</v>
      </c>
      <c r="AN376" s="3" t="s">
        <v>2019</v>
      </c>
      <c r="AO376" s="3" t="s">
        <v>1847</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1141</v>
      </c>
      <c r="BE376" s="6" t="s">
        <v>50</v>
      </c>
      <c r="BF376" s="6" t="s">
        <v>50</v>
      </c>
      <c r="BG376" s="6" t="s">
        <v>50</v>
      </c>
      <c r="BH376" s="6" t="s">
        <v>50</v>
      </c>
      <c r="BI376">
        <v>1</v>
      </c>
      <c r="BJ376">
        <v>604</v>
      </c>
      <c r="BK376">
        <v>2</v>
      </c>
      <c r="BL376">
        <v>10</v>
      </c>
      <c r="BM376">
        <v>0</v>
      </c>
      <c r="BN376">
        <v>0</v>
      </c>
      <c r="BO376">
        <v>0</v>
      </c>
      <c r="BP376" s="6" t="s">
        <v>50</v>
      </c>
      <c r="BQ376">
        <v>0</v>
      </c>
      <c r="BR376" s="6" t="s">
        <v>3615</v>
      </c>
      <c r="BS376">
        <v>20</v>
      </c>
      <c r="BT376" s="6" t="s">
        <v>50</v>
      </c>
      <c r="BU376">
        <v>0</v>
      </c>
    </row>
    <row r="377" spans="1:73" ht="15.75" customHeight="1" x14ac:dyDescent="0.2">
      <c r="A377" s="3">
        <f t="shared" si="5"/>
        <v>2375</v>
      </c>
      <c r="B377" s="3" t="s">
        <v>1290</v>
      </c>
      <c r="C377" s="3" t="s">
        <v>1164</v>
      </c>
      <c r="D377" s="4" t="s">
        <v>1163</v>
      </c>
      <c r="E377" s="4" t="s">
        <v>1166</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10</v>
      </c>
      <c r="AH377" s="3">
        <v>0</v>
      </c>
      <c r="AI377" s="3">
        <v>0</v>
      </c>
      <c r="AJ377" s="3">
        <v>0</v>
      </c>
      <c r="AK377" s="3">
        <v>0</v>
      </c>
      <c r="AL377" s="3" t="s">
        <v>31</v>
      </c>
      <c r="AM377" s="3" t="s">
        <v>122</v>
      </c>
      <c r="AN377" s="3" t="s">
        <v>2019</v>
      </c>
      <c r="AO377" s="3" t="s">
        <v>1847</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1142</v>
      </c>
      <c r="BE377" s="6" t="s">
        <v>50</v>
      </c>
      <c r="BF377" s="6" t="s">
        <v>50</v>
      </c>
      <c r="BG377" s="6" t="s">
        <v>50</v>
      </c>
      <c r="BH377" s="6" t="s">
        <v>50</v>
      </c>
      <c r="BI377">
        <v>1</v>
      </c>
      <c r="BJ377">
        <v>605</v>
      </c>
      <c r="BK377">
        <v>2</v>
      </c>
      <c r="BL377">
        <v>10</v>
      </c>
      <c r="BM377">
        <v>0</v>
      </c>
      <c r="BN377">
        <v>0</v>
      </c>
      <c r="BO377">
        <v>0</v>
      </c>
      <c r="BP377" s="6" t="s">
        <v>50</v>
      </c>
      <c r="BQ377">
        <v>0</v>
      </c>
      <c r="BR377" s="6" t="s">
        <v>3615</v>
      </c>
      <c r="BS377">
        <v>20</v>
      </c>
      <c r="BT377" s="6" t="s">
        <v>50</v>
      </c>
      <c r="BU377">
        <v>0</v>
      </c>
    </row>
    <row r="378" spans="1:73" ht="15.75" customHeight="1" x14ac:dyDescent="0.2">
      <c r="A378" s="3">
        <f t="shared" si="5"/>
        <v>2376</v>
      </c>
      <c r="B378" s="3" t="s">
        <v>1292</v>
      </c>
      <c r="C378" s="3" t="s">
        <v>1169</v>
      </c>
      <c r="D378" s="4" t="s">
        <v>1167</v>
      </c>
      <c r="E378" s="4" t="s">
        <v>1168</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20</v>
      </c>
      <c r="AF378" s="3">
        <v>-20</v>
      </c>
      <c r="AG378" s="3">
        <v>20</v>
      </c>
      <c r="AH378" s="3">
        <v>0</v>
      </c>
      <c r="AI378" s="3">
        <v>0</v>
      </c>
      <c r="AJ378" s="3">
        <v>0</v>
      </c>
      <c r="AK378" s="3">
        <v>0</v>
      </c>
      <c r="AL378" s="3" t="s">
        <v>31</v>
      </c>
      <c r="AM378" s="3" t="s">
        <v>122</v>
      </c>
      <c r="AN378" s="3" t="s">
        <v>2020</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1143</v>
      </c>
      <c r="BE378" s="6" t="s">
        <v>50</v>
      </c>
      <c r="BF378" s="6" t="s">
        <v>50</v>
      </c>
      <c r="BG378" s="6" t="s">
        <v>50</v>
      </c>
      <c r="BH378" s="6" t="s">
        <v>50</v>
      </c>
      <c r="BI378">
        <v>1</v>
      </c>
      <c r="BJ378">
        <v>606</v>
      </c>
      <c r="BK378">
        <v>4</v>
      </c>
      <c r="BL378">
        <v>10</v>
      </c>
      <c r="BM378">
        <v>0</v>
      </c>
      <c r="BN378">
        <v>0</v>
      </c>
      <c r="BO378">
        <v>0</v>
      </c>
      <c r="BP378" s="6" t="s">
        <v>50</v>
      </c>
      <c r="BQ378">
        <v>0</v>
      </c>
      <c r="BR378" s="6" t="s">
        <v>3615</v>
      </c>
      <c r="BS378">
        <v>20</v>
      </c>
      <c r="BT378" s="6" t="s">
        <v>3647</v>
      </c>
      <c r="BU378">
        <v>30</v>
      </c>
    </row>
    <row r="379" spans="1:73" ht="15.75" customHeight="1" x14ac:dyDescent="0.2">
      <c r="A379" s="3">
        <f t="shared" si="5"/>
        <v>2377</v>
      </c>
      <c r="B379" s="3" t="s">
        <v>947</v>
      </c>
      <c r="C379" s="3" t="s">
        <v>945</v>
      </c>
      <c r="D379" s="4" t="s">
        <v>943</v>
      </c>
      <c r="E379" s="4" t="s">
        <v>944</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2019</v>
      </c>
      <c r="AO379" s="3" t="s">
        <v>1847</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917</v>
      </c>
      <c r="BE379" s="6" t="s">
        <v>50</v>
      </c>
      <c r="BF379" s="6" t="s">
        <v>50</v>
      </c>
      <c r="BG379" s="6" t="s">
        <v>50</v>
      </c>
      <c r="BH379" s="6" t="s">
        <v>50</v>
      </c>
      <c r="BI379">
        <v>1</v>
      </c>
      <c r="BJ379">
        <v>607</v>
      </c>
      <c r="BK379">
        <v>3</v>
      </c>
      <c r="BL379">
        <v>10</v>
      </c>
      <c r="BM379">
        <v>0</v>
      </c>
      <c r="BN379">
        <v>0</v>
      </c>
      <c r="BO379">
        <v>1</v>
      </c>
      <c r="BP379" s="6" t="s">
        <v>50</v>
      </c>
      <c r="BQ379">
        <v>0</v>
      </c>
      <c r="BR379" s="6" t="s">
        <v>3615</v>
      </c>
      <c r="BS379">
        <v>20</v>
      </c>
      <c r="BT379" s="6" t="s">
        <v>50</v>
      </c>
      <c r="BU379">
        <v>0</v>
      </c>
    </row>
    <row r="380" spans="1:73" ht="15.75" customHeight="1" x14ac:dyDescent="0.2">
      <c r="A380" s="3">
        <f t="shared" si="5"/>
        <v>2378</v>
      </c>
      <c r="B380" s="3" t="s">
        <v>1823</v>
      </c>
      <c r="C380" s="3" t="s">
        <v>1824</v>
      </c>
      <c r="D380" s="4" t="s">
        <v>1825</v>
      </c>
      <c r="E380" s="4" t="s">
        <v>1826</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5</v>
      </c>
      <c r="AH380" s="3">
        <v>0</v>
      </c>
      <c r="AI380" s="3">
        <v>0</v>
      </c>
      <c r="AJ380" s="3">
        <v>0</v>
      </c>
      <c r="AK380" s="3">
        <v>0</v>
      </c>
      <c r="AL380" s="3" t="s">
        <v>157</v>
      </c>
      <c r="AM380" s="3" t="s">
        <v>122</v>
      </c>
      <c r="AN380" s="3" t="s">
        <v>2019</v>
      </c>
      <c r="AO380" s="3" t="s">
        <v>1847</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1841</v>
      </c>
      <c r="BE380" s="6" t="s">
        <v>50</v>
      </c>
      <c r="BF380" s="6" t="s">
        <v>50</v>
      </c>
      <c r="BG380" s="6" t="s">
        <v>50</v>
      </c>
      <c r="BH380" s="6" t="s">
        <v>50</v>
      </c>
      <c r="BI380">
        <v>1</v>
      </c>
      <c r="BJ380">
        <v>608</v>
      </c>
      <c r="BK380">
        <v>3</v>
      </c>
      <c r="BL380">
        <v>10</v>
      </c>
      <c r="BM380">
        <v>0</v>
      </c>
      <c r="BN380">
        <v>0</v>
      </c>
      <c r="BO380">
        <v>1</v>
      </c>
      <c r="BP380" s="6" t="s">
        <v>50</v>
      </c>
      <c r="BQ380">
        <v>0</v>
      </c>
      <c r="BR380" s="6" t="s">
        <v>3615</v>
      </c>
      <c r="BS380">
        <v>20</v>
      </c>
      <c r="BT380" s="6" t="s">
        <v>50</v>
      </c>
      <c r="BU380">
        <v>0</v>
      </c>
    </row>
    <row r="381" spans="1:73" s="23" customFormat="1" ht="15.75" customHeight="1" x14ac:dyDescent="0.2">
      <c r="A381" s="21">
        <f t="shared" si="5"/>
        <v>2379</v>
      </c>
      <c r="B381" s="21" t="s">
        <v>97</v>
      </c>
      <c r="C381" s="21" t="s">
        <v>2338</v>
      </c>
      <c r="D381" s="22" t="s">
        <v>2339</v>
      </c>
      <c r="E381" s="22" t="s">
        <v>2278</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2012</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c r="BP381" s="24" t="s">
        <v>50</v>
      </c>
      <c r="BQ381" s="23">
        <v>0</v>
      </c>
      <c r="BR381" s="24" t="s">
        <v>50</v>
      </c>
      <c r="BS381" s="23">
        <v>0</v>
      </c>
      <c r="BT381" s="24" t="s">
        <v>50</v>
      </c>
      <c r="BU381" s="23">
        <v>0</v>
      </c>
    </row>
    <row r="382" spans="1:73" ht="15.75" customHeight="1" x14ac:dyDescent="0.2">
      <c r="A382" s="3">
        <f t="shared" si="5"/>
        <v>2380</v>
      </c>
      <c r="B382" s="3" t="s">
        <v>384</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10</v>
      </c>
      <c r="AF382" s="3">
        <v>-10</v>
      </c>
      <c r="AG382" s="3">
        <v>0</v>
      </c>
      <c r="AH382" s="3">
        <v>0</v>
      </c>
      <c r="AI382" s="3">
        <v>0</v>
      </c>
      <c r="AJ382" s="3">
        <v>0</v>
      </c>
      <c r="AK382" s="3">
        <v>0</v>
      </c>
      <c r="AL382" s="3" t="s">
        <v>31</v>
      </c>
      <c r="AM382" s="3" t="s">
        <v>123</v>
      </c>
      <c r="AN382" s="3" t="s">
        <v>2021</v>
      </c>
      <c r="AO382" s="3" t="s">
        <v>1848</v>
      </c>
      <c r="AP382" s="3">
        <v>30</v>
      </c>
      <c r="AQ382" s="3">
        <v>1.2</v>
      </c>
      <c r="AR382">
        <v>300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c r="BP382" s="6" t="s">
        <v>50</v>
      </c>
      <c r="BQ382">
        <v>0</v>
      </c>
      <c r="BR382" s="6" t="s">
        <v>50</v>
      </c>
      <c r="BS382">
        <v>0</v>
      </c>
      <c r="BT382" s="6" t="s">
        <v>50</v>
      </c>
      <c r="BU382">
        <v>0</v>
      </c>
    </row>
    <row r="383" spans="1:73" ht="15.75" customHeight="1" x14ac:dyDescent="0.2">
      <c r="A383" s="3">
        <f t="shared" si="5"/>
        <v>2381</v>
      </c>
      <c r="B383" s="3" t="s">
        <v>1598</v>
      </c>
      <c r="C383" s="3" t="s">
        <v>1590</v>
      </c>
      <c r="D383" s="4" t="s">
        <v>1589</v>
      </c>
      <c r="E383" s="4" t="s">
        <v>1591</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60</v>
      </c>
      <c r="Z383" s="3">
        <v>0</v>
      </c>
      <c r="AA383" s="3">
        <v>0</v>
      </c>
      <c r="AB383" s="3">
        <v>0</v>
      </c>
      <c r="AC383" s="3">
        <v>0</v>
      </c>
      <c r="AD383" s="3">
        <v>0</v>
      </c>
      <c r="AE383" s="3">
        <v>10</v>
      </c>
      <c r="AF383" s="3">
        <v>-10</v>
      </c>
      <c r="AG383" s="3">
        <v>0</v>
      </c>
      <c r="AH383" s="3">
        <v>0</v>
      </c>
      <c r="AI383" s="3">
        <v>0</v>
      </c>
      <c r="AJ383" s="3">
        <v>0</v>
      </c>
      <c r="AK383" s="3">
        <v>0</v>
      </c>
      <c r="AL383" s="3" t="s">
        <v>31</v>
      </c>
      <c r="AM383" s="3" t="s">
        <v>123</v>
      </c>
      <c r="AN383" s="3" t="s">
        <v>2021</v>
      </c>
      <c r="AO383" s="3" t="s">
        <v>1847</v>
      </c>
      <c r="AP383" s="3">
        <v>30</v>
      </c>
      <c r="AQ383" s="3">
        <v>1.5</v>
      </c>
      <c r="AR383">
        <v>300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c r="BP383" s="6" t="s">
        <v>50</v>
      </c>
      <c r="BQ383">
        <v>0</v>
      </c>
      <c r="BR383" s="6" t="s">
        <v>50</v>
      </c>
      <c r="BS383">
        <v>0</v>
      </c>
      <c r="BT383" s="6" t="s">
        <v>50</v>
      </c>
      <c r="BU383">
        <v>0</v>
      </c>
    </row>
    <row r="384" spans="1:73" s="37" customFormat="1" ht="15.75" customHeight="1" x14ac:dyDescent="0.2">
      <c r="A384" s="34">
        <f t="shared" si="5"/>
        <v>2382</v>
      </c>
      <c r="B384" s="34" t="s">
        <v>384</v>
      </c>
      <c r="C384" s="34" t="s">
        <v>3633</v>
      </c>
      <c r="D384" s="36" t="s">
        <v>3634</v>
      </c>
      <c r="E384" s="36" t="s">
        <v>3635</v>
      </c>
      <c r="F384" s="34">
        <v>0</v>
      </c>
      <c r="G384" s="34">
        <v>100</v>
      </c>
      <c r="H384" s="34">
        <v>0</v>
      </c>
      <c r="I384" s="34">
        <v>20</v>
      </c>
      <c r="J384" s="34">
        <v>0</v>
      </c>
      <c r="K384" s="34">
        <v>1</v>
      </c>
      <c r="L384" s="34">
        <v>0</v>
      </c>
      <c r="M384" s="34">
        <v>0</v>
      </c>
      <c r="N384" s="34">
        <v>0</v>
      </c>
      <c r="O384" s="34">
        <v>0</v>
      </c>
      <c r="P384" s="34">
        <v>0</v>
      </c>
      <c r="Q384" s="34">
        <v>0</v>
      </c>
      <c r="R384" s="34">
        <v>0</v>
      </c>
      <c r="S384" s="34">
        <v>0</v>
      </c>
      <c r="T384" s="34">
        <v>0</v>
      </c>
      <c r="U384" s="34">
        <v>0</v>
      </c>
      <c r="V384" s="34">
        <v>0</v>
      </c>
      <c r="W384" s="34">
        <v>0</v>
      </c>
      <c r="X384" s="34">
        <v>0</v>
      </c>
      <c r="Y384" s="34">
        <v>50</v>
      </c>
      <c r="Z384" s="34">
        <v>0</v>
      </c>
      <c r="AA384" s="34">
        <v>0</v>
      </c>
      <c r="AB384" s="34">
        <v>0</v>
      </c>
      <c r="AC384" s="34">
        <v>0</v>
      </c>
      <c r="AD384" s="34">
        <v>0</v>
      </c>
      <c r="AE384" s="34">
        <v>10</v>
      </c>
      <c r="AF384" s="34">
        <v>-10</v>
      </c>
      <c r="AG384" s="34">
        <v>0</v>
      </c>
      <c r="AH384" s="34">
        <v>0</v>
      </c>
      <c r="AI384" s="34">
        <v>0</v>
      </c>
      <c r="AJ384" s="34">
        <v>0</v>
      </c>
      <c r="AK384" s="34">
        <v>0</v>
      </c>
      <c r="AL384" s="34" t="s">
        <v>31</v>
      </c>
      <c r="AM384" s="34" t="s">
        <v>123</v>
      </c>
      <c r="AN384" s="34" t="s">
        <v>2021</v>
      </c>
      <c r="AO384" s="34" t="s">
        <v>50</v>
      </c>
      <c r="AP384" s="34">
        <v>30</v>
      </c>
      <c r="AQ384" s="34">
        <v>1.2</v>
      </c>
      <c r="AR384" s="37">
        <v>300</v>
      </c>
      <c r="AS384" s="37">
        <v>10</v>
      </c>
      <c r="AT384" s="38" t="s">
        <v>50</v>
      </c>
      <c r="AU384" s="38" t="s">
        <v>50</v>
      </c>
      <c r="AV384" s="38" t="s">
        <v>50</v>
      </c>
      <c r="AW384" s="38" t="s">
        <v>50</v>
      </c>
      <c r="AX384" s="38" t="s">
        <v>50</v>
      </c>
      <c r="AY384" s="38" t="s">
        <v>50</v>
      </c>
      <c r="AZ384" s="38" t="s">
        <v>50</v>
      </c>
      <c r="BA384" s="38" t="s">
        <v>50</v>
      </c>
      <c r="BB384" s="38" t="s">
        <v>50</v>
      </c>
      <c r="BC384" s="38" t="s">
        <v>50</v>
      </c>
      <c r="BD384" s="38" t="s">
        <v>123</v>
      </c>
      <c r="BE384" s="38" t="s">
        <v>50</v>
      </c>
      <c r="BF384" s="38" t="s">
        <v>50</v>
      </c>
      <c r="BG384" s="38" t="s">
        <v>50</v>
      </c>
      <c r="BH384" s="38" t="s">
        <v>50</v>
      </c>
      <c r="BI384" s="37">
        <v>1</v>
      </c>
      <c r="BJ384" s="37">
        <v>630</v>
      </c>
      <c r="BK384" s="37">
        <v>2</v>
      </c>
      <c r="BL384" s="37">
        <v>10</v>
      </c>
      <c r="BM384" s="37">
        <v>0</v>
      </c>
      <c r="BN384" s="37">
        <v>0</v>
      </c>
      <c r="BO384" s="37">
        <v>1</v>
      </c>
      <c r="BP384" s="38" t="s">
        <v>50</v>
      </c>
      <c r="BQ384" s="37">
        <v>0</v>
      </c>
      <c r="BR384" s="38" t="s">
        <v>50</v>
      </c>
      <c r="BS384" s="37">
        <v>0</v>
      </c>
      <c r="BT384" s="38" t="s">
        <v>50</v>
      </c>
      <c r="BU384" s="37">
        <v>0</v>
      </c>
    </row>
    <row r="385" spans="1:73" ht="15.75" customHeight="1" x14ac:dyDescent="0.2">
      <c r="A385" s="3">
        <f t="shared" si="5"/>
        <v>2383</v>
      </c>
      <c r="B385" s="3" t="s">
        <v>1840</v>
      </c>
      <c r="C385" s="3" t="s">
        <v>1840</v>
      </c>
      <c r="D385" s="4" t="s">
        <v>1833</v>
      </c>
      <c r="E385" s="4" t="s">
        <v>1834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70</v>
      </c>
      <c r="Z385" s="3">
        <v>0</v>
      </c>
      <c r="AA385" s="3">
        <v>0</v>
      </c>
      <c r="AB385" s="3">
        <v>0</v>
      </c>
      <c r="AC385" s="3">
        <v>0</v>
      </c>
      <c r="AD385" s="3">
        <v>0</v>
      </c>
      <c r="AE385" s="3">
        <v>20</v>
      </c>
      <c r="AF385" s="3">
        <v>-20</v>
      </c>
      <c r="AG385" s="3">
        <v>0</v>
      </c>
      <c r="AH385" s="3">
        <v>0</v>
      </c>
      <c r="AI385" s="3">
        <v>0</v>
      </c>
      <c r="AJ385" s="3">
        <v>0</v>
      </c>
      <c r="AK385" s="3">
        <v>0</v>
      </c>
      <c r="AL385" s="3" t="s">
        <v>31</v>
      </c>
      <c r="AM385" s="3" t="s">
        <v>123</v>
      </c>
      <c r="AN385" s="3" t="s">
        <v>2609</v>
      </c>
      <c r="AO385" s="3" t="s">
        <v>50</v>
      </c>
      <c r="AP385" s="3">
        <v>40</v>
      </c>
      <c r="AQ385" s="3">
        <v>1.4</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1841</v>
      </c>
      <c r="BF385" s="6" t="s">
        <v>50</v>
      </c>
      <c r="BG385" s="6" t="s">
        <v>50</v>
      </c>
      <c r="BH385" s="6" t="s">
        <v>50</v>
      </c>
      <c r="BI385">
        <v>1</v>
      </c>
      <c r="BJ385">
        <v>632</v>
      </c>
      <c r="BK385">
        <v>3</v>
      </c>
      <c r="BL385">
        <v>10</v>
      </c>
      <c r="BM385">
        <v>0</v>
      </c>
      <c r="BN385">
        <v>0</v>
      </c>
      <c r="BO385">
        <v>0</v>
      </c>
      <c r="BP385" s="6" t="s">
        <v>50</v>
      </c>
      <c r="BQ385">
        <v>0</v>
      </c>
      <c r="BR385" s="6" t="s">
        <v>50</v>
      </c>
      <c r="BS385">
        <v>0</v>
      </c>
      <c r="BT385" s="6" t="s">
        <v>50</v>
      </c>
      <c r="BU385">
        <v>0</v>
      </c>
    </row>
    <row r="386" spans="1:73" ht="15.75" customHeight="1" x14ac:dyDescent="0.2">
      <c r="A386" s="3">
        <f t="shared" si="5"/>
        <v>2384</v>
      </c>
      <c r="B386" s="3" t="s">
        <v>2962</v>
      </c>
      <c r="C386" s="3" t="s">
        <v>2962</v>
      </c>
      <c r="D386" s="4" t="s">
        <v>2963</v>
      </c>
      <c r="E386" s="4" t="s">
        <v>2964</v>
      </c>
      <c r="F386" s="3">
        <v>0</v>
      </c>
      <c r="G386" s="3">
        <v>100</v>
      </c>
      <c r="H386" s="3">
        <v>0</v>
      </c>
      <c r="I386" s="3">
        <v>20</v>
      </c>
      <c r="J386" s="3">
        <v>0</v>
      </c>
      <c r="K386" s="3">
        <v>1</v>
      </c>
      <c r="L386" s="3">
        <v>0</v>
      </c>
      <c r="M386" s="3">
        <v>0</v>
      </c>
      <c r="N386" s="3">
        <v>0</v>
      </c>
      <c r="O386" s="3">
        <v>0</v>
      </c>
      <c r="P386" s="3">
        <v>0</v>
      </c>
      <c r="Q386" s="3">
        <v>0</v>
      </c>
      <c r="R386" s="3">
        <v>0</v>
      </c>
      <c r="S386" s="3">
        <v>0</v>
      </c>
      <c r="T386" s="3">
        <v>0</v>
      </c>
      <c r="U386" s="3">
        <v>0</v>
      </c>
      <c r="V386" s="3">
        <v>0</v>
      </c>
      <c r="W386" s="3">
        <v>0</v>
      </c>
      <c r="X386" s="3">
        <v>0</v>
      </c>
      <c r="Y386" s="3">
        <v>100</v>
      </c>
      <c r="Z386" s="3">
        <v>0</v>
      </c>
      <c r="AA386" s="3">
        <v>0</v>
      </c>
      <c r="AB386" s="3">
        <v>0</v>
      </c>
      <c r="AC386" s="3">
        <v>0</v>
      </c>
      <c r="AD386" s="3">
        <v>0</v>
      </c>
      <c r="AE386" s="3">
        <v>-10</v>
      </c>
      <c r="AF386" s="3">
        <v>10</v>
      </c>
      <c r="AG386" s="3">
        <v>10</v>
      </c>
      <c r="AH386" s="3">
        <v>0</v>
      </c>
      <c r="AI386" s="3">
        <v>0</v>
      </c>
      <c r="AJ386" s="3">
        <v>0</v>
      </c>
      <c r="AK386" s="3">
        <v>0</v>
      </c>
      <c r="AL386" s="3" t="s">
        <v>31</v>
      </c>
      <c r="AM386" s="3" t="s">
        <v>123</v>
      </c>
      <c r="AN386" s="3" t="s">
        <v>2609</v>
      </c>
      <c r="AO386" s="3" t="s">
        <v>50</v>
      </c>
      <c r="AP386" s="3">
        <v>40</v>
      </c>
      <c r="AQ386" s="3">
        <v>1.9</v>
      </c>
      <c r="AR386">
        <v>500</v>
      </c>
      <c r="AS386">
        <v>10</v>
      </c>
      <c r="AT386" s="6" t="s">
        <v>50</v>
      </c>
      <c r="AU386" s="6" t="s">
        <v>50</v>
      </c>
      <c r="AV386" s="6" t="s">
        <v>50</v>
      </c>
      <c r="AW386" s="6" t="s">
        <v>50</v>
      </c>
      <c r="AX386" s="6" t="s">
        <v>50</v>
      </c>
      <c r="AY386" s="6" t="s">
        <v>50</v>
      </c>
      <c r="AZ386" s="6" t="s">
        <v>50</v>
      </c>
      <c r="BA386" s="6" t="s">
        <v>50</v>
      </c>
      <c r="BB386" s="6" t="s">
        <v>50</v>
      </c>
      <c r="BC386" s="6" t="s">
        <v>50</v>
      </c>
      <c r="BD386" s="6" t="s">
        <v>123</v>
      </c>
      <c r="BE386" s="6" t="s">
        <v>1841</v>
      </c>
      <c r="BF386" s="6" t="s">
        <v>50</v>
      </c>
      <c r="BG386" s="6" t="s">
        <v>50</v>
      </c>
      <c r="BH386" s="6" t="s">
        <v>50</v>
      </c>
      <c r="BI386">
        <v>1</v>
      </c>
      <c r="BJ386">
        <v>633</v>
      </c>
      <c r="BK386">
        <v>3</v>
      </c>
      <c r="BL386">
        <v>10</v>
      </c>
      <c r="BM386">
        <v>1</v>
      </c>
      <c r="BN386">
        <v>0</v>
      </c>
      <c r="BO386">
        <v>0</v>
      </c>
      <c r="BP386" s="6" t="s">
        <v>50</v>
      </c>
      <c r="BQ386">
        <v>0</v>
      </c>
      <c r="BR386" s="6" t="s">
        <v>50</v>
      </c>
      <c r="BS386">
        <v>0</v>
      </c>
      <c r="BT386" s="6" t="s">
        <v>50</v>
      </c>
      <c r="BU386">
        <v>0</v>
      </c>
    </row>
    <row r="387" spans="1:73" s="9" customFormat="1" ht="15.75" customHeight="1" x14ac:dyDescent="0.2">
      <c r="A387" s="3">
        <f t="shared" si="5"/>
        <v>2385</v>
      </c>
      <c r="B387" s="7" t="s">
        <v>87</v>
      </c>
      <c r="C387" s="7" t="s">
        <v>114</v>
      </c>
      <c r="D387" s="11" t="s">
        <v>102</v>
      </c>
      <c r="E387" s="11" t="s">
        <v>1004</v>
      </c>
      <c r="F387" s="7">
        <v>0</v>
      </c>
      <c r="G387" s="7">
        <v>300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80</v>
      </c>
      <c r="Z387" s="7">
        <v>0</v>
      </c>
      <c r="AA387" s="7">
        <v>0</v>
      </c>
      <c r="AB387" s="7">
        <v>0</v>
      </c>
      <c r="AC387" s="7">
        <v>0</v>
      </c>
      <c r="AD387" s="7">
        <v>0</v>
      </c>
      <c r="AE387" s="7">
        <v>0</v>
      </c>
      <c r="AF387" s="7">
        <v>0</v>
      </c>
      <c r="AG387" s="7">
        <v>0</v>
      </c>
      <c r="AH387" s="7">
        <v>0</v>
      </c>
      <c r="AI387" s="7">
        <v>0</v>
      </c>
      <c r="AJ387" s="7">
        <v>0</v>
      </c>
      <c r="AK387" s="7">
        <v>0</v>
      </c>
      <c r="AL387" s="7" t="s">
        <v>31</v>
      </c>
      <c r="AM387" s="7" t="s">
        <v>121</v>
      </c>
      <c r="AN387" s="7" t="s">
        <v>2022</v>
      </c>
      <c r="AO387" s="7" t="s">
        <v>1847</v>
      </c>
      <c r="AP387" s="7">
        <v>30</v>
      </c>
      <c r="AQ387" s="7">
        <v>1</v>
      </c>
      <c r="AR387" s="9">
        <v>9999</v>
      </c>
      <c r="AS387" s="7">
        <v>999</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c r="BP387" s="10" t="s">
        <v>50</v>
      </c>
      <c r="BQ387" s="9">
        <v>0</v>
      </c>
      <c r="BR387" s="10" t="s">
        <v>50</v>
      </c>
      <c r="BS387" s="9">
        <v>0</v>
      </c>
      <c r="BT387" s="10" t="s">
        <v>50</v>
      </c>
      <c r="BU387" s="9">
        <v>0</v>
      </c>
    </row>
    <row r="388" spans="1:73" s="9" customFormat="1" ht="15.75" customHeight="1" x14ac:dyDescent="0.2">
      <c r="A388" s="3">
        <f t="shared" si="5"/>
        <v>2386</v>
      </c>
      <c r="B388" s="7" t="s">
        <v>384</v>
      </c>
      <c r="C388" s="7" t="s">
        <v>115</v>
      </c>
      <c r="D388" s="11" t="s">
        <v>103</v>
      </c>
      <c r="E388" s="11" t="s">
        <v>109</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2021</v>
      </c>
      <c r="AO388" s="7" t="s">
        <v>1847</v>
      </c>
      <c r="AP388" s="7">
        <v>30</v>
      </c>
      <c r="AQ388" s="7">
        <v>1</v>
      </c>
      <c r="AR388" s="9">
        <v>150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c r="BP388" s="10" t="s">
        <v>50</v>
      </c>
      <c r="BQ388" s="9">
        <v>0</v>
      </c>
      <c r="BR388" s="10" t="s">
        <v>50</v>
      </c>
      <c r="BS388" s="9">
        <v>0</v>
      </c>
      <c r="BT388" s="10" t="s">
        <v>50</v>
      </c>
      <c r="BU388" s="9">
        <v>0</v>
      </c>
    </row>
    <row r="389" spans="1:73" s="9" customFormat="1" ht="15.75" customHeight="1" x14ac:dyDescent="0.2">
      <c r="A389" s="3">
        <f t="shared" si="5"/>
        <v>2387</v>
      </c>
      <c r="B389" s="7" t="s">
        <v>384</v>
      </c>
      <c r="C389" s="7" t="s">
        <v>116</v>
      </c>
      <c r="D389" s="11" t="s">
        <v>104</v>
      </c>
      <c r="E389" s="11" t="s">
        <v>110</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123</v>
      </c>
      <c r="AN389" s="7" t="s">
        <v>2021</v>
      </c>
      <c r="AO389" s="7" t="s">
        <v>1847</v>
      </c>
      <c r="AP389" s="7">
        <v>30</v>
      </c>
      <c r="AQ389" s="7">
        <v>1</v>
      </c>
      <c r="AR389" s="9">
        <v>450</v>
      </c>
      <c r="AS389" s="7">
        <v>500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c r="BP389" s="10" t="s">
        <v>50</v>
      </c>
      <c r="BQ389" s="9">
        <v>0</v>
      </c>
      <c r="BR389" s="10" t="s">
        <v>50</v>
      </c>
      <c r="BS389" s="9">
        <v>0</v>
      </c>
      <c r="BT389" s="10" t="s">
        <v>50</v>
      </c>
      <c r="BU389" s="9">
        <v>0</v>
      </c>
    </row>
    <row r="390" spans="1:73" s="9" customFormat="1" ht="15.75" customHeight="1" x14ac:dyDescent="0.2">
      <c r="A390" s="3">
        <f t="shared" si="5"/>
        <v>2388</v>
      </c>
      <c r="B390" s="7" t="s">
        <v>97</v>
      </c>
      <c r="C390" s="7" t="s">
        <v>117</v>
      </c>
      <c r="D390" s="11" t="s">
        <v>105</v>
      </c>
      <c r="E390" s="11" t="s">
        <v>111</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122</v>
      </c>
      <c r="AN390" s="7" t="s">
        <v>2019</v>
      </c>
      <c r="AO390" s="7" t="s">
        <v>1847</v>
      </c>
      <c r="AP390" s="7">
        <v>30</v>
      </c>
      <c r="AQ390" s="7">
        <v>1</v>
      </c>
      <c r="AR390" s="9">
        <v>350</v>
      </c>
      <c r="AS390" s="7">
        <v>550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c r="BP390" s="10" t="s">
        <v>50</v>
      </c>
      <c r="BQ390" s="9">
        <v>0</v>
      </c>
      <c r="BR390" s="10" t="s">
        <v>50</v>
      </c>
      <c r="BS390" s="9">
        <v>0</v>
      </c>
      <c r="BT390" s="10" t="s">
        <v>50</v>
      </c>
      <c r="BU390" s="9">
        <v>0</v>
      </c>
    </row>
    <row r="391" spans="1:73" s="9" customFormat="1" ht="15.75" customHeight="1" x14ac:dyDescent="0.2">
      <c r="A391" s="3">
        <f t="shared" si="5"/>
        <v>2389</v>
      </c>
      <c r="B391" s="7" t="s">
        <v>87</v>
      </c>
      <c r="C391" s="7" t="s">
        <v>118</v>
      </c>
      <c r="D391" s="11" t="s">
        <v>106</v>
      </c>
      <c r="E391" s="11" t="s">
        <v>112</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91</v>
      </c>
      <c r="AN391" s="7" t="s">
        <v>1991</v>
      </c>
      <c r="AO391" s="7" t="s">
        <v>1847</v>
      </c>
      <c r="AP391" s="7">
        <v>30</v>
      </c>
      <c r="AQ391" s="7">
        <v>1</v>
      </c>
      <c r="AR391" s="9">
        <v>600</v>
      </c>
      <c r="AS391" s="7">
        <v>160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c r="BP391" s="10" t="s">
        <v>50</v>
      </c>
      <c r="BQ391" s="9">
        <v>0</v>
      </c>
      <c r="BR391" s="10" t="s">
        <v>50</v>
      </c>
      <c r="BS391" s="9">
        <v>0</v>
      </c>
      <c r="BT391" s="10" t="s">
        <v>50</v>
      </c>
      <c r="BU391" s="9">
        <v>0</v>
      </c>
    </row>
    <row r="392" spans="1:73" s="9" customFormat="1" ht="15.75" customHeight="1" x14ac:dyDescent="0.2">
      <c r="A392" s="3">
        <f t="shared" si="5"/>
        <v>2390</v>
      </c>
      <c r="B392" s="7" t="s">
        <v>87</v>
      </c>
      <c r="C392" s="7" t="s">
        <v>119</v>
      </c>
      <c r="D392" s="11" t="s">
        <v>107</v>
      </c>
      <c r="E392" s="11" t="s">
        <v>113</v>
      </c>
      <c r="F392" s="7">
        <v>0</v>
      </c>
      <c r="G392" s="7">
        <v>100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0</v>
      </c>
      <c r="Z392" s="7">
        <v>0</v>
      </c>
      <c r="AA392" s="7">
        <v>0</v>
      </c>
      <c r="AB392" s="7">
        <v>0</v>
      </c>
      <c r="AC392" s="7">
        <v>0</v>
      </c>
      <c r="AD392" s="7">
        <v>0</v>
      </c>
      <c r="AE392" s="7">
        <v>0</v>
      </c>
      <c r="AF392" s="7">
        <v>0</v>
      </c>
      <c r="AG392" s="7">
        <v>0</v>
      </c>
      <c r="AH392" s="7">
        <v>0</v>
      </c>
      <c r="AI392" s="7">
        <v>0</v>
      </c>
      <c r="AJ392" s="7">
        <v>0</v>
      </c>
      <c r="AK392" s="7">
        <v>0</v>
      </c>
      <c r="AL392" s="7" t="s">
        <v>31</v>
      </c>
      <c r="AM392" s="7" t="s">
        <v>99</v>
      </c>
      <c r="AN392" s="7" t="s">
        <v>2000</v>
      </c>
      <c r="AO392" s="7" t="s">
        <v>1847</v>
      </c>
      <c r="AP392" s="7">
        <v>30</v>
      </c>
      <c r="AQ392" s="7">
        <v>1</v>
      </c>
      <c r="AR392" s="9">
        <v>500</v>
      </c>
      <c r="AS392" s="7">
        <v>300</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v>0</v>
      </c>
      <c r="BN392">
        <v>0</v>
      </c>
      <c r="BO392" s="9">
        <v>0</v>
      </c>
      <c r="BP392" s="10" t="s">
        <v>50</v>
      </c>
      <c r="BQ392" s="9">
        <v>0</v>
      </c>
      <c r="BR392" s="10" t="s">
        <v>50</v>
      </c>
      <c r="BS392" s="9">
        <v>0</v>
      </c>
      <c r="BT392" s="10" t="s">
        <v>50</v>
      </c>
      <c r="BU392"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U104"/>
  <sheetViews>
    <sheetView topLeftCell="A8" workbookViewId="0">
      <selection activeCell="A28" sqref="A28:XFD2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73" width="8.7109375" customWidth="1"/>
  </cols>
  <sheetData>
    <row r="1" spans="1:73"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1145</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 t="shared" ref="A2:A33" si="0">ROW()+6998</f>
        <v>7000</v>
      </c>
      <c r="B2" s="3" t="s">
        <v>559</v>
      </c>
      <c r="C2" s="3" t="s">
        <v>450</v>
      </c>
      <c r="D2" s="5" t="s">
        <v>1520</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3503</v>
      </c>
      <c r="AM2" s="3" t="s">
        <v>980</v>
      </c>
      <c r="AN2" s="3" t="s">
        <v>2023</v>
      </c>
      <c r="AO2" s="3" t="s">
        <v>1847</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2023</v>
      </c>
      <c r="AO3" s="7" t="s">
        <v>1847</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row>
    <row r="4" spans="1:73"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2023</v>
      </c>
      <c r="AO4" s="3" t="s">
        <v>1847</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2023</v>
      </c>
      <c r="AO5" s="3" t="s">
        <v>1847</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2023</v>
      </c>
      <c r="AO6" s="7" t="s">
        <v>1847</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row>
    <row r="7" spans="1:73"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2023</v>
      </c>
      <c r="AO7" s="3" t="s">
        <v>1847</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2023</v>
      </c>
      <c r="AO8" s="7" t="s">
        <v>1847</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row>
    <row r="9" spans="1:73" s="9" customFormat="1" ht="15.75" customHeight="1" x14ac:dyDescent="0.2">
      <c r="A9" s="7">
        <f t="shared" si="0"/>
        <v>7007</v>
      </c>
      <c r="B9" s="7" t="s">
        <v>2081</v>
      </c>
      <c r="C9" s="7" t="s">
        <v>3007</v>
      </c>
      <c r="D9" s="11" t="s">
        <v>3593</v>
      </c>
      <c r="E9" s="11" t="s">
        <v>3006</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3012</v>
      </c>
      <c r="AO9" s="7" t="s">
        <v>50</v>
      </c>
      <c r="AP9" s="7">
        <v>0</v>
      </c>
      <c r="AQ9" s="7">
        <v>0</v>
      </c>
      <c r="AR9" s="9">
        <v>0</v>
      </c>
      <c r="AS9" s="9">
        <v>1</v>
      </c>
      <c r="AT9" s="10" t="s">
        <v>3575</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row>
    <row r="10" spans="1:73" s="9" customFormat="1" ht="15.75" customHeight="1" x14ac:dyDescent="0.2">
      <c r="A10" s="7">
        <f t="shared" si="0"/>
        <v>7008</v>
      </c>
      <c r="B10" s="7" t="s">
        <v>2081</v>
      </c>
      <c r="C10" s="7" t="s">
        <v>3008</v>
      </c>
      <c r="D10" s="11" t="s">
        <v>3594</v>
      </c>
      <c r="E10" s="11" t="s">
        <v>3006</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3012</v>
      </c>
      <c r="AO10" s="7" t="s">
        <v>50</v>
      </c>
      <c r="AP10" s="7">
        <v>0</v>
      </c>
      <c r="AQ10" s="7">
        <v>0</v>
      </c>
      <c r="AR10" s="9">
        <v>0</v>
      </c>
      <c r="AS10" s="9">
        <v>1</v>
      </c>
      <c r="AT10" s="10" t="s">
        <v>3576</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row>
    <row r="11" spans="1:73" s="9" customFormat="1" ht="15.75" customHeight="1" x14ac:dyDescent="0.2">
      <c r="A11" s="7">
        <f t="shared" si="0"/>
        <v>7009</v>
      </c>
      <c r="B11" s="7" t="s">
        <v>2081</v>
      </c>
      <c r="C11" s="7" t="s">
        <v>3009</v>
      </c>
      <c r="D11" s="11" t="s">
        <v>3595</v>
      </c>
      <c r="E11" s="11" t="s">
        <v>3006</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3012</v>
      </c>
      <c r="AO11" s="7" t="s">
        <v>50</v>
      </c>
      <c r="AP11" s="7">
        <v>0</v>
      </c>
      <c r="AQ11" s="7">
        <v>0</v>
      </c>
      <c r="AR11" s="9">
        <v>0</v>
      </c>
      <c r="AS11" s="9">
        <v>1</v>
      </c>
      <c r="AT11" s="10" t="s">
        <v>3577</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row>
    <row r="12" spans="1:73" s="9" customFormat="1" ht="15.75" customHeight="1" x14ac:dyDescent="0.2">
      <c r="A12" s="7">
        <f t="shared" si="0"/>
        <v>7010</v>
      </c>
      <c r="B12" s="7" t="s">
        <v>2081</v>
      </c>
      <c r="C12" s="7" t="s">
        <v>3010</v>
      </c>
      <c r="D12" s="11" t="s">
        <v>3170</v>
      </c>
      <c r="E12" s="11" t="s">
        <v>3011</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3579</v>
      </c>
      <c r="AO12" s="7" t="s">
        <v>50</v>
      </c>
      <c r="AP12" s="7">
        <v>0</v>
      </c>
      <c r="AQ12" s="7">
        <v>0</v>
      </c>
      <c r="AR12" s="9">
        <v>0</v>
      </c>
      <c r="AS12" s="9">
        <v>1</v>
      </c>
      <c r="AT12" s="10" t="s">
        <v>3578</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row>
    <row r="13" spans="1:73" ht="15.75" customHeight="1" x14ac:dyDescent="0.2">
      <c r="A13" s="3">
        <f t="shared" si="0"/>
        <v>7011</v>
      </c>
      <c r="B13" s="3" t="s">
        <v>3534</v>
      </c>
      <c r="C13" s="3" t="s">
        <v>460</v>
      </c>
      <c r="D13" s="5" t="s">
        <v>2911</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3013</v>
      </c>
      <c r="AO13" s="3" t="s">
        <v>1847</v>
      </c>
      <c r="AP13" s="3">
        <v>0</v>
      </c>
      <c r="AQ13" s="3">
        <v>0</v>
      </c>
      <c r="AR13">
        <v>0</v>
      </c>
      <c r="AS13">
        <v>1</v>
      </c>
      <c r="AT13" s="6" t="s">
        <v>3580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s="9" customFormat="1" ht="15.75" customHeight="1" x14ac:dyDescent="0.2">
      <c r="A14" s="3">
        <f t="shared" si="0"/>
        <v>7012</v>
      </c>
      <c r="B14" s="7" t="s">
        <v>3534</v>
      </c>
      <c r="C14" s="7" t="s">
        <v>462</v>
      </c>
      <c r="D14" s="8" t="s">
        <v>2912</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3013</v>
      </c>
      <c r="AO14" s="7" t="s">
        <v>1847</v>
      </c>
      <c r="AP14" s="7">
        <v>0</v>
      </c>
      <c r="AQ14" s="7">
        <v>0</v>
      </c>
      <c r="AR14" s="9">
        <v>0</v>
      </c>
      <c r="AS14" s="9">
        <v>1</v>
      </c>
      <c r="AT14" s="10" t="s">
        <v>3580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row>
    <row r="15" spans="1:73" s="9" customFormat="1" ht="15.75" customHeight="1" x14ac:dyDescent="0.2">
      <c r="A15" s="3">
        <f t="shared" si="0"/>
        <v>7013</v>
      </c>
      <c r="B15" s="7" t="s">
        <v>3534</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3013</v>
      </c>
      <c r="AO15" s="7" t="s">
        <v>1847</v>
      </c>
      <c r="AP15" s="7">
        <v>0</v>
      </c>
      <c r="AQ15" s="7">
        <v>0</v>
      </c>
      <c r="AR15" s="9">
        <v>0</v>
      </c>
      <c r="AS15" s="9">
        <v>1</v>
      </c>
      <c r="AT15" s="10" t="s">
        <v>3580</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row>
    <row r="16" spans="1:73" s="9" customFormat="1" ht="15.75" customHeight="1" x14ac:dyDescent="0.2">
      <c r="A16" s="3">
        <f t="shared" si="0"/>
        <v>7014</v>
      </c>
      <c r="B16" s="7" t="s">
        <v>3534</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3013</v>
      </c>
      <c r="AO16" s="7" t="s">
        <v>1847</v>
      </c>
      <c r="AP16" s="7">
        <v>0</v>
      </c>
      <c r="AQ16" s="7">
        <v>0</v>
      </c>
      <c r="AR16" s="9">
        <v>0</v>
      </c>
      <c r="AS16" s="9">
        <v>1</v>
      </c>
      <c r="AT16" s="10" t="s">
        <v>3580</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row>
    <row r="17" spans="1:73" ht="15.75" customHeight="1" x14ac:dyDescent="0.2">
      <c r="A17" s="3">
        <f t="shared" si="0"/>
        <v>7015</v>
      </c>
      <c r="B17" s="3" t="s">
        <v>3270</v>
      </c>
      <c r="C17" s="3" t="s">
        <v>3270</v>
      </c>
      <c r="D17" s="5" t="s">
        <v>3268</v>
      </c>
      <c r="E17" s="5" t="s">
        <v>3269</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2023</v>
      </c>
      <c r="AO17" s="3" t="s">
        <v>51</v>
      </c>
      <c r="AP17" s="3">
        <v>0</v>
      </c>
      <c r="AQ17" s="3">
        <v>0</v>
      </c>
      <c r="AR17">
        <v>0</v>
      </c>
      <c r="AS17">
        <v>1</v>
      </c>
      <c r="AT17" s="6" t="s">
        <v>3581</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s="37" customFormat="1" ht="15.75" customHeight="1" x14ac:dyDescent="0.2">
      <c r="A18" s="34">
        <f t="shared" si="0"/>
        <v>7016</v>
      </c>
      <c r="B18" s="34" t="s">
        <v>2765</v>
      </c>
      <c r="C18" s="34" t="s">
        <v>3636</v>
      </c>
      <c r="D18" s="48" t="s">
        <v>3637</v>
      </c>
      <c r="E18" s="39" t="s">
        <v>3638</v>
      </c>
      <c r="F18" s="34">
        <v>0</v>
      </c>
      <c r="G18" s="34">
        <v>0</v>
      </c>
      <c r="H18" s="34">
        <v>0</v>
      </c>
      <c r="I18" s="34">
        <v>0</v>
      </c>
      <c r="J18" s="34">
        <v>10</v>
      </c>
      <c r="K18" s="34">
        <v>1</v>
      </c>
      <c r="L18" s="34">
        <v>0</v>
      </c>
      <c r="M18" s="34">
        <v>0</v>
      </c>
      <c r="N18" s="34">
        <v>0</v>
      </c>
      <c r="O18" s="34">
        <v>0</v>
      </c>
      <c r="P18" s="34">
        <v>0</v>
      </c>
      <c r="Q18" s="34">
        <v>0</v>
      </c>
      <c r="R18" s="34">
        <v>0</v>
      </c>
      <c r="S18" s="34">
        <v>0</v>
      </c>
      <c r="T18" s="34">
        <v>0</v>
      </c>
      <c r="U18" s="34">
        <v>0</v>
      </c>
      <c r="V18" s="34">
        <v>0</v>
      </c>
      <c r="W18" s="34">
        <v>0</v>
      </c>
      <c r="X18" s="34">
        <v>0</v>
      </c>
      <c r="Y18" s="34">
        <v>0</v>
      </c>
      <c r="Z18" s="34">
        <v>0</v>
      </c>
      <c r="AA18" s="34">
        <v>0</v>
      </c>
      <c r="AB18" s="34">
        <v>0</v>
      </c>
      <c r="AC18" s="34">
        <v>0</v>
      </c>
      <c r="AD18" s="34">
        <v>0</v>
      </c>
      <c r="AE18" s="34">
        <v>0</v>
      </c>
      <c r="AF18" s="34">
        <v>0</v>
      </c>
      <c r="AG18" s="34">
        <v>0</v>
      </c>
      <c r="AH18" s="34">
        <v>0</v>
      </c>
      <c r="AI18" s="34">
        <v>0</v>
      </c>
      <c r="AJ18" s="34">
        <v>0</v>
      </c>
      <c r="AK18" s="34">
        <v>0</v>
      </c>
      <c r="AL18" s="34" t="s">
        <v>1031</v>
      </c>
      <c r="AM18" s="34" t="s">
        <v>972</v>
      </c>
      <c r="AN18" s="34" t="s">
        <v>3639</v>
      </c>
      <c r="AO18" s="34" t="s">
        <v>50</v>
      </c>
      <c r="AP18" s="34">
        <v>0</v>
      </c>
      <c r="AQ18" s="34">
        <v>0</v>
      </c>
      <c r="AR18" s="37">
        <v>0</v>
      </c>
      <c r="AS18" s="37">
        <v>1</v>
      </c>
      <c r="AT18" s="38" t="s">
        <v>50</v>
      </c>
      <c r="AU18" s="38" t="s">
        <v>50</v>
      </c>
      <c r="AV18" s="38" t="s">
        <v>50</v>
      </c>
      <c r="AW18" s="38" t="s">
        <v>50</v>
      </c>
      <c r="AX18" s="38" t="s">
        <v>50</v>
      </c>
      <c r="AY18" s="38" t="s">
        <v>50</v>
      </c>
      <c r="AZ18" s="38" t="s">
        <v>50</v>
      </c>
      <c r="BA18" s="38" t="s">
        <v>50</v>
      </c>
      <c r="BB18" s="38" t="s">
        <v>50</v>
      </c>
      <c r="BC18" s="38" t="s">
        <v>50</v>
      </c>
      <c r="BD18" s="38" t="s">
        <v>50</v>
      </c>
      <c r="BE18" s="38" t="s">
        <v>50</v>
      </c>
      <c r="BF18" s="38" t="s">
        <v>50</v>
      </c>
      <c r="BG18" s="38" t="s">
        <v>50</v>
      </c>
      <c r="BH18" s="38" t="s">
        <v>50</v>
      </c>
      <c r="BI18" s="37">
        <v>1</v>
      </c>
      <c r="BJ18" s="37">
        <v>0</v>
      </c>
      <c r="BK18" s="37">
        <v>1</v>
      </c>
      <c r="BL18" s="37">
        <v>0</v>
      </c>
      <c r="BM18" s="37">
        <v>0</v>
      </c>
      <c r="BN18" s="37">
        <v>0</v>
      </c>
      <c r="BO18" s="37">
        <v>0</v>
      </c>
      <c r="BP18" s="38" t="s">
        <v>50</v>
      </c>
      <c r="BQ18" s="37">
        <v>0</v>
      </c>
      <c r="BR18" s="38" t="s">
        <v>50</v>
      </c>
      <c r="BS18" s="37">
        <v>0</v>
      </c>
      <c r="BT18" s="38" t="s">
        <v>50</v>
      </c>
      <c r="BU18" s="37">
        <v>0</v>
      </c>
    </row>
    <row r="19" spans="1:73"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2023</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2023</v>
      </c>
      <c r="AO20" s="3" t="s">
        <v>1847</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2023</v>
      </c>
      <c r="AO21" s="3" t="s">
        <v>1847</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row>
    <row r="22" spans="1:73" ht="15.75" customHeight="1" x14ac:dyDescent="0.2">
      <c r="A22" s="3">
        <f t="shared" si="0"/>
        <v>7020</v>
      </c>
      <c r="B22" s="3" t="s">
        <v>1839</v>
      </c>
      <c r="C22" s="3" t="s">
        <v>1839</v>
      </c>
      <c r="D22" s="5" t="s">
        <v>1838</v>
      </c>
      <c r="E22" s="5" t="s">
        <v>1845</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2023</v>
      </c>
      <c r="AO22" s="3" t="s">
        <v>1847</v>
      </c>
      <c r="AP22" s="3">
        <v>0</v>
      </c>
      <c r="AQ22" s="3">
        <v>0</v>
      </c>
      <c r="AR22">
        <v>0</v>
      </c>
      <c r="AS22">
        <v>1</v>
      </c>
      <c r="AT22" s="6" t="s">
        <v>1842</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row>
    <row r="23" spans="1:73" ht="15.75" customHeight="1" x14ac:dyDescent="0.2">
      <c r="A23" s="3">
        <f t="shared" si="0"/>
        <v>7021</v>
      </c>
      <c r="B23" s="3" t="s">
        <v>3563</v>
      </c>
      <c r="C23" s="3" t="s">
        <v>3563</v>
      </c>
      <c r="D23" s="5" t="s">
        <v>3564</v>
      </c>
      <c r="E23" s="5" t="s">
        <v>3573</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2023</v>
      </c>
      <c r="AO23" s="3" t="s">
        <v>50</v>
      </c>
      <c r="AP23" s="3">
        <v>0</v>
      </c>
      <c r="AQ23" s="3">
        <v>0</v>
      </c>
      <c r="AR23">
        <v>0</v>
      </c>
      <c r="AS23">
        <v>1</v>
      </c>
      <c r="AT23" s="6" t="s">
        <v>3574</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row>
    <row r="24" spans="1:73" ht="15.75" customHeight="1" x14ac:dyDescent="0.2">
      <c r="A24" s="3">
        <f t="shared" si="0"/>
        <v>7022</v>
      </c>
      <c r="B24" s="3" t="s">
        <v>184</v>
      </c>
      <c r="C24" s="3" t="s">
        <v>184</v>
      </c>
      <c r="D24" s="25"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2023</v>
      </c>
      <c r="AO24" s="3" t="s">
        <v>1847</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ht="15.75" customHeight="1" x14ac:dyDescent="0.2">
      <c r="A25" s="3">
        <f t="shared" si="0"/>
        <v>7023</v>
      </c>
      <c r="B25" s="3" t="s">
        <v>92</v>
      </c>
      <c r="C25" s="3" t="s">
        <v>92</v>
      </c>
      <c r="D25" s="25"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2023</v>
      </c>
      <c r="AO25" s="3" t="s">
        <v>1847</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row>
    <row r="26" spans="1:73"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10</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2024</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ht="15.75" customHeight="1" x14ac:dyDescent="0.2">
      <c r="A27" s="3">
        <f t="shared" si="0"/>
        <v>7025</v>
      </c>
      <c r="B27" s="3" t="s">
        <v>81</v>
      </c>
      <c r="C27" s="3" t="s">
        <v>81</v>
      </c>
      <c r="D27" s="25"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10</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2370</v>
      </c>
      <c r="AO27" s="3" t="s">
        <v>1847</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row>
    <row r="28" spans="1:73" ht="15.75" customHeight="1" x14ac:dyDescent="0.2">
      <c r="A28" s="3">
        <f t="shared" si="0"/>
        <v>7026</v>
      </c>
      <c r="B28" s="3" t="s">
        <v>2064</v>
      </c>
      <c r="C28" s="3" t="s">
        <v>2064</v>
      </c>
      <c r="D28" s="5" t="s">
        <v>2063</v>
      </c>
      <c r="E28" s="5" t="s">
        <v>2075</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1985</v>
      </c>
      <c r="AO28" s="3" t="s">
        <v>50</v>
      </c>
      <c r="AP28" s="3">
        <v>0</v>
      </c>
      <c r="AQ28" s="3">
        <v>0</v>
      </c>
      <c r="AR28">
        <v>0</v>
      </c>
      <c r="AS28">
        <v>5</v>
      </c>
      <c r="AT28" s="6" t="s">
        <v>2517</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ht="15.75" customHeight="1" x14ac:dyDescent="0.2">
      <c r="A29" s="3">
        <f t="shared" si="0"/>
        <v>7027</v>
      </c>
      <c r="B29" s="3" t="s">
        <v>3621</v>
      </c>
      <c r="C29" s="3" t="s">
        <v>3621</v>
      </c>
      <c r="D29" s="5" t="s">
        <v>3619</v>
      </c>
      <c r="E29" s="5" t="s">
        <v>3624</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1985</v>
      </c>
      <c r="AO29" s="3" t="s">
        <v>50</v>
      </c>
      <c r="AP29" s="3">
        <v>0</v>
      </c>
      <c r="AQ29" s="3">
        <v>0</v>
      </c>
      <c r="AR29">
        <v>0</v>
      </c>
      <c r="AS29">
        <v>5</v>
      </c>
      <c r="AT29" s="6" t="s">
        <v>2517</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row>
    <row r="30" spans="1:73" ht="15.75" customHeight="1" x14ac:dyDescent="0.2">
      <c r="A30" s="3">
        <f t="shared" si="0"/>
        <v>7028</v>
      </c>
      <c r="B30" s="3" t="s">
        <v>3622</v>
      </c>
      <c r="C30" s="3" t="s">
        <v>3622</v>
      </c>
      <c r="D30" s="5" t="s">
        <v>3620</v>
      </c>
      <c r="E30" s="5" t="s">
        <v>3623</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1985</v>
      </c>
      <c r="AO30" s="3" t="s">
        <v>50</v>
      </c>
      <c r="AP30" s="3">
        <v>0</v>
      </c>
      <c r="AQ30" s="3">
        <v>0</v>
      </c>
      <c r="AR30">
        <v>0</v>
      </c>
      <c r="AS30">
        <v>5</v>
      </c>
      <c r="AT30" s="6" t="s">
        <v>2517</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7029</v>
      </c>
      <c r="B31" s="3" t="s">
        <v>402</v>
      </c>
      <c r="C31" s="3" t="s">
        <v>402</v>
      </c>
      <c r="D31" s="25" t="s">
        <v>403</v>
      </c>
      <c r="E31" s="4" t="s">
        <v>404</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3</v>
      </c>
      <c r="AD31" s="3">
        <v>0</v>
      </c>
      <c r="AE31" s="3">
        <v>0</v>
      </c>
      <c r="AF31" s="3">
        <v>0</v>
      </c>
      <c r="AG31" s="3">
        <v>3</v>
      </c>
      <c r="AH31" s="3">
        <v>0</v>
      </c>
      <c r="AI31" s="3">
        <v>0</v>
      </c>
      <c r="AJ31" s="3">
        <v>0</v>
      </c>
      <c r="AK31" s="3">
        <v>0</v>
      </c>
      <c r="AL31" s="3" t="s">
        <v>42</v>
      </c>
      <c r="AM31" s="3" t="s">
        <v>980</v>
      </c>
      <c r="AN31" s="3" t="s">
        <v>2442</v>
      </c>
      <c r="AO31" s="3" t="s">
        <v>1847</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7030</v>
      </c>
      <c r="B32" s="3" t="s">
        <v>3501</v>
      </c>
      <c r="C32" s="3" t="s">
        <v>2732</v>
      </c>
      <c r="D32" s="25" t="s">
        <v>2730</v>
      </c>
      <c r="E32" s="4" t="s">
        <v>2731</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3178</v>
      </c>
      <c r="AO32" s="3" t="s">
        <v>50</v>
      </c>
      <c r="AP32" s="3">
        <v>0</v>
      </c>
      <c r="AQ32" s="3">
        <v>0</v>
      </c>
      <c r="AR32">
        <v>0</v>
      </c>
      <c r="AS32">
        <v>1</v>
      </c>
      <c r="AT32" s="6" t="s">
        <v>3582</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7031</v>
      </c>
      <c r="B33" s="3" t="s">
        <v>3174</v>
      </c>
      <c r="C33" s="3" t="s">
        <v>3174</v>
      </c>
      <c r="D33" s="25" t="s">
        <v>3421</v>
      </c>
      <c r="E33" s="4" t="s">
        <v>3171</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3179</v>
      </c>
      <c r="AO33" s="3" t="s">
        <v>50</v>
      </c>
      <c r="AP33" s="3">
        <v>0</v>
      </c>
      <c r="AQ33" s="3">
        <v>0</v>
      </c>
      <c r="AR33">
        <v>0</v>
      </c>
      <c r="AS33">
        <v>1</v>
      </c>
      <c r="AT33" s="6" t="s">
        <v>3583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ref="A34:A65" si="1">ROW()+6998</f>
        <v>7032</v>
      </c>
      <c r="B34" s="3" t="s">
        <v>3173</v>
      </c>
      <c r="C34" s="3" t="s">
        <v>3173</v>
      </c>
      <c r="D34" s="25" t="s">
        <v>3478</v>
      </c>
      <c r="E34" s="4" t="s">
        <v>3617</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3179</v>
      </c>
      <c r="AO34" s="3" t="s">
        <v>50</v>
      </c>
      <c r="AP34" s="3">
        <v>0</v>
      </c>
      <c r="AQ34" s="3">
        <v>0</v>
      </c>
      <c r="AR34">
        <v>0</v>
      </c>
      <c r="AS34">
        <v>1</v>
      </c>
      <c r="AT34" s="47" t="s">
        <v>3584</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ht="15.75" customHeight="1" x14ac:dyDescent="0.2">
      <c r="A35" s="3">
        <f t="shared" si="1"/>
        <v>7033</v>
      </c>
      <c r="B35" s="3" t="s">
        <v>3176</v>
      </c>
      <c r="C35" s="3" t="s">
        <v>3176</v>
      </c>
      <c r="D35" s="25" t="s">
        <v>3616</v>
      </c>
      <c r="E35" s="4" t="s">
        <v>3477</v>
      </c>
      <c r="F35" s="3">
        <v>0</v>
      </c>
      <c r="G35" s="3">
        <v>0</v>
      </c>
      <c r="H35" s="3">
        <v>0</v>
      </c>
      <c r="I35" s="3">
        <v>50</v>
      </c>
      <c r="J35" s="3">
        <v>5</v>
      </c>
      <c r="K35" s="3">
        <v>1</v>
      </c>
      <c r="L35" s="3">
        <v>0</v>
      </c>
      <c r="M35" s="3">
        <v>5</v>
      </c>
      <c r="N35" s="3">
        <v>2</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3179</v>
      </c>
      <c r="AO35" s="3" t="s">
        <v>50</v>
      </c>
      <c r="AP35" s="3">
        <v>0</v>
      </c>
      <c r="AQ35" s="3">
        <v>0</v>
      </c>
      <c r="AR35">
        <v>0</v>
      </c>
      <c r="AS35">
        <v>1</v>
      </c>
      <c r="AT35" s="47" t="s">
        <v>3585</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row>
    <row r="36" spans="1:73" ht="15.75" customHeight="1" x14ac:dyDescent="0.2">
      <c r="A36" s="3">
        <f t="shared" si="1"/>
        <v>7034</v>
      </c>
      <c r="B36" s="3" t="s">
        <v>3479</v>
      </c>
      <c r="C36" s="3" t="s">
        <v>3479</v>
      </c>
      <c r="D36" s="25" t="s">
        <v>3480</v>
      </c>
      <c r="E36" s="4" t="s">
        <v>3618</v>
      </c>
      <c r="F36" s="3">
        <v>0</v>
      </c>
      <c r="G36" s="3">
        <v>0</v>
      </c>
      <c r="H36" s="3">
        <v>0</v>
      </c>
      <c r="I36" s="3">
        <v>50</v>
      </c>
      <c r="J36" s="3">
        <v>5</v>
      </c>
      <c r="K36" s="3">
        <v>1</v>
      </c>
      <c r="L36" s="3">
        <v>0</v>
      </c>
      <c r="M36" s="3">
        <v>5</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3179</v>
      </c>
      <c r="AO36" s="3" t="s">
        <v>50</v>
      </c>
      <c r="AP36" s="3">
        <v>0</v>
      </c>
      <c r="AQ36" s="3">
        <v>0</v>
      </c>
      <c r="AR36">
        <v>0</v>
      </c>
      <c r="AS36">
        <v>1</v>
      </c>
      <c r="AT36" s="47" t="s">
        <v>3586</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row>
    <row r="37" spans="1:73" ht="15.75" customHeight="1" x14ac:dyDescent="0.2">
      <c r="A37" s="3">
        <f t="shared" si="1"/>
        <v>7035</v>
      </c>
      <c r="B37" s="3" t="s">
        <v>1028</v>
      </c>
      <c r="C37" s="3" t="s">
        <v>1028</v>
      </c>
      <c r="D37" s="25"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2025</v>
      </c>
      <c r="AO37" s="3" t="s">
        <v>1847</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1"/>
        <v>7036</v>
      </c>
      <c r="B38" s="3" t="s">
        <v>1433</v>
      </c>
      <c r="C38" s="3" t="s">
        <v>1433</v>
      </c>
      <c r="D38" s="25" t="s">
        <v>1432</v>
      </c>
      <c r="E38" s="4" t="s">
        <v>1542</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2025</v>
      </c>
      <c r="AO38" s="3" t="s">
        <v>1847</v>
      </c>
      <c r="AP38" s="3">
        <v>0</v>
      </c>
      <c r="AQ38" s="3">
        <v>0</v>
      </c>
      <c r="AR38">
        <v>0</v>
      </c>
      <c r="AS38">
        <v>1</v>
      </c>
      <c r="AT38" s="6" t="s">
        <v>3587</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ht="15.75" customHeight="1" x14ac:dyDescent="0.2">
      <c r="A39" s="3">
        <f t="shared" si="1"/>
        <v>7037</v>
      </c>
      <c r="B39" s="3" t="s">
        <v>494</v>
      </c>
      <c r="C39" s="3" t="s">
        <v>325</v>
      </c>
      <c r="D39" s="25"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2026</v>
      </c>
      <c r="AO39" s="3" t="s">
        <v>1847</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row>
    <row r="40" spans="1:73" ht="15.75" customHeight="1" x14ac:dyDescent="0.2">
      <c r="A40" s="3">
        <f t="shared" si="1"/>
        <v>7038</v>
      </c>
      <c r="B40" s="3" t="s">
        <v>494</v>
      </c>
      <c r="C40" s="3" t="s">
        <v>1217</v>
      </c>
      <c r="D40" s="25" t="s">
        <v>1216</v>
      </c>
      <c r="E40" s="4" t="s">
        <v>1218</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2026</v>
      </c>
      <c r="AO40" s="3" t="s">
        <v>1847</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1219</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s="9" customFormat="1" ht="15.75" customHeight="1" x14ac:dyDescent="0.2">
      <c r="A41" s="3">
        <f t="shared" si="1"/>
        <v>7039</v>
      </c>
      <c r="B41" s="7" t="s">
        <v>494</v>
      </c>
      <c r="C41" s="7" t="s">
        <v>671</v>
      </c>
      <c r="D41" s="26"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2026</v>
      </c>
      <c r="AO41" s="7" t="s">
        <v>1847</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1205</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row>
    <row r="42" spans="1:73" s="9" customFormat="1" ht="15.75" customHeight="1" x14ac:dyDescent="0.2">
      <c r="A42" s="3">
        <f t="shared" si="1"/>
        <v>7040</v>
      </c>
      <c r="B42" s="7" t="s">
        <v>494</v>
      </c>
      <c r="C42" s="7" t="s">
        <v>673</v>
      </c>
      <c r="D42" s="26"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2026</v>
      </c>
      <c r="AO42" s="7" t="s">
        <v>1847</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1206</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row>
    <row r="43" spans="1:73" ht="15.75" customHeight="1" x14ac:dyDescent="0.2">
      <c r="A43" s="3">
        <f t="shared" si="1"/>
        <v>7041</v>
      </c>
      <c r="B43" s="3" t="s">
        <v>1293</v>
      </c>
      <c r="C43" s="3" t="s">
        <v>677</v>
      </c>
      <c r="D43" s="25"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2026</v>
      </c>
      <c r="AO43" s="3" t="s">
        <v>1847</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1207</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1"/>
        <v>7042</v>
      </c>
      <c r="B44" s="3" t="s">
        <v>678</v>
      </c>
      <c r="C44" s="3" t="s">
        <v>678</v>
      </c>
      <c r="D44" s="25"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2026</v>
      </c>
      <c r="AO44" s="3" t="s">
        <v>1847</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1"/>
        <v>7043</v>
      </c>
      <c r="B45" s="3" t="s">
        <v>819</v>
      </c>
      <c r="C45" s="3" t="s">
        <v>819</v>
      </c>
      <c r="D45" s="25"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2026</v>
      </c>
      <c r="AO45" s="3" t="s">
        <v>1847</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1212</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1"/>
        <v>7044</v>
      </c>
      <c r="B46" s="3" t="s">
        <v>1187</v>
      </c>
      <c r="C46" s="3" t="s">
        <v>1187</v>
      </c>
      <c r="D46" s="25" t="s">
        <v>1185</v>
      </c>
      <c r="E46" s="4" t="s">
        <v>1186</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2026</v>
      </c>
      <c r="AO46" s="3" t="s">
        <v>1847</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1208</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1"/>
        <v>7045</v>
      </c>
      <c r="B47" s="3" t="s">
        <v>1187</v>
      </c>
      <c r="C47" s="3" t="s">
        <v>1196</v>
      </c>
      <c r="D47" s="25" t="s">
        <v>1194</v>
      </c>
      <c r="E47" s="4" t="s">
        <v>1195</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2026</v>
      </c>
      <c r="AO47" s="3" t="s">
        <v>1847</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1209</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1"/>
        <v>7046</v>
      </c>
      <c r="B48" s="3" t="s">
        <v>1200</v>
      </c>
      <c r="C48" s="3" t="s">
        <v>1200</v>
      </c>
      <c r="D48" s="25" t="s">
        <v>1201</v>
      </c>
      <c r="E48" s="4" t="s">
        <v>1202</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2026</v>
      </c>
      <c r="AO48" s="3" t="s">
        <v>1847</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1210</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row>
    <row r="49" spans="1:73" ht="15.75" customHeight="1" x14ac:dyDescent="0.2">
      <c r="A49" s="3">
        <f t="shared" si="1"/>
        <v>7047</v>
      </c>
      <c r="B49" s="3" t="s">
        <v>684</v>
      </c>
      <c r="C49" s="3" t="s">
        <v>684</v>
      </c>
      <c r="D49" s="25"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2026</v>
      </c>
      <c r="AO49" s="3" t="s">
        <v>1847</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1211</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row>
    <row r="50" spans="1:73" ht="15.75" customHeight="1" x14ac:dyDescent="0.2">
      <c r="A50" s="3">
        <f t="shared" si="1"/>
        <v>7048</v>
      </c>
      <c r="B50" s="3" t="s">
        <v>1237</v>
      </c>
      <c r="C50" s="3" t="s">
        <v>1237</v>
      </c>
      <c r="D50" s="25" t="s">
        <v>1238</v>
      </c>
      <c r="E50" s="4" t="s">
        <v>1239</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2026</v>
      </c>
      <c r="AO50" s="3" t="s">
        <v>1847</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1240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1"/>
        <v>7049</v>
      </c>
      <c r="B51" s="3" t="s">
        <v>1397</v>
      </c>
      <c r="C51" s="3" t="s">
        <v>1397</v>
      </c>
      <c r="D51" s="25" t="s">
        <v>1396</v>
      </c>
      <c r="E51" s="4" t="s">
        <v>1398</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2026</v>
      </c>
      <c r="AO51" s="3" t="s">
        <v>1847</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1399</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1"/>
        <v>7050</v>
      </c>
      <c r="B52" s="3" t="s">
        <v>2566</v>
      </c>
      <c r="C52" s="3" t="s">
        <v>1865</v>
      </c>
      <c r="D52" s="25" t="s">
        <v>1864</v>
      </c>
      <c r="E52" s="4" t="s">
        <v>1901</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2026</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1866</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row>
    <row r="53" spans="1:73" ht="15.75" customHeight="1" x14ac:dyDescent="0.2">
      <c r="A53" s="3">
        <f t="shared" si="1"/>
        <v>7051</v>
      </c>
      <c r="B53" s="3" t="s">
        <v>684</v>
      </c>
      <c r="C53" s="3" t="s">
        <v>1630</v>
      </c>
      <c r="D53" s="25" t="s">
        <v>1631</v>
      </c>
      <c r="E53" s="4" t="s">
        <v>1632</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2026</v>
      </c>
      <c r="AO53" s="3" t="s">
        <v>1847</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1633</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row>
    <row r="54" spans="1:73" ht="15.75" customHeight="1" x14ac:dyDescent="0.2">
      <c r="A54" s="3">
        <f t="shared" si="1"/>
        <v>7052</v>
      </c>
      <c r="B54" s="3" t="s">
        <v>3210</v>
      </c>
      <c r="C54" s="3" t="s">
        <v>3210</v>
      </c>
      <c r="D54" s="25" t="s">
        <v>3209</v>
      </c>
      <c r="E54" s="4" t="s">
        <v>3211</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2026</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3588</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row>
    <row r="55" spans="1:73" ht="15.75" customHeight="1" x14ac:dyDescent="0.2">
      <c r="A55" s="3">
        <f t="shared" si="1"/>
        <v>7053</v>
      </c>
      <c r="B55" s="3" t="s">
        <v>1181</v>
      </c>
      <c r="C55" s="3" t="s">
        <v>1181</v>
      </c>
      <c r="D55" s="25" t="s">
        <v>1179</v>
      </c>
      <c r="E55" s="4" t="s">
        <v>1180</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10</v>
      </c>
      <c r="AH55" s="3">
        <v>0</v>
      </c>
      <c r="AI55" s="3">
        <v>0</v>
      </c>
      <c r="AJ55" s="3">
        <v>0</v>
      </c>
      <c r="AK55" s="3">
        <v>0</v>
      </c>
      <c r="AL55" s="3" t="s">
        <v>42</v>
      </c>
      <c r="AM55" s="3" t="s">
        <v>1228</v>
      </c>
      <c r="AN55" s="3" t="s">
        <v>2027</v>
      </c>
      <c r="AO55" s="3" t="s">
        <v>51</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1228</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1"/>
        <v>7054</v>
      </c>
      <c r="B56" s="3" t="s">
        <v>1184</v>
      </c>
      <c r="C56" s="3" t="s">
        <v>1184</v>
      </c>
      <c r="D56" s="25" t="s">
        <v>1182</v>
      </c>
      <c r="E56" s="4" t="s">
        <v>1183</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15</v>
      </c>
      <c r="AH56" s="3">
        <v>0</v>
      </c>
      <c r="AI56" s="3">
        <v>0</v>
      </c>
      <c r="AJ56" s="3">
        <v>0</v>
      </c>
      <c r="AK56" s="3">
        <v>0</v>
      </c>
      <c r="AL56" s="3" t="s">
        <v>42</v>
      </c>
      <c r="AM56" s="3" t="s">
        <v>1228</v>
      </c>
      <c r="AN56" s="3" t="s">
        <v>2027</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1229</v>
      </c>
      <c r="BE56" s="6" t="s">
        <v>50</v>
      </c>
      <c r="BF56" s="6" t="s">
        <v>50</v>
      </c>
      <c r="BG56" s="6" t="s">
        <v>50</v>
      </c>
      <c r="BH56" s="6" t="s">
        <v>50</v>
      </c>
      <c r="BI56">
        <v>1</v>
      </c>
      <c r="BJ56">
        <v>0</v>
      </c>
      <c r="BK56">
        <v>2</v>
      </c>
      <c r="BL56">
        <v>0</v>
      </c>
      <c r="BM56">
        <v>0</v>
      </c>
      <c r="BN56">
        <v>0</v>
      </c>
      <c r="BO56">
        <v>0</v>
      </c>
      <c r="BP56" s="6" t="s">
        <v>50</v>
      </c>
      <c r="BQ56">
        <v>0</v>
      </c>
      <c r="BR56" s="6" t="s">
        <v>50</v>
      </c>
      <c r="BS56">
        <v>0</v>
      </c>
      <c r="BT56" s="6" t="s">
        <v>50</v>
      </c>
      <c r="BU56">
        <v>0</v>
      </c>
    </row>
    <row r="57" spans="1:73" s="9" customFormat="1" ht="15.75" customHeight="1" x14ac:dyDescent="0.2">
      <c r="A57" s="3">
        <f t="shared" si="1"/>
        <v>7055</v>
      </c>
      <c r="B57" s="7" t="s">
        <v>932</v>
      </c>
      <c r="C57" s="7" t="s">
        <v>745</v>
      </c>
      <c r="D57" s="8" t="s">
        <v>746</v>
      </c>
      <c r="E57" s="8" t="s">
        <v>747</v>
      </c>
      <c r="F57" s="7">
        <v>0</v>
      </c>
      <c r="G57" s="7">
        <v>0</v>
      </c>
      <c r="H57" s="7">
        <v>0</v>
      </c>
      <c r="I57" s="7">
        <v>50</v>
      </c>
      <c r="J57" s="7">
        <v>50</v>
      </c>
      <c r="K57" s="7">
        <v>1</v>
      </c>
      <c r="L57" s="7">
        <v>0</v>
      </c>
      <c r="M57" s="7">
        <v>3</v>
      </c>
      <c r="N57" s="7">
        <v>0</v>
      </c>
      <c r="O57" s="7">
        <v>0</v>
      </c>
      <c r="P57" s="7">
        <v>0</v>
      </c>
      <c r="Q57" s="7">
        <v>0</v>
      </c>
      <c r="R57" s="7">
        <v>0</v>
      </c>
      <c r="S57" s="7">
        <v>0</v>
      </c>
      <c r="T57" s="7">
        <v>0</v>
      </c>
      <c r="U57" s="7">
        <v>0</v>
      </c>
      <c r="V57" s="7">
        <v>0</v>
      </c>
      <c r="W57" s="7">
        <v>0</v>
      </c>
      <c r="X57" s="7">
        <v>0</v>
      </c>
      <c r="Y57" s="7">
        <v>0</v>
      </c>
      <c r="Z57" s="7">
        <v>0</v>
      </c>
      <c r="AA57" s="7">
        <v>0</v>
      </c>
      <c r="AB57" s="7">
        <v>0</v>
      </c>
      <c r="AC57" s="7">
        <v>0</v>
      </c>
      <c r="AD57" s="7">
        <v>0</v>
      </c>
      <c r="AE57" s="7">
        <v>0</v>
      </c>
      <c r="AF57" s="7">
        <v>0</v>
      </c>
      <c r="AG57" s="7">
        <v>0</v>
      </c>
      <c r="AH57" s="7">
        <v>0</v>
      </c>
      <c r="AI57" s="7">
        <v>0</v>
      </c>
      <c r="AJ57" s="7">
        <v>0</v>
      </c>
      <c r="AK57" s="7">
        <v>0</v>
      </c>
      <c r="AL57" s="7" t="s">
        <v>42</v>
      </c>
      <c r="AM57" s="7" t="s">
        <v>23</v>
      </c>
      <c r="AN57" s="7" t="s">
        <v>2028</v>
      </c>
      <c r="AO57" s="7" t="s">
        <v>1847</v>
      </c>
      <c r="AP57" s="7">
        <v>0</v>
      </c>
      <c r="AQ57" s="7">
        <v>0</v>
      </c>
      <c r="AR57" s="9">
        <v>0</v>
      </c>
      <c r="AS57" s="9">
        <v>1</v>
      </c>
      <c r="AT57" s="10" t="s">
        <v>935</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v>0</v>
      </c>
      <c r="BN57">
        <v>0</v>
      </c>
      <c r="BO57" s="9">
        <v>0</v>
      </c>
      <c r="BP57" s="10" t="s">
        <v>50</v>
      </c>
      <c r="BQ57">
        <v>0</v>
      </c>
      <c r="BR57" s="10" t="s">
        <v>50</v>
      </c>
      <c r="BS57">
        <v>0</v>
      </c>
      <c r="BT57" s="10" t="s">
        <v>50</v>
      </c>
      <c r="BU57">
        <v>0</v>
      </c>
    </row>
    <row r="58" spans="1:73" ht="15.75" customHeight="1" x14ac:dyDescent="0.2">
      <c r="A58" s="3">
        <f t="shared" si="1"/>
        <v>7056</v>
      </c>
      <c r="B58" s="3" t="s">
        <v>2571</v>
      </c>
      <c r="C58" s="3" t="s">
        <v>2571</v>
      </c>
      <c r="D58" s="5" t="s">
        <v>2733</v>
      </c>
      <c r="E58" s="5" t="s">
        <v>2572</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3071</v>
      </c>
      <c r="AN58" s="6" t="s">
        <v>1970</v>
      </c>
      <c r="AO58" s="3" t="s">
        <v>50</v>
      </c>
      <c r="AP58" s="3">
        <v>0</v>
      </c>
      <c r="AQ58" s="3">
        <v>0</v>
      </c>
      <c r="AR58">
        <v>0</v>
      </c>
      <c r="AS58">
        <v>5</v>
      </c>
      <c r="AT58" s="6" t="s">
        <v>2868</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1"/>
        <v>7057</v>
      </c>
      <c r="B59" s="3" t="s">
        <v>2577</v>
      </c>
      <c r="C59" s="3" t="s">
        <v>2577</v>
      </c>
      <c r="D59" s="5" t="s">
        <v>2576</v>
      </c>
      <c r="E59" s="5" t="s">
        <v>2965</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20</v>
      </c>
      <c r="AH59" s="3">
        <v>0</v>
      </c>
      <c r="AI59" s="3">
        <v>5</v>
      </c>
      <c r="AJ59" s="3">
        <v>0</v>
      </c>
      <c r="AK59" s="3">
        <v>0</v>
      </c>
      <c r="AL59" s="3" t="s">
        <v>42</v>
      </c>
      <c r="AM59" s="3" t="s">
        <v>3071</v>
      </c>
      <c r="AN59" s="6" t="s">
        <v>1966</v>
      </c>
      <c r="AO59" s="3" t="s">
        <v>50</v>
      </c>
      <c r="AP59" s="3">
        <v>0</v>
      </c>
      <c r="AQ59" s="3">
        <v>0</v>
      </c>
      <c r="AR59">
        <v>0</v>
      </c>
      <c r="AS59">
        <v>5</v>
      </c>
      <c r="AT59" s="6" t="s">
        <v>2966</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1"/>
        <v>7058</v>
      </c>
      <c r="B60" s="3" t="s">
        <v>1910</v>
      </c>
      <c r="C60" s="3" t="s">
        <v>1910</v>
      </c>
      <c r="D60" s="5" t="s">
        <v>2147</v>
      </c>
      <c r="E60" s="5" t="s">
        <v>2570</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5</v>
      </c>
      <c r="AD60" s="3">
        <v>0</v>
      </c>
      <c r="AE60" s="3">
        <v>0</v>
      </c>
      <c r="AF60" s="3">
        <v>0</v>
      </c>
      <c r="AG60" s="3">
        <v>5</v>
      </c>
      <c r="AH60" s="3">
        <v>0</v>
      </c>
      <c r="AI60" s="3">
        <v>5</v>
      </c>
      <c r="AJ60" s="3">
        <v>0</v>
      </c>
      <c r="AK60" s="3">
        <v>0</v>
      </c>
      <c r="AL60" s="3" t="s">
        <v>42</v>
      </c>
      <c r="AM60" s="3" t="s">
        <v>3071</v>
      </c>
      <c r="AN60" s="6" t="s">
        <v>1964</v>
      </c>
      <c r="AO60" s="3" t="s">
        <v>50</v>
      </c>
      <c r="AP60" s="3">
        <v>0</v>
      </c>
      <c r="AQ60" s="3">
        <v>0</v>
      </c>
      <c r="AR60">
        <v>0</v>
      </c>
      <c r="AS60">
        <v>5</v>
      </c>
      <c r="AT60" s="6" t="s">
        <v>2522</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1"/>
        <v>7059</v>
      </c>
      <c r="B61" s="3" t="s">
        <v>1911</v>
      </c>
      <c r="C61" s="3" t="s">
        <v>1911</v>
      </c>
      <c r="D61" s="5" t="s">
        <v>2148</v>
      </c>
      <c r="E61" s="5" t="s">
        <v>1912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3071</v>
      </c>
      <c r="AN61" s="3" t="s">
        <v>1955</v>
      </c>
      <c r="AO61" s="3" t="s">
        <v>50</v>
      </c>
      <c r="AP61" s="3">
        <v>0</v>
      </c>
      <c r="AQ61" s="3">
        <v>0</v>
      </c>
      <c r="AR61">
        <v>0</v>
      </c>
      <c r="AS61">
        <v>5</v>
      </c>
      <c r="AT61" s="6" t="s">
        <v>2523</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1"/>
        <v>7060</v>
      </c>
      <c r="B62" s="3" t="s">
        <v>2151</v>
      </c>
      <c r="C62" s="3" t="s">
        <v>2151</v>
      </c>
      <c r="D62" s="5" t="s">
        <v>2150</v>
      </c>
      <c r="E62" s="5" t="s">
        <v>2568</v>
      </c>
      <c r="F62" s="3">
        <v>0</v>
      </c>
      <c r="G62" s="3">
        <v>0</v>
      </c>
      <c r="H62" s="3">
        <v>0</v>
      </c>
      <c r="I62" s="3">
        <v>50</v>
      </c>
      <c r="J62" s="3">
        <v>8</v>
      </c>
      <c r="K62" s="3">
        <v>1</v>
      </c>
      <c r="L62" s="3">
        <v>0</v>
      </c>
      <c r="M62" s="3">
        <v>3</v>
      </c>
      <c r="N62" s="3">
        <v>0</v>
      </c>
      <c r="O62" s="3">
        <v>7</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3071</v>
      </c>
      <c r="AN62" s="3" t="s">
        <v>1957</v>
      </c>
      <c r="AO62" s="3" t="s">
        <v>50</v>
      </c>
      <c r="AP62" s="3">
        <v>0</v>
      </c>
      <c r="AQ62" s="3">
        <v>0</v>
      </c>
      <c r="AR62">
        <v>0</v>
      </c>
      <c r="AS62">
        <v>4</v>
      </c>
      <c r="AT62" s="6" t="s">
        <v>2524</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1"/>
        <v>7061</v>
      </c>
      <c r="B63" s="3" t="s">
        <v>2476</v>
      </c>
      <c r="C63" s="3" t="s">
        <v>2476</v>
      </c>
      <c r="D63" s="5" t="s">
        <v>2477</v>
      </c>
      <c r="E63" s="5" t="s">
        <v>2478</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5</v>
      </c>
      <c r="AB63" s="3">
        <v>0</v>
      </c>
      <c r="AC63" s="3">
        <v>0</v>
      </c>
      <c r="AD63" s="3">
        <v>0</v>
      </c>
      <c r="AE63" s="3">
        <v>0</v>
      </c>
      <c r="AF63" s="3">
        <v>0</v>
      </c>
      <c r="AG63" s="3">
        <v>12</v>
      </c>
      <c r="AH63" s="3">
        <v>0</v>
      </c>
      <c r="AI63" s="3">
        <v>5</v>
      </c>
      <c r="AJ63" s="3">
        <v>0</v>
      </c>
      <c r="AK63" s="3">
        <v>0</v>
      </c>
      <c r="AL63" s="3" t="s">
        <v>42</v>
      </c>
      <c r="AM63" s="3" t="s">
        <v>3071</v>
      </c>
      <c r="AN63" s="3" t="s">
        <v>1957</v>
      </c>
      <c r="AO63" s="3" t="s">
        <v>50</v>
      </c>
      <c r="AP63" s="3">
        <v>0</v>
      </c>
      <c r="AQ63" s="3">
        <v>0</v>
      </c>
      <c r="AR63">
        <v>0</v>
      </c>
      <c r="AS63">
        <v>4</v>
      </c>
      <c r="AT63" s="6" t="s">
        <v>2525</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1"/>
        <v>7062</v>
      </c>
      <c r="B64" s="3" t="s">
        <v>2156</v>
      </c>
      <c r="C64" s="3" t="s">
        <v>2156</v>
      </c>
      <c r="D64" s="5" t="s">
        <v>2155</v>
      </c>
      <c r="E64" s="5" t="s">
        <v>2231</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3</v>
      </c>
      <c r="AD64" s="3">
        <v>0</v>
      </c>
      <c r="AE64" s="3">
        <v>0</v>
      </c>
      <c r="AF64" s="3">
        <v>0</v>
      </c>
      <c r="AG64" s="3">
        <v>7</v>
      </c>
      <c r="AH64" s="3">
        <v>0</v>
      </c>
      <c r="AI64" s="3">
        <v>5</v>
      </c>
      <c r="AJ64" s="3">
        <v>0</v>
      </c>
      <c r="AK64" s="3">
        <v>0</v>
      </c>
      <c r="AL64" s="3" t="s">
        <v>42</v>
      </c>
      <c r="AM64" s="3" t="s">
        <v>3071</v>
      </c>
      <c r="AN64" s="6" t="s">
        <v>1965</v>
      </c>
      <c r="AO64" s="3" t="s">
        <v>50</v>
      </c>
      <c r="AP64" s="3">
        <v>0</v>
      </c>
      <c r="AQ64" s="3">
        <v>0</v>
      </c>
      <c r="AR64">
        <v>0</v>
      </c>
      <c r="AS64">
        <v>5</v>
      </c>
      <c r="AT64" s="6" t="s">
        <v>2526</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1"/>
        <v>7063</v>
      </c>
      <c r="B65" s="3" t="s">
        <v>2567</v>
      </c>
      <c r="C65" s="3" t="s">
        <v>2152</v>
      </c>
      <c r="D65" s="5" t="s">
        <v>2149</v>
      </c>
      <c r="E65" s="5" t="s">
        <v>2569</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3</v>
      </c>
      <c r="AC65" s="3">
        <v>0</v>
      </c>
      <c r="AD65" s="3">
        <v>0</v>
      </c>
      <c r="AE65" s="3">
        <v>0</v>
      </c>
      <c r="AF65" s="3">
        <v>0</v>
      </c>
      <c r="AG65" s="3">
        <v>5</v>
      </c>
      <c r="AH65" s="3">
        <v>0</v>
      </c>
      <c r="AI65" s="3">
        <v>5</v>
      </c>
      <c r="AJ65" s="3">
        <v>0</v>
      </c>
      <c r="AK65" s="3">
        <v>0</v>
      </c>
      <c r="AL65" s="3" t="s">
        <v>42</v>
      </c>
      <c r="AM65" s="3" t="s">
        <v>3071</v>
      </c>
      <c r="AN65" s="6" t="s">
        <v>1958</v>
      </c>
      <c r="AO65" s="3" t="s">
        <v>50</v>
      </c>
      <c r="AP65" s="3">
        <v>0</v>
      </c>
      <c r="AQ65" s="3">
        <v>0</v>
      </c>
      <c r="AR65">
        <v>0</v>
      </c>
      <c r="AS65">
        <v>5</v>
      </c>
      <c r="AT65" s="6" t="s">
        <v>2527</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ref="A66:A97" si="2">ROW()+6998</f>
        <v>7064</v>
      </c>
      <c r="B66" s="3" t="s">
        <v>2154</v>
      </c>
      <c r="C66" s="3" t="s">
        <v>2154</v>
      </c>
      <c r="D66" s="5" t="s">
        <v>2153</v>
      </c>
      <c r="E66" s="5" t="s">
        <v>2232</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5</v>
      </c>
      <c r="AD66" s="3">
        <v>0</v>
      </c>
      <c r="AE66" s="3">
        <v>0</v>
      </c>
      <c r="AF66" s="3">
        <v>0</v>
      </c>
      <c r="AG66" s="3">
        <v>5</v>
      </c>
      <c r="AH66" s="3">
        <v>0</v>
      </c>
      <c r="AI66" s="3">
        <v>5</v>
      </c>
      <c r="AJ66" s="3">
        <v>0</v>
      </c>
      <c r="AK66" s="3">
        <v>0</v>
      </c>
      <c r="AL66" s="3" t="s">
        <v>42</v>
      </c>
      <c r="AM66" s="3" t="s">
        <v>3071</v>
      </c>
      <c r="AN66" s="6" t="s">
        <v>1959</v>
      </c>
      <c r="AO66" s="3" t="s">
        <v>50</v>
      </c>
      <c r="AP66" s="3">
        <v>0</v>
      </c>
      <c r="AQ66" s="3">
        <v>0</v>
      </c>
      <c r="AR66">
        <v>0</v>
      </c>
      <c r="AS66">
        <v>5</v>
      </c>
      <c r="AT66" s="6" t="s">
        <v>2528</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2"/>
        <v>7065</v>
      </c>
      <c r="B67" s="3" t="s">
        <v>2158</v>
      </c>
      <c r="C67" s="3" t="s">
        <v>2158</v>
      </c>
      <c r="D67" s="5" t="s">
        <v>2157</v>
      </c>
      <c r="E67" s="5" t="s">
        <v>2233</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5</v>
      </c>
      <c r="AH67" s="3">
        <v>0</v>
      </c>
      <c r="AI67" s="3">
        <v>5</v>
      </c>
      <c r="AJ67" s="3">
        <v>0</v>
      </c>
      <c r="AK67" s="3">
        <v>0</v>
      </c>
      <c r="AL67" s="3" t="s">
        <v>42</v>
      </c>
      <c r="AM67" s="3" t="s">
        <v>3071</v>
      </c>
      <c r="AN67" s="6" t="s">
        <v>1961</v>
      </c>
      <c r="AO67" s="3" t="s">
        <v>50</v>
      </c>
      <c r="AP67" s="3">
        <v>0</v>
      </c>
      <c r="AQ67" s="3">
        <v>0</v>
      </c>
      <c r="AR67">
        <v>0</v>
      </c>
      <c r="AS67">
        <v>5</v>
      </c>
      <c r="AT67" s="6" t="s">
        <v>2529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2"/>
        <v>7066</v>
      </c>
      <c r="B68" s="3" t="s">
        <v>2160</v>
      </c>
      <c r="C68" s="3" t="s">
        <v>2160</v>
      </c>
      <c r="D68" s="5" t="s">
        <v>2159</v>
      </c>
      <c r="E68" s="5" t="s">
        <v>2234</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3071</v>
      </c>
      <c r="AN68" s="6" t="s">
        <v>1962</v>
      </c>
      <c r="AO68" s="3" t="s">
        <v>50</v>
      </c>
      <c r="AP68" s="3">
        <v>0</v>
      </c>
      <c r="AQ68" s="3">
        <v>0</v>
      </c>
      <c r="AR68">
        <v>0</v>
      </c>
      <c r="AS68">
        <v>5</v>
      </c>
      <c r="AT68" s="6" t="s">
        <v>2530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2"/>
        <v>7067</v>
      </c>
      <c r="B69" s="3" t="s">
        <v>2162</v>
      </c>
      <c r="C69" s="3" t="s">
        <v>2162</v>
      </c>
      <c r="D69" s="5" t="s">
        <v>2161</v>
      </c>
      <c r="E69" s="5" t="s">
        <v>2235</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3071</v>
      </c>
      <c r="AN69" s="6" t="s">
        <v>1963</v>
      </c>
      <c r="AO69" s="3" t="s">
        <v>50</v>
      </c>
      <c r="AP69" s="3">
        <v>0</v>
      </c>
      <c r="AQ69" s="3">
        <v>0</v>
      </c>
      <c r="AR69">
        <v>0</v>
      </c>
      <c r="AS69">
        <v>5</v>
      </c>
      <c r="AT69" s="6" t="s">
        <v>2531</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2"/>
        <v>7068</v>
      </c>
      <c r="B70" s="3" t="s">
        <v>2573</v>
      </c>
      <c r="C70" s="3" t="s">
        <v>2573</v>
      </c>
      <c r="D70" s="5" t="s">
        <v>2574</v>
      </c>
      <c r="E70" s="5" t="s">
        <v>2575</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10</v>
      </c>
      <c r="AH70" s="3">
        <v>0</v>
      </c>
      <c r="AI70" s="3">
        <v>5</v>
      </c>
      <c r="AJ70" s="3">
        <v>0</v>
      </c>
      <c r="AK70" s="3">
        <v>0</v>
      </c>
      <c r="AL70" s="3" t="s">
        <v>42</v>
      </c>
      <c r="AM70" s="3" t="s">
        <v>3071</v>
      </c>
      <c r="AN70" s="6" t="s">
        <v>1960</v>
      </c>
      <c r="AO70" s="3" t="s">
        <v>50</v>
      </c>
      <c r="AP70" s="3">
        <v>0</v>
      </c>
      <c r="AQ70" s="3">
        <v>0</v>
      </c>
      <c r="AR70">
        <v>0</v>
      </c>
      <c r="AS70">
        <v>5</v>
      </c>
      <c r="AT70" s="6" t="s">
        <v>2869</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7">
        <f t="shared" si="2"/>
        <v>7069</v>
      </c>
      <c r="B71" s="7" t="s">
        <v>2162</v>
      </c>
      <c r="C71" s="7" t="s">
        <v>3128</v>
      </c>
      <c r="D71" s="8" t="s">
        <v>3127</v>
      </c>
      <c r="E71" s="8" t="s">
        <v>3129</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3316</v>
      </c>
      <c r="AN71" s="10" t="s">
        <v>3180</v>
      </c>
      <c r="AO71" s="7" t="s">
        <v>50</v>
      </c>
      <c r="AP71" s="7">
        <v>0</v>
      </c>
      <c r="AQ71" s="7">
        <v>0</v>
      </c>
      <c r="AR71" s="9">
        <v>0</v>
      </c>
      <c r="AS71" s="9">
        <v>5</v>
      </c>
      <c r="AT71" s="10" t="s">
        <v>2869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0</v>
      </c>
      <c r="BJ71" s="9">
        <v>0</v>
      </c>
      <c r="BK71" s="9">
        <v>1</v>
      </c>
      <c r="BL71" s="9">
        <v>0</v>
      </c>
      <c r="BM71" s="9">
        <v>0</v>
      </c>
      <c r="BN71" s="9">
        <v>0</v>
      </c>
      <c r="BO71" s="9">
        <v>0</v>
      </c>
      <c r="BP71" s="10" t="s">
        <v>50</v>
      </c>
      <c r="BQ71" s="9">
        <v>0</v>
      </c>
      <c r="BR71" s="10" t="s">
        <v>50</v>
      </c>
      <c r="BS71" s="9">
        <v>0</v>
      </c>
      <c r="BT71" s="10" t="s">
        <v>50</v>
      </c>
      <c r="BU71" s="9">
        <v>0</v>
      </c>
    </row>
    <row r="72" spans="1:73" s="9" customFormat="1" ht="15.75" customHeight="1" x14ac:dyDescent="0.2">
      <c r="A72" s="7">
        <f t="shared" si="2"/>
        <v>7070</v>
      </c>
      <c r="B72" s="7" t="s">
        <v>2162</v>
      </c>
      <c r="C72" s="7" t="s">
        <v>3133</v>
      </c>
      <c r="D72" s="8" t="s">
        <v>3134</v>
      </c>
      <c r="E72" s="8" t="s">
        <v>3135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3316</v>
      </c>
      <c r="AN72" s="10" t="s">
        <v>3180</v>
      </c>
      <c r="AO72" s="7" t="s">
        <v>50</v>
      </c>
      <c r="AP72" s="7">
        <v>0</v>
      </c>
      <c r="AQ72" s="7">
        <v>0</v>
      </c>
      <c r="AR72" s="9">
        <v>0</v>
      </c>
      <c r="AS72" s="9">
        <v>5</v>
      </c>
      <c r="AT72" s="10" t="s">
        <v>2869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row>
    <row r="73" spans="1:73" s="9" customFormat="1" ht="15.75" customHeight="1" x14ac:dyDescent="0.2">
      <c r="A73" s="7">
        <f t="shared" si="2"/>
        <v>7071</v>
      </c>
      <c r="B73" s="7" t="s">
        <v>2162</v>
      </c>
      <c r="C73" s="7" t="s">
        <v>3132</v>
      </c>
      <c r="D73" s="8" t="s">
        <v>3130</v>
      </c>
      <c r="E73" s="8" t="s">
        <v>3131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3316</v>
      </c>
      <c r="AN73" s="10" t="s">
        <v>3181</v>
      </c>
      <c r="AO73" s="7" t="s">
        <v>50</v>
      </c>
      <c r="AP73" s="7">
        <v>0</v>
      </c>
      <c r="AQ73" s="7">
        <v>0</v>
      </c>
      <c r="AR73" s="9">
        <v>0</v>
      </c>
      <c r="AS73" s="9">
        <v>5</v>
      </c>
      <c r="AT73" s="10" t="s">
        <v>2869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row>
    <row r="74" spans="1:73" s="9" customFormat="1" ht="15.75" customHeight="1" x14ac:dyDescent="0.2">
      <c r="A74" s="7">
        <f t="shared" si="2"/>
        <v>7072</v>
      </c>
      <c r="B74" s="7" t="s">
        <v>2162</v>
      </c>
      <c r="C74" s="7" t="s">
        <v>3137</v>
      </c>
      <c r="D74" s="8" t="s">
        <v>3138</v>
      </c>
      <c r="E74" s="8" t="s">
        <v>3136</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3316</v>
      </c>
      <c r="AN74" s="10" t="s">
        <v>3181</v>
      </c>
      <c r="AO74" s="7" t="s">
        <v>50</v>
      </c>
      <c r="AP74" s="7">
        <v>0</v>
      </c>
      <c r="AQ74" s="7">
        <v>0</v>
      </c>
      <c r="AR74" s="9">
        <v>0</v>
      </c>
      <c r="AS74" s="9">
        <v>5</v>
      </c>
      <c r="AT74" s="10" t="s">
        <v>2869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row>
    <row r="75" spans="1:73" s="9" customFormat="1" ht="15.75" customHeight="1" x14ac:dyDescent="0.2">
      <c r="A75" s="7">
        <f t="shared" si="2"/>
        <v>7073</v>
      </c>
      <c r="B75" s="7" t="s">
        <v>2162</v>
      </c>
      <c r="C75" s="7" t="s">
        <v>3139</v>
      </c>
      <c r="D75" s="8" t="s">
        <v>3546</v>
      </c>
      <c r="E75" s="8" t="s">
        <v>3140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3183</v>
      </c>
      <c r="AN75" s="10" t="s">
        <v>3182</v>
      </c>
      <c r="AO75" s="7" t="s">
        <v>50</v>
      </c>
      <c r="AP75" s="7">
        <v>0</v>
      </c>
      <c r="AQ75" s="7">
        <v>0</v>
      </c>
      <c r="AR75" s="9">
        <v>0</v>
      </c>
      <c r="AS75" s="9">
        <v>5</v>
      </c>
      <c r="AT75" s="10" t="s">
        <v>2869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row>
    <row r="76" spans="1:73" s="9" customFormat="1" ht="15.75" customHeight="1" x14ac:dyDescent="0.2">
      <c r="A76" s="7">
        <f t="shared" si="2"/>
        <v>7074</v>
      </c>
      <c r="B76" s="7" t="s">
        <v>2162</v>
      </c>
      <c r="C76" s="7" t="s">
        <v>3147</v>
      </c>
      <c r="D76" s="8" t="s">
        <v>3547</v>
      </c>
      <c r="E76" s="8" t="s">
        <v>3141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3183</v>
      </c>
      <c r="AN76" s="10" t="s">
        <v>3182</v>
      </c>
      <c r="AO76" s="7" t="s">
        <v>50</v>
      </c>
      <c r="AP76" s="7">
        <v>0</v>
      </c>
      <c r="AQ76" s="7">
        <v>0</v>
      </c>
      <c r="AR76" s="9">
        <v>0</v>
      </c>
      <c r="AS76" s="9">
        <v>5</v>
      </c>
      <c r="AT76" s="10" t="s">
        <v>2869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row>
    <row r="77" spans="1:73" s="9" customFormat="1" ht="15.75" customHeight="1" x14ac:dyDescent="0.2">
      <c r="A77" s="7">
        <f t="shared" si="2"/>
        <v>7075</v>
      </c>
      <c r="B77" s="7" t="s">
        <v>2162</v>
      </c>
      <c r="C77" s="7" t="s">
        <v>3148</v>
      </c>
      <c r="D77" s="8" t="s">
        <v>3548</v>
      </c>
      <c r="E77" s="8" t="s">
        <v>3142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3183</v>
      </c>
      <c r="AN77" s="10" t="s">
        <v>3182</v>
      </c>
      <c r="AO77" s="7" t="s">
        <v>50</v>
      </c>
      <c r="AP77" s="7">
        <v>0</v>
      </c>
      <c r="AQ77" s="7">
        <v>0</v>
      </c>
      <c r="AR77" s="9">
        <v>0</v>
      </c>
      <c r="AS77" s="9">
        <v>5</v>
      </c>
      <c r="AT77" s="10" t="s">
        <v>2869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row>
    <row r="78" spans="1:73" s="9" customFormat="1" ht="15.75" customHeight="1" x14ac:dyDescent="0.2">
      <c r="A78" s="7">
        <f t="shared" si="2"/>
        <v>7076</v>
      </c>
      <c r="B78" s="7" t="s">
        <v>2162</v>
      </c>
      <c r="C78" s="7" t="s">
        <v>3149</v>
      </c>
      <c r="D78" s="8" t="s">
        <v>3549</v>
      </c>
      <c r="E78" s="8" t="s">
        <v>3143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3183</v>
      </c>
      <c r="AN78" s="10" t="s">
        <v>3182</v>
      </c>
      <c r="AO78" s="7" t="s">
        <v>50</v>
      </c>
      <c r="AP78" s="7">
        <v>0</v>
      </c>
      <c r="AQ78" s="7">
        <v>0</v>
      </c>
      <c r="AR78" s="9">
        <v>0</v>
      </c>
      <c r="AS78" s="9">
        <v>5</v>
      </c>
      <c r="AT78" s="10" t="s">
        <v>2869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row>
    <row r="79" spans="1:73" s="9" customFormat="1" ht="15.75" customHeight="1" x14ac:dyDescent="0.2">
      <c r="A79" s="7">
        <f t="shared" si="2"/>
        <v>7077</v>
      </c>
      <c r="B79" s="7" t="s">
        <v>2162</v>
      </c>
      <c r="C79" s="7" t="s">
        <v>3150</v>
      </c>
      <c r="D79" s="8" t="s">
        <v>3550</v>
      </c>
      <c r="E79" s="8" t="s">
        <v>3144</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3183</v>
      </c>
      <c r="AN79" s="10" t="s">
        <v>3182</v>
      </c>
      <c r="AO79" s="7" t="s">
        <v>50</v>
      </c>
      <c r="AP79" s="7">
        <v>0</v>
      </c>
      <c r="AQ79" s="7">
        <v>0</v>
      </c>
      <c r="AR79" s="9">
        <v>0</v>
      </c>
      <c r="AS79" s="9">
        <v>5</v>
      </c>
      <c r="AT79" s="10" t="s">
        <v>2869</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row>
    <row r="80" spans="1:73" s="9" customFormat="1" ht="15.75" customHeight="1" x14ac:dyDescent="0.2">
      <c r="A80" s="7">
        <f t="shared" si="2"/>
        <v>7078</v>
      </c>
      <c r="B80" s="7" t="s">
        <v>2162</v>
      </c>
      <c r="C80" s="7" t="s">
        <v>3151</v>
      </c>
      <c r="D80" s="8" t="s">
        <v>3551</v>
      </c>
      <c r="E80" s="8" t="s">
        <v>3145</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3183</v>
      </c>
      <c r="AN80" s="10" t="s">
        <v>3182</v>
      </c>
      <c r="AO80" s="7" t="s">
        <v>50</v>
      </c>
      <c r="AP80" s="7">
        <v>0</v>
      </c>
      <c r="AQ80" s="7">
        <v>0</v>
      </c>
      <c r="AR80" s="9">
        <v>0</v>
      </c>
      <c r="AS80" s="9">
        <v>5</v>
      </c>
      <c r="AT80" s="10" t="s">
        <v>2869</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row>
    <row r="81" spans="1:73" s="9" customFormat="1" ht="15.75" customHeight="1" x14ac:dyDescent="0.2">
      <c r="A81" s="7">
        <f t="shared" si="2"/>
        <v>7079</v>
      </c>
      <c r="B81" s="7" t="s">
        <v>2162</v>
      </c>
      <c r="C81" s="7" t="s">
        <v>3152</v>
      </c>
      <c r="D81" s="8" t="s">
        <v>3552</v>
      </c>
      <c r="E81" s="8" t="s">
        <v>3146</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3183</v>
      </c>
      <c r="AN81" s="10" t="s">
        <v>3182</v>
      </c>
      <c r="AO81" s="7" t="s">
        <v>50</v>
      </c>
      <c r="AP81" s="7">
        <v>0</v>
      </c>
      <c r="AQ81" s="7">
        <v>0</v>
      </c>
      <c r="AR81" s="9">
        <v>0</v>
      </c>
      <c r="AS81" s="9">
        <v>5</v>
      </c>
      <c r="AT81" s="10" t="s">
        <v>2869</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row>
    <row r="82" spans="1:73" s="9" customFormat="1" ht="15.75" customHeight="1" x14ac:dyDescent="0.2">
      <c r="A82" s="7">
        <f t="shared" si="2"/>
        <v>7080</v>
      </c>
      <c r="B82" s="7" t="s">
        <v>2162</v>
      </c>
      <c r="C82" s="7" t="s">
        <v>3015</v>
      </c>
      <c r="D82" s="8" t="s">
        <v>3016</v>
      </c>
      <c r="E82" s="8" t="s">
        <v>3014</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0</v>
      </c>
      <c r="AB82" s="7">
        <v>0</v>
      </c>
      <c r="AC82" s="7">
        <v>0</v>
      </c>
      <c r="AD82" s="7">
        <v>0</v>
      </c>
      <c r="AE82" s="7">
        <v>0</v>
      </c>
      <c r="AF82" s="7">
        <v>0</v>
      </c>
      <c r="AG82" s="7">
        <v>0</v>
      </c>
      <c r="AH82" s="7">
        <v>0</v>
      </c>
      <c r="AI82" s="7">
        <v>0</v>
      </c>
      <c r="AJ82" s="7">
        <v>0</v>
      </c>
      <c r="AK82" s="7">
        <v>0</v>
      </c>
      <c r="AL82" s="7" t="s">
        <v>42</v>
      </c>
      <c r="AM82" s="7" t="s">
        <v>3315</v>
      </c>
      <c r="AN82" s="10" t="s">
        <v>3020</v>
      </c>
      <c r="AO82" s="7" t="s">
        <v>50</v>
      </c>
      <c r="AP82" s="7">
        <v>0</v>
      </c>
      <c r="AQ82" s="7">
        <v>0</v>
      </c>
      <c r="AR82" s="9">
        <v>0</v>
      </c>
      <c r="AS82" s="9">
        <v>5</v>
      </c>
      <c r="AT82" s="10" t="s">
        <v>2869</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row>
    <row r="83" spans="1:73" s="9" customFormat="1" ht="15.75" customHeight="1" x14ac:dyDescent="0.2">
      <c r="A83" s="7">
        <f t="shared" si="2"/>
        <v>7081</v>
      </c>
      <c r="B83" s="7" t="s">
        <v>2162</v>
      </c>
      <c r="C83" s="7" t="s">
        <v>3019</v>
      </c>
      <c r="D83" s="8" t="s">
        <v>3017</v>
      </c>
      <c r="E83" s="8" t="s">
        <v>3018</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3315</v>
      </c>
      <c r="AN83" s="10" t="s">
        <v>3020</v>
      </c>
      <c r="AO83" s="7" t="s">
        <v>50</v>
      </c>
      <c r="AP83" s="7">
        <v>0</v>
      </c>
      <c r="AQ83" s="7">
        <v>0</v>
      </c>
      <c r="AR83" s="9">
        <v>0</v>
      </c>
      <c r="AS83" s="9">
        <v>5</v>
      </c>
      <c r="AT83" s="10" t="s">
        <v>2869</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row>
    <row r="84" spans="1:73" ht="15.75" customHeight="1" x14ac:dyDescent="0.2">
      <c r="A84" s="3">
        <f t="shared" si="2"/>
        <v>7082</v>
      </c>
      <c r="B84" s="3" t="s">
        <v>3598</v>
      </c>
      <c r="C84" s="3" t="s">
        <v>3021</v>
      </c>
      <c r="D84" s="5" t="s">
        <v>3078</v>
      </c>
      <c r="E84" s="5" t="s">
        <v>3625</v>
      </c>
      <c r="F84" s="3">
        <v>0</v>
      </c>
      <c r="G84" s="3">
        <v>0</v>
      </c>
      <c r="H84" s="3">
        <v>0</v>
      </c>
      <c r="I84" s="3">
        <v>50</v>
      </c>
      <c r="J84" s="3">
        <v>15</v>
      </c>
      <c r="K84" s="3">
        <v>1</v>
      </c>
      <c r="L84" s="3">
        <v>0</v>
      </c>
      <c r="M84" s="3">
        <v>7</v>
      </c>
      <c r="N84" s="3">
        <v>0</v>
      </c>
      <c r="O84" s="3">
        <v>5</v>
      </c>
      <c r="P84" s="3">
        <v>0</v>
      </c>
      <c r="Q84" s="3">
        <v>0</v>
      </c>
      <c r="R84" s="3">
        <v>0</v>
      </c>
      <c r="S84" s="3">
        <v>0</v>
      </c>
      <c r="T84" s="3">
        <v>0</v>
      </c>
      <c r="U84" s="3">
        <v>0</v>
      </c>
      <c r="V84" s="3">
        <v>0</v>
      </c>
      <c r="W84" s="3">
        <v>0</v>
      </c>
      <c r="X84" s="3">
        <v>3</v>
      </c>
      <c r="Y84" s="3">
        <v>0</v>
      </c>
      <c r="Z84" s="3">
        <v>5</v>
      </c>
      <c r="AA84" s="3">
        <v>0</v>
      </c>
      <c r="AB84" s="3">
        <v>0</v>
      </c>
      <c r="AC84" s="3">
        <v>0</v>
      </c>
      <c r="AD84" s="3">
        <v>0</v>
      </c>
      <c r="AE84" s="3">
        <v>0</v>
      </c>
      <c r="AF84" s="3">
        <v>0</v>
      </c>
      <c r="AG84" s="3">
        <v>0</v>
      </c>
      <c r="AH84" s="3">
        <v>0</v>
      </c>
      <c r="AI84" s="3">
        <v>0</v>
      </c>
      <c r="AJ84" s="3">
        <v>0</v>
      </c>
      <c r="AK84" s="3">
        <v>0</v>
      </c>
      <c r="AL84" s="3" t="s">
        <v>42</v>
      </c>
      <c r="AM84" s="3" t="s">
        <v>3315</v>
      </c>
      <c r="AN84" s="6" t="s">
        <v>3027</v>
      </c>
      <c r="AO84" s="3" t="s">
        <v>50</v>
      </c>
      <c r="AP84" s="3">
        <v>0</v>
      </c>
      <c r="AQ84" s="3">
        <v>0</v>
      </c>
      <c r="AR84">
        <v>0</v>
      </c>
      <c r="AS84">
        <v>5</v>
      </c>
      <c r="AT84" s="6" t="s">
        <v>3600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2</v>
      </c>
      <c r="BL84">
        <v>0</v>
      </c>
      <c r="BM84">
        <v>0</v>
      </c>
      <c r="BN84">
        <v>0</v>
      </c>
      <c r="BO84">
        <v>0</v>
      </c>
      <c r="BP84" s="6" t="s">
        <v>50</v>
      </c>
      <c r="BQ84">
        <v>0</v>
      </c>
      <c r="BR84" s="6" t="s">
        <v>50</v>
      </c>
      <c r="BS84">
        <v>0</v>
      </c>
      <c r="BT84" s="6" t="s">
        <v>50</v>
      </c>
      <c r="BU84">
        <v>0</v>
      </c>
    </row>
    <row r="85" spans="1:73" ht="15.75" customHeight="1" x14ac:dyDescent="0.2">
      <c r="A85" s="3">
        <f t="shared" si="2"/>
        <v>7083</v>
      </c>
      <c r="B85" s="3" t="s">
        <v>3599</v>
      </c>
      <c r="C85" s="3" t="s">
        <v>3597</v>
      </c>
      <c r="D85" s="5" t="s">
        <v>3077</v>
      </c>
      <c r="E85" s="5" t="s">
        <v>3088</v>
      </c>
      <c r="F85" s="3">
        <v>0</v>
      </c>
      <c r="G85" s="3">
        <v>0</v>
      </c>
      <c r="H85" s="3">
        <v>0</v>
      </c>
      <c r="I85" s="3">
        <v>50</v>
      </c>
      <c r="J85" s="3">
        <v>15</v>
      </c>
      <c r="K85" s="3">
        <v>1</v>
      </c>
      <c r="L85" s="3">
        <v>0</v>
      </c>
      <c r="M85" s="3">
        <v>7</v>
      </c>
      <c r="N85" s="3">
        <v>0</v>
      </c>
      <c r="O85" s="3">
        <v>5</v>
      </c>
      <c r="P85" s="3">
        <v>0</v>
      </c>
      <c r="Q85" s="3">
        <v>0</v>
      </c>
      <c r="R85" s="3">
        <v>0</v>
      </c>
      <c r="S85" s="3">
        <v>0</v>
      </c>
      <c r="T85" s="3">
        <v>0</v>
      </c>
      <c r="U85" s="3">
        <v>0</v>
      </c>
      <c r="V85" s="3">
        <v>0</v>
      </c>
      <c r="W85" s="3">
        <v>0</v>
      </c>
      <c r="X85" s="3">
        <v>3</v>
      </c>
      <c r="Y85" s="3">
        <v>0</v>
      </c>
      <c r="Z85" s="3">
        <v>5</v>
      </c>
      <c r="AA85" s="3">
        <v>0</v>
      </c>
      <c r="AB85" s="3">
        <v>0</v>
      </c>
      <c r="AC85" s="3">
        <v>0</v>
      </c>
      <c r="AD85" s="3">
        <v>0</v>
      </c>
      <c r="AE85" s="3">
        <v>0</v>
      </c>
      <c r="AF85" s="3">
        <v>0</v>
      </c>
      <c r="AG85" s="3">
        <v>0</v>
      </c>
      <c r="AH85" s="3">
        <v>0</v>
      </c>
      <c r="AI85" s="3">
        <v>0</v>
      </c>
      <c r="AJ85" s="3">
        <v>0</v>
      </c>
      <c r="AK85" s="3">
        <v>0</v>
      </c>
      <c r="AL85" s="3" t="s">
        <v>42</v>
      </c>
      <c r="AM85" s="3" t="s">
        <v>3315</v>
      </c>
      <c r="AN85" s="6" t="s">
        <v>3027</v>
      </c>
      <c r="AO85" s="3" t="s">
        <v>50</v>
      </c>
      <c r="AP85" s="3">
        <v>0</v>
      </c>
      <c r="AQ85" s="3">
        <v>0</v>
      </c>
      <c r="AR85">
        <v>0</v>
      </c>
      <c r="AS85">
        <v>5</v>
      </c>
      <c r="AT85" s="6" t="s">
        <v>3601</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2</v>
      </c>
      <c r="BL85">
        <v>0</v>
      </c>
      <c r="BM85">
        <v>0</v>
      </c>
      <c r="BN85">
        <v>0</v>
      </c>
      <c r="BO85">
        <v>0</v>
      </c>
      <c r="BP85" s="6" t="s">
        <v>50</v>
      </c>
      <c r="BQ85">
        <v>0</v>
      </c>
      <c r="BR85" s="6" t="s">
        <v>50</v>
      </c>
      <c r="BS85">
        <v>0</v>
      </c>
      <c r="BT85" s="6" t="s">
        <v>50</v>
      </c>
      <c r="BU85">
        <v>0</v>
      </c>
    </row>
    <row r="86" spans="1:73" s="9" customFormat="1" ht="15.75" customHeight="1" x14ac:dyDescent="0.2">
      <c r="A86" s="7">
        <f t="shared" si="2"/>
        <v>7084</v>
      </c>
      <c r="B86" s="7" t="s">
        <v>2162</v>
      </c>
      <c r="C86" s="7" t="s">
        <v>3032</v>
      </c>
      <c r="D86" s="8" t="s">
        <v>3084</v>
      </c>
      <c r="E86" s="8" t="s">
        <v>3086</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3315</v>
      </c>
      <c r="AN86" s="10" t="s">
        <v>3034</v>
      </c>
      <c r="AO86" s="7" t="s">
        <v>50</v>
      </c>
      <c r="AP86" s="7">
        <v>0</v>
      </c>
      <c r="AQ86" s="7">
        <v>0</v>
      </c>
      <c r="AR86" s="9">
        <v>0</v>
      </c>
      <c r="AS86" s="9">
        <v>5</v>
      </c>
      <c r="AT86" s="10" t="s">
        <v>2869</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row>
    <row r="87" spans="1:73" s="9" customFormat="1" ht="15.75" customHeight="1" x14ac:dyDescent="0.2">
      <c r="A87" s="7">
        <f t="shared" si="2"/>
        <v>7085</v>
      </c>
      <c r="B87" s="7" t="s">
        <v>2162</v>
      </c>
      <c r="C87" s="7" t="s">
        <v>3033</v>
      </c>
      <c r="D87" s="8" t="s">
        <v>3085</v>
      </c>
      <c r="E87" s="8" t="s">
        <v>3087</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3315</v>
      </c>
      <c r="AN87" s="10" t="s">
        <v>3034</v>
      </c>
      <c r="AO87" s="7" t="s">
        <v>50</v>
      </c>
      <c r="AP87" s="7">
        <v>0</v>
      </c>
      <c r="AQ87" s="7">
        <v>0</v>
      </c>
      <c r="AR87" s="9">
        <v>0</v>
      </c>
      <c r="AS87" s="9">
        <v>5</v>
      </c>
      <c r="AT87" s="10" t="s">
        <v>2869</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7">
        <f t="shared" si="2"/>
        <v>7086</v>
      </c>
      <c r="B88" s="7" t="s">
        <v>2162</v>
      </c>
      <c r="C88" s="7" t="s">
        <v>3024</v>
      </c>
      <c r="D88" s="8" t="s">
        <v>3122</v>
      </c>
      <c r="E88" s="8" t="s">
        <v>3022</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3315</v>
      </c>
      <c r="AN88" s="10" t="s">
        <v>3029</v>
      </c>
      <c r="AO88" s="7" t="s">
        <v>50</v>
      </c>
      <c r="AP88" s="7">
        <v>0</v>
      </c>
      <c r="AQ88" s="7">
        <v>0</v>
      </c>
      <c r="AR88" s="9">
        <v>0</v>
      </c>
      <c r="AS88" s="9">
        <v>5</v>
      </c>
      <c r="AT88" s="10" t="s">
        <v>2869</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7">
        <f t="shared" si="2"/>
        <v>7087</v>
      </c>
      <c r="B89" s="7" t="s">
        <v>2162</v>
      </c>
      <c r="C89" s="7" t="s">
        <v>3025</v>
      </c>
      <c r="D89" s="8" t="s">
        <v>3123</v>
      </c>
      <c r="E89" s="8" t="s">
        <v>3023</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3315</v>
      </c>
      <c r="AN89" s="10" t="s">
        <v>3029</v>
      </c>
      <c r="AO89" s="7" t="s">
        <v>50</v>
      </c>
      <c r="AP89" s="7">
        <v>0</v>
      </c>
      <c r="AQ89" s="7">
        <v>0</v>
      </c>
      <c r="AR89" s="9">
        <v>0</v>
      </c>
      <c r="AS89" s="9">
        <v>5</v>
      </c>
      <c r="AT89" s="10" t="s">
        <v>2869</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row>
    <row r="90" spans="1:73" s="9" customFormat="1" ht="15.75" customHeight="1" x14ac:dyDescent="0.2">
      <c r="A90" s="7">
        <f t="shared" si="2"/>
        <v>7088</v>
      </c>
      <c r="B90" s="7" t="s">
        <v>2162</v>
      </c>
      <c r="C90" s="7" t="s">
        <v>3026</v>
      </c>
      <c r="D90" s="8" t="s">
        <v>3470</v>
      </c>
      <c r="E90" s="8" t="s">
        <v>3471</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42</v>
      </c>
      <c r="AM90" s="7" t="s">
        <v>3315</v>
      </c>
      <c r="AN90" s="10" t="s">
        <v>3028</v>
      </c>
      <c r="AO90" s="7" t="s">
        <v>50</v>
      </c>
      <c r="AP90" s="7">
        <v>0</v>
      </c>
      <c r="AQ90" s="7">
        <v>0</v>
      </c>
      <c r="AR90" s="9">
        <v>0</v>
      </c>
      <c r="AS90" s="9">
        <v>5</v>
      </c>
      <c r="AT90" s="10" t="s">
        <v>2869</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row>
    <row r="91" spans="1:73" s="9" customFormat="1" ht="15.75" customHeight="1" x14ac:dyDescent="0.2">
      <c r="A91" s="7">
        <f t="shared" si="2"/>
        <v>7089</v>
      </c>
      <c r="B91" s="7" t="s">
        <v>2162</v>
      </c>
      <c r="C91" s="7" t="s">
        <v>3472</v>
      </c>
      <c r="D91" s="8" t="s">
        <v>3469</v>
      </c>
      <c r="E91" s="8" t="s">
        <v>3468</v>
      </c>
      <c r="F91" s="7">
        <v>0</v>
      </c>
      <c r="G91" s="7">
        <v>0</v>
      </c>
      <c r="H91" s="7">
        <v>0</v>
      </c>
      <c r="I91" s="7">
        <v>50</v>
      </c>
      <c r="J91" s="7">
        <v>15</v>
      </c>
      <c r="K91" s="7">
        <v>1</v>
      </c>
      <c r="L91" s="7">
        <v>0</v>
      </c>
      <c r="M91" s="7">
        <v>7</v>
      </c>
      <c r="N91" s="7">
        <v>0</v>
      </c>
      <c r="O91" s="7">
        <v>5</v>
      </c>
      <c r="P91" s="7">
        <v>0</v>
      </c>
      <c r="Q91" s="7">
        <v>0</v>
      </c>
      <c r="R91" s="7">
        <v>0</v>
      </c>
      <c r="S91" s="7">
        <v>0</v>
      </c>
      <c r="T91" s="7">
        <v>0</v>
      </c>
      <c r="U91" s="7">
        <v>0</v>
      </c>
      <c r="V91" s="7">
        <v>0</v>
      </c>
      <c r="W91" s="7">
        <v>0</v>
      </c>
      <c r="X91" s="7">
        <v>3</v>
      </c>
      <c r="Y91" s="7">
        <v>0</v>
      </c>
      <c r="Z91" s="7">
        <v>5</v>
      </c>
      <c r="AA91" s="7">
        <v>0</v>
      </c>
      <c r="AB91" s="7">
        <v>0</v>
      </c>
      <c r="AC91" s="7">
        <v>0</v>
      </c>
      <c r="AD91" s="7">
        <v>0</v>
      </c>
      <c r="AE91" s="7">
        <v>0</v>
      </c>
      <c r="AF91" s="7">
        <v>0</v>
      </c>
      <c r="AG91" s="7">
        <v>0</v>
      </c>
      <c r="AH91" s="7">
        <v>0</v>
      </c>
      <c r="AI91" s="7">
        <v>0</v>
      </c>
      <c r="AJ91" s="7">
        <v>0</v>
      </c>
      <c r="AK91" s="7">
        <v>0</v>
      </c>
      <c r="AL91" s="7" t="s">
        <v>1031</v>
      </c>
      <c r="AM91" s="7" t="s">
        <v>3315</v>
      </c>
      <c r="AN91" s="10" t="s">
        <v>3028</v>
      </c>
      <c r="AO91" s="7" t="s">
        <v>50</v>
      </c>
      <c r="AP91" s="7">
        <v>0</v>
      </c>
      <c r="AQ91" s="7">
        <v>0</v>
      </c>
      <c r="AR91" s="9">
        <v>0</v>
      </c>
      <c r="AS91" s="9">
        <v>5</v>
      </c>
      <c r="AT91" s="10" t="s">
        <v>2869</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0</v>
      </c>
      <c r="BK91" s="9">
        <v>1</v>
      </c>
      <c r="BL91" s="9">
        <v>0</v>
      </c>
      <c r="BM91" s="9">
        <v>0</v>
      </c>
      <c r="BN91" s="9">
        <v>0</v>
      </c>
      <c r="BO91" s="9">
        <v>0</v>
      </c>
      <c r="BP91" s="10" t="s">
        <v>50</v>
      </c>
      <c r="BQ91" s="9">
        <v>0</v>
      </c>
      <c r="BR91" s="10" t="s">
        <v>50</v>
      </c>
      <c r="BS91" s="9">
        <v>0</v>
      </c>
      <c r="BT91" s="10" t="s">
        <v>50</v>
      </c>
      <c r="BU91" s="9">
        <v>0</v>
      </c>
    </row>
    <row r="92" spans="1:73" ht="15.75" customHeight="1" x14ac:dyDescent="0.2">
      <c r="A92" s="3">
        <f t="shared" si="2"/>
        <v>7090</v>
      </c>
      <c r="B92" s="3" t="s">
        <v>513</v>
      </c>
      <c r="C92" s="3" t="s">
        <v>1445</v>
      </c>
      <c r="D92" s="5" t="s">
        <v>1443</v>
      </c>
      <c r="E92" s="5" t="s">
        <v>1444</v>
      </c>
      <c r="F92" s="3">
        <v>0</v>
      </c>
      <c r="G92" s="3">
        <v>0</v>
      </c>
      <c r="H92" s="3">
        <v>0</v>
      </c>
      <c r="I92" s="3">
        <v>50</v>
      </c>
      <c r="J92" s="3">
        <v>5</v>
      </c>
      <c r="K92" s="3">
        <v>1</v>
      </c>
      <c r="L92" s="3">
        <v>0</v>
      </c>
      <c r="M92" s="3">
        <v>0</v>
      </c>
      <c r="N92" s="3">
        <v>0</v>
      </c>
      <c r="O92" s="3">
        <v>0</v>
      </c>
      <c r="P92" s="3">
        <v>30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42</v>
      </c>
      <c r="AN92" s="3" t="s">
        <v>2029</v>
      </c>
      <c r="AO92" s="3" t="s">
        <v>1847</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row>
    <row r="93" spans="1:73" ht="15.75" customHeight="1" x14ac:dyDescent="0.2">
      <c r="A93" s="3">
        <f t="shared" si="2"/>
        <v>7091</v>
      </c>
      <c r="B93" s="3" t="s">
        <v>513</v>
      </c>
      <c r="C93" s="3" t="s">
        <v>1447</v>
      </c>
      <c r="D93" s="5" t="s">
        <v>1446</v>
      </c>
      <c r="E93" s="5" t="s">
        <v>1448</v>
      </c>
      <c r="F93" s="3">
        <v>0</v>
      </c>
      <c r="G93" s="3">
        <v>0</v>
      </c>
      <c r="H93" s="3">
        <v>0</v>
      </c>
      <c r="I93" s="3">
        <v>50</v>
      </c>
      <c r="J93" s="3">
        <v>5</v>
      </c>
      <c r="K93" s="3">
        <v>1</v>
      </c>
      <c r="L93" s="3">
        <v>0</v>
      </c>
      <c r="M93" s="3">
        <v>0</v>
      </c>
      <c r="N93" s="3">
        <v>0</v>
      </c>
      <c r="O93" s="3">
        <v>0</v>
      </c>
      <c r="P93" s="3">
        <v>0</v>
      </c>
      <c r="Q93" s="3">
        <v>30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3521</v>
      </c>
      <c r="AN93" s="3" t="s">
        <v>2029</v>
      </c>
      <c r="AO93" s="3" t="s">
        <v>1847</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row>
    <row r="94" spans="1:73" ht="15.75" customHeight="1" x14ac:dyDescent="0.2">
      <c r="A94" s="3">
        <f t="shared" si="2"/>
        <v>7092</v>
      </c>
      <c r="B94" s="3" t="s">
        <v>1510</v>
      </c>
      <c r="C94" s="3" t="s">
        <v>1497</v>
      </c>
      <c r="D94" s="5" t="s">
        <v>3511</v>
      </c>
      <c r="E94" s="5" t="s">
        <v>1511</v>
      </c>
      <c r="F94" s="3">
        <v>0</v>
      </c>
      <c r="G94" s="3">
        <v>0</v>
      </c>
      <c r="H94" s="3">
        <v>0</v>
      </c>
      <c r="I94" s="3">
        <v>50</v>
      </c>
      <c r="J94" s="3">
        <v>5</v>
      </c>
      <c r="K94" s="3">
        <v>1</v>
      </c>
      <c r="L94" s="3">
        <v>0</v>
      </c>
      <c r="M94" s="3">
        <v>20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2443</v>
      </c>
      <c r="AO94" s="3" t="s">
        <v>1847</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row>
    <row r="95" spans="1:73" ht="15.75" customHeight="1" x14ac:dyDescent="0.2">
      <c r="A95" s="3">
        <f t="shared" si="2"/>
        <v>7093</v>
      </c>
      <c r="B95" s="3" t="s">
        <v>1507</v>
      </c>
      <c r="C95" s="3" t="s">
        <v>1499</v>
      </c>
      <c r="D95" s="5" t="s">
        <v>1498</v>
      </c>
      <c r="E95" s="5" t="s">
        <v>3556</v>
      </c>
      <c r="F95" s="3">
        <v>0</v>
      </c>
      <c r="G95" s="3">
        <v>0</v>
      </c>
      <c r="H95" s="3">
        <v>0</v>
      </c>
      <c r="I95" s="3">
        <v>50</v>
      </c>
      <c r="J95" s="3">
        <v>5</v>
      </c>
      <c r="K95" s="3">
        <v>1</v>
      </c>
      <c r="L95" s="3">
        <v>0</v>
      </c>
      <c r="M95" s="3">
        <v>0</v>
      </c>
      <c r="N95" s="3">
        <v>20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2443</v>
      </c>
      <c r="AO95" s="3" t="s">
        <v>1847</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0</v>
      </c>
      <c r="BP95" s="6" t="s">
        <v>50</v>
      </c>
      <c r="BQ95">
        <v>0</v>
      </c>
      <c r="BR95" s="6" t="s">
        <v>50</v>
      </c>
      <c r="BS95">
        <v>0</v>
      </c>
      <c r="BT95" s="6" t="s">
        <v>50</v>
      </c>
      <c r="BU95">
        <v>0</v>
      </c>
    </row>
    <row r="96" spans="1:73" ht="15.75" customHeight="1" x14ac:dyDescent="0.2">
      <c r="A96" s="3">
        <f t="shared" si="2"/>
        <v>7094</v>
      </c>
      <c r="B96" s="3" t="s">
        <v>1508</v>
      </c>
      <c r="C96" s="3" t="s">
        <v>1504</v>
      </c>
      <c r="D96" s="5" t="s">
        <v>1502</v>
      </c>
      <c r="E96" s="5" t="s">
        <v>1503</v>
      </c>
      <c r="F96" s="3">
        <v>1</v>
      </c>
      <c r="G96" s="3">
        <v>0</v>
      </c>
      <c r="H96" s="3">
        <v>0</v>
      </c>
      <c r="I96" s="3">
        <v>50</v>
      </c>
      <c r="J96" s="3">
        <v>5</v>
      </c>
      <c r="K96" s="3">
        <v>1</v>
      </c>
      <c r="L96" s="3">
        <v>0</v>
      </c>
      <c r="M96" s="3">
        <v>0</v>
      </c>
      <c r="N96" s="3">
        <v>3</v>
      </c>
      <c r="O96" s="3">
        <v>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2443</v>
      </c>
      <c r="AO96" s="3" t="s">
        <v>1847</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1</v>
      </c>
      <c r="BP96" s="6" t="s">
        <v>50</v>
      </c>
      <c r="BQ96">
        <v>0</v>
      </c>
      <c r="BR96" s="6" t="s">
        <v>50</v>
      </c>
      <c r="BS96">
        <v>0</v>
      </c>
      <c r="BT96" s="6" t="s">
        <v>50</v>
      </c>
      <c r="BU96">
        <v>0</v>
      </c>
    </row>
    <row r="97" spans="1:73" ht="15.75" customHeight="1" x14ac:dyDescent="0.2">
      <c r="A97" s="3">
        <f t="shared" si="2"/>
        <v>7095</v>
      </c>
      <c r="B97" s="3" t="s">
        <v>1509</v>
      </c>
      <c r="C97" s="3" t="s">
        <v>1500</v>
      </c>
      <c r="D97" s="5" t="s">
        <v>1501</v>
      </c>
      <c r="E97" s="5" t="s">
        <v>1505</v>
      </c>
      <c r="F97" s="3">
        <v>0</v>
      </c>
      <c r="G97" s="3">
        <v>0</v>
      </c>
      <c r="H97" s="3">
        <v>0</v>
      </c>
      <c r="I97" s="3">
        <v>50</v>
      </c>
      <c r="J97" s="3">
        <v>5</v>
      </c>
      <c r="K97" s="3">
        <v>1</v>
      </c>
      <c r="L97" s="3">
        <v>0</v>
      </c>
      <c r="M97" s="3">
        <v>0</v>
      </c>
      <c r="N97" s="3">
        <v>0</v>
      </c>
      <c r="O97" s="3">
        <v>20</v>
      </c>
      <c r="P97" s="3">
        <v>0</v>
      </c>
      <c r="Q97" s="3">
        <v>0</v>
      </c>
      <c r="R97" s="3">
        <v>0</v>
      </c>
      <c r="S97" s="3">
        <v>0</v>
      </c>
      <c r="T97" s="3">
        <v>0</v>
      </c>
      <c r="U97" s="3">
        <v>0</v>
      </c>
      <c r="V97" s="3">
        <v>0</v>
      </c>
      <c r="W97" s="3">
        <v>0</v>
      </c>
      <c r="X97" s="3">
        <v>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2443</v>
      </c>
      <c r="AO97" s="3" t="s">
        <v>1847</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row>
    <row r="98" spans="1:73" ht="15.75" customHeight="1" x14ac:dyDescent="0.2">
      <c r="A98" s="3">
        <f t="shared" ref="A98:A104" si="3">ROW()+6998</f>
        <v>7096</v>
      </c>
      <c r="B98" s="3" t="s">
        <v>1437</v>
      </c>
      <c r="C98" s="3" t="s">
        <v>1437</v>
      </c>
      <c r="D98" s="5" t="s">
        <v>1459</v>
      </c>
      <c r="E98" s="5" t="s">
        <v>1434</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2029</v>
      </c>
      <c r="AO98" s="3" t="s">
        <v>1847</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row>
    <row r="99" spans="1:73" ht="15.75" customHeight="1" x14ac:dyDescent="0.2">
      <c r="A99" s="3">
        <f t="shared" si="3"/>
        <v>7097</v>
      </c>
      <c r="B99" s="3" t="s">
        <v>1436</v>
      </c>
      <c r="C99" s="3" t="s">
        <v>1436</v>
      </c>
      <c r="D99" s="5" t="s">
        <v>1460</v>
      </c>
      <c r="E99" s="5" t="s">
        <v>1435</v>
      </c>
      <c r="F99" s="3">
        <v>0</v>
      </c>
      <c r="G99" s="3">
        <v>0</v>
      </c>
      <c r="H99" s="3">
        <v>0</v>
      </c>
      <c r="I99" s="3">
        <v>50</v>
      </c>
      <c r="J99" s="3">
        <v>5</v>
      </c>
      <c r="K99" s="3">
        <v>1</v>
      </c>
      <c r="L99" s="3">
        <v>0</v>
      </c>
      <c r="M99" s="3">
        <v>0</v>
      </c>
      <c r="N99" s="3">
        <v>0</v>
      </c>
      <c r="O99" s="3">
        <v>0</v>
      </c>
      <c r="P99" s="3">
        <v>-30</v>
      </c>
      <c r="Q99" s="3">
        <v>-30</v>
      </c>
      <c r="R99" s="3">
        <v>-30</v>
      </c>
      <c r="S99" s="3">
        <v>-30</v>
      </c>
      <c r="T99" s="3">
        <v>-30</v>
      </c>
      <c r="U99" s="3">
        <v>-30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1031</v>
      </c>
      <c r="AM99" s="3" t="s">
        <v>42</v>
      </c>
      <c r="AN99" s="3" t="s">
        <v>2029</v>
      </c>
      <c r="AO99" s="3" t="s">
        <v>1847</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row>
    <row r="100" spans="1:73" ht="15.75" customHeight="1" x14ac:dyDescent="0.2">
      <c r="A100" s="3">
        <f t="shared" si="3"/>
        <v>7098</v>
      </c>
      <c r="B100" s="3" t="s">
        <v>1438</v>
      </c>
      <c r="C100" s="3" t="s">
        <v>1438</v>
      </c>
      <c r="D100" s="5" t="s">
        <v>1461</v>
      </c>
      <c r="E100" s="5" t="s">
        <v>1439</v>
      </c>
      <c r="F100" s="3">
        <v>0</v>
      </c>
      <c r="G100" s="3">
        <v>0</v>
      </c>
      <c r="H100" s="3">
        <v>0</v>
      </c>
      <c r="I100" s="3">
        <v>50</v>
      </c>
      <c r="J100" s="3">
        <v>5</v>
      </c>
      <c r="K100" s="3">
        <v>1</v>
      </c>
      <c r="L100" s="3">
        <v>0</v>
      </c>
      <c r="M100" s="3">
        <v>0</v>
      </c>
      <c r="N100" s="3">
        <v>0</v>
      </c>
      <c r="O100" s="3">
        <v>0</v>
      </c>
      <c r="P100" s="3">
        <v>-30</v>
      </c>
      <c r="Q100" s="3">
        <v>-30</v>
      </c>
      <c r="R100" s="3">
        <v>-30</v>
      </c>
      <c r="S100" s="3">
        <v>-30</v>
      </c>
      <c r="T100" s="3">
        <v>-30</v>
      </c>
      <c r="U100" s="3">
        <v>-30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1031</v>
      </c>
      <c r="AM100" s="3" t="s">
        <v>1031</v>
      </c>
      <c r="AN100" s="3" t="s">
        <v>2029</v>
      </c>
      <c r="AO100" s="3" t="s">
        <v>1847</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2</v>
      </c>
      <c r="BL100">
        <v>0</v>
      </c>
      <c r="BM100">
        <v>0</v>
      </c>
      <c r="BN100">
        <v>0</v>
      </c>
      <c r="BO100">
        <v>0</v>
      </c>
      <c r="BP100" s="6" t="s">
        <v>50</v>
      </c>
      <c r="BQ100">
        <v>0</v>
      </c>
      <c r="BR100" s="6" t="s">
        <v>50</v>
      </c>
      <c r="BS100">
        <v>0</v>
      </c>
      <c r="BT100" s="6" t="s">
        <v>50</v>
      </c>
      <c r="BU100">
        <v>0</v>
      </c>
    </row>
    <row r="101" spans="1:73" ht="15.75" customHeight="1" x14ac:dyDescent="0.2">
      <c r="A101" s="3">
        <f t="shared" si="3"/>
        <v>7099</v>
      </c>
      <c r="B101" s="3" t="s">
        <v>1465</v>
      </c>
      <c r="C101" s="3" t="s">
        <v>1465</v>
      </c>
      <c r="D101" s="5" t="s">
        <v>1462</v>
      </c>
      <c r="E101" s="5" t="s">
        <v>1440</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0</v>
      </c>
      <c r="X101" s="3">
        <v>-50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2029</v>
      </c>
      <c r="AO101" s="3" t="s">
        <v>1847</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row>
    <row r="102" spans="1:73" ht="15.75" customHeight="1" x14ac:dyDescent="0.2">
      <c r="A102" s="3">
        <f t="shared" si="3"/>
        <v>7100</v>
      </c>
      <c r="B102" s="3" t="s">
        <v>1466</v>
      </c>
      <c r="C102" s="3" t="s">
        <v>1466</v>
      </c>
      <c r="D102" s="5" t="s">
        <v>1463</v>
      </c>
      <c r="E102" s="5" t="s">
        <v>1441</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0</v>
      </c>
      <c r="W102" s="3">
        <v>-50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2029</v>
      </c>
      <c r="AO102" s="3" t="s">
        <v>1847</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row>
    <row r="103" spans="1:73" ht="15.75" customHeight="1" x14ac:dyDescent="0.2">
      <c r="A103" s="3">
        <f t="shared" si="3"/>
        <v>7101</v>
      </c>
      <c r="B103" s="3" t="s">
        <v>1467</v>
      </c>
      <c r="C103" s="3" t="s">
        <v>1467</v>
      </c>
      <c r="D103" s="5" t="s">
        <v>1464</v>
      </c>
      <c r="E103" s="5" t="s">
        <v>1442</v>
      </c>
      <c r="F103" s="3">
        <v>0</v>
      </c>
      <c r="G103" s="3">
        <v>0</v>
      </c>
      <c r="H103" s="3">
        <v>0</v>
      </c>
      <c r="I103" s="3">
        <v>50</v>
      </c>
      <c r="J103" s="3">
        <v>5</v>
      </c>
      <c r="K103" s="3">
        <v>1</v>
      </c>
      <c r="L103" s="3">
        <v>0</v>
      </c>
      <c r="M103" s="3">
        <v>0</v>
      </c>
      <c r="N103" s="3">
        <v>0</v>
      </c>
      <c r="O103" s="3">
        <v>0</v>
      </c>
      <c r="P103" s="3">
        <v>0</v>
      </c>
      <c r="Q103" s="3">
        <v>0</v>
      </c>
      <c r="R103" s="3">
        <v>0</v>
      </c>
      <c r="S103" s="3">
        <v>0</v>
      </c>
      <c r="T103" s="3">
        <v>0</v>
      </c>
      <c r="U103" s="3">
        <v>0</v>
      </c>
      <c r="V103" s="3">
        <v>-50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1031</v>
      </c>
      <c r="AM103" s="3" t="s">
        <v>42</v>
      </c>
      <c r="AN103" s="3" t="s">
        <v>2029</v>
      </c>
      <c r="AO103" s="3" t="s">
        <v>1847</v>
      </c>
      <c r="AP103" s="3">
        <v>0</v>
      </c>
      <c r="AQ103" s="3">
        <v>0</v>
      </c>
      <c r="AR103">
        <v>0</v>
      </c>
      <c r="AS103">
        <v>1</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row>
    <row r="104" spans="1:73" ht="15.75" customHeight="1" x14ac:dyDescent="0.2">
      <c r="A104" s="3">
        <f t="shared" si="3"/>
        <v>7102</v>
      </c>
      <c r="B104" s="3" t="s">
        <v>513</v>
      </c>
      <c r="C104" s="3" t="s">
        <v>490</v>
      </c>
      <c r="D104" s="5" t="s">
        <v>491</v>
      </c>
      <c r="E104" s="5" t="s">
        <v>492</v>
      </c>
      <c r="F104" s="3">
        <v>0</v>
      </c>
      <c r="G104" s="3">
        <v>0</v>
      </c>
      <c r="H104" s="3">
        <v>0</v>
      </c>
      <c r="I104" s="3">
        <v>50</v>
      </c>
      <c r="J104" s="3">
        <v>999</v>
      </c>
      <c r="K104" s="3">
        <v>1</v>
      </c>
      <c r="L104" s="3">
        <v>0</v>
      </c>
      <c r="M104" s="3">
        <v>0</v>
      </c>
      <c r="N104" s="3">
        <v>0</v>
      </c>
      <c r="O104" s="3">
        <v>0</v>
      </c>
      <c r="P104" s="3">
        <v>100</v>
      </c>
      <c r="Q104" s="3">
        <v>100</v>
      </c>
      <c r="R104" s="3">
        <v>100</v>
      </c>
      <c r="S104" s="3">
        <v>100</v>
      </c>
      <c r="T104" s="3">
        <v>100</v>
      </c>
      <c r="U104" s="3">
        <v>100</v>
      </c>
      <c r="V104" s="3">
        <v>0</v>
      </c>
      <c r="W104" s="3">
        <v>0</v>
      </c>
      <c r="X104" s="3">
        <v>0</v>
      </c>
      <c r="Y104" s="3">
        <v>100</v>
      </c>
      <c r="Z104" s="3">
        <v>100</v>
      </c>
      <c r="AA104" s="3">
        <v>100</v>
      </c>
      <c r="AB104" s="3">
        <v>100</v>
      </c>
      <c r="AC104" s="3">
        <v>100</v>
      </c>
      <c r="AD104" s="3">
        <v>100</v>
      </c>
      <c r="AE104" s="3">
        <v>100</v>
      </c>
      <c r="AF104" s="3">
        <v>100</v>
      </c>
      <c r="AG104" s="3">
        <v>100</v>
      </c>
      <c r="AH104" s="3">
        <v>100</v>
      </c>
      <c r="AI104" s="3">
        <v>100</v>
      </c>
      <c r="AJ104" s="3">
        <v>100</v>
      </c>
      <c r="AK104" s="3">
        <v>100</v>
      </c>
      <c r="AL104" s="3" t="s">
        <v>42</v>
      </c>
      <c r="AM104" s="3" t="s">
        <v>42</v>
      </c>
      <c r="AN104" s="3" t="s">
        <v>2029</v>
      </c>
      <c r="AO104" s="3" t="s">
        <v>1847</v>
      </c>
      <c r="AP104" s="3">
        <v>0</v>
      </c>
      <c r="AQ104" s="3">
        <v>0</v>
      </c>
      <c r="AR104">
        <v>0</v>
      </c>
      <c r="AS104">
        <v>1</v>
      </c>
      <c r="AT104" s="6" t="s">
        <v>933</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4</v>
      </c>
      <c r="BL104">
        <v>0</v>
      </c>
      <c r="BM104">
        <v>0</v>
      </c>
      <c r="BN104">
        <v>0</v>
      </c>
      <c r="BO104">
        <v>0</v>
      </c>
      <c r="BP104" s="6" t="s">
        <v>50</v>
      </c>
      <c r="BQ104">
        <v>0</v>
      </c>
      <c r="BR104" s="6" t="s">
        <v>50</v>
      </c>
      <c r="BS104">
        <v>0</v>
      </c>
      <c r="BT104" s="6" t="s">
        <v>50</v>
      </c>
      <c r="BU104">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U163"/>
  <sheetViews>
    <sheetView workbookViewId="0">
      <selection activeCell="Z21" sqref="Z21"/>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s>
  <sheetData>
    <row r="1" spans="1:73"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1144</v>
      </c>
      <c r="Z1" s="2" t="s">
        <v>2206</v>
      </c>
      <c r="AA1" s="2" t="s">
        <v>2165</v>
      </c>
      <c r="AB1" s="2" t="s">
        <v>2197</v>
      </c>
      <c r="AC1" s="2" t="s">
        <v>2198</v>
      </c>
      <c r="AD1" s="2" t="s">
        <v>2199</v>
      </c>
      <c r="AE1" s="2" t="s">
        <v>2200</v>
      </c>
      <c r="AF1" s="2" t="s">
        <v>2201</v>
      </c>
      <c r="AG1" s="2" t="s">
        <v>2202</v>
      </c>
      <c r="AH1" s="2" t="s">
        <v>2203</v>
      </c>
      <c r="AI1" s="2" t="s">
        <v>2204</v>
      </c>
      <c r="AJ1" s="2" t="s">
        <v>2205</v>
      </c>
      <c r="AK1" s="2" t="s">
        <v>2617</v>
      </c>
      <c r="AL1" s="1" t="s">
        <v>13</v>
      </c>
      <c r="AM1" s="1" t="s">
        <v>14</v>
      </c>
      <c r="AN1" s="1" t="s">
        <v>1925</v>
      </c>
      <c r="AO1" s="1" t="s">
        <v>1846</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1599</v>
      </c>
      <c r="BM1" s="1" t="s">
        <v>2488</v>
      </c>
      <c r="BN1" s="1" t="s">
        <v>3545</v>
      </c>
      <c r="BO1" s="1" t="s">
        <v>1611</v>
      </c>
      <c r="BP1" s="1" t="s">
        <v>3608</v>
      </c>
      <c r="BQ1" s="1" t="s">
        <v>3609</v>
      </c>
      <c r="BR1" s="1" t="s">
        <v>3610</v>
      </c>
      <c r="BS1" s="1" t="s">
        <v>3611</v>
      </c>
      <c r="BT1" s="1" t="s">
        <v>3612</v>
      </c>
      <c r="BU1" s="1" t="s">
        <v>3613</v>
      </c>
    </row>
    <row r="2" spans="1:73"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1926</v>
      </c>
      <c r="AO2" s="3" t="s">
        <v>1847</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row>
    <row r="3" spans="1:73" ht="15.75" customHeight="1" x14ac:dyDescent="0.2">
      <c r="A3" s="3">
        <f t="shared" ref="A3:A92"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2187</v>
      </c>
      <c r="AO3" s="3" t="s">
        <v>1847</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row>
    <row r="4" spans="1:73"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2188</v>
      </c>
      <c r="AO4" s="3" t="s">
        <v>1847</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row>
    <row r="5" spans="1:73" ht="15.75" customHeight="1" x14ac:dyDescent="0.2">
      <c r="A5" s="3">
        <f t="shared" si="0"/>
        <v>10003</v>
      </c>
      <c r="B5" s="3" t="s">
        <v>2591</v>
      </c>
      <c r="C5" s="3" t="s">
        <v>1895</v>
      </c>
      <c r="D5" s="5" t="s">
        <v>1894</v>
      </c>
      <c r="E5" s="5" t="s">
        <v>2784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2189</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row>
    <row r="6" spans="1:73" ht="15.75" customHeight="1" x14ac:dyDescent="0.2">
      <c r="A6" s="3">
        <f t="shared" si="0"/>
        <v>10004</v>
      </c>
      <c r="B6" s="3" t="s">
        <v>3344</v>
      </c>
      <c r="C6" s="3" t="s">
        <v>3298</v>
      </c>
      <c r="D6" s="5" t="s">
        <v>3297</v>
      </c>
      <c r="E6" s="5" t="s">
        <v>3299</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3300</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row>
    <row r="7" spans="1:73" ht="15.75" customHeight="1" x14ac:dyDescent="0.2">
      <c r="A7" s="3">
        <f t="shared" si="0"/>
        <v>10005</v>
      </c>
      <c r="B7" s="3" t="s">
        <v>3305</v>
      </c>
      <c r="C7" s="3" t="s">
        <v>3305</v>
      </c>
      <c r="D7" s="5" t="s">
        <v>3304</v>
      </c>
      <c r="E7" s="5" t="s">
        <v>3306</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3307</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row>
    <row r="8" spans="1:73" ht="15.75" customHeight="1" x14ac:dyDescent="0.2">
      <c r="A8" s="3">
        <f t="shared" si="0"/>
        <v>10006</v>
      </c>
      <c r="B8" s="3" t="s">
        <v>1068</v>
      </c>
      <c r="C8" s="3" t="s">
        <v>1068</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3393</v>
      </c>
      <c r="AO8" s="3" t="s">
        <v>1847</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row>
    <row r="9" spans="1:73"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2190</v>
      </c>
      <c r="AO9" s="3" t="s">
        <v>1847</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row>
    <row r="10" spans="1:73" ht="15.75" customHeight="1" x14ac:dyDescent="0.2">
      <c r="A10" s="3">
        <f t="shared" si="0"/>
        <v>10008</v>
      </c>
      <c r="B10" s="3" t="s">
        <v>3212</v>
      </c>
      <c r="C10" s="3" t="s">
        <v>3212</v>
      </c>
      <c r="D10" s="5" t="s">
        <v>3213</v>
      </c>
      <c r="E10" s="5" t="s">
        <v>3214</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2190</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row>
    <row r="11" spans="1:73" ht="15.75" customHeight="1" x14ac:dyDescent="0.2">
      <c r="A11" s="3">
        <f t="shared" si="0"/>
        <v>10009</v>
      </c>
      <c r="B11" s="3" t="s">
        <v>596</v>
      </c>
      <c r="C11" s="3" t="s">
        <v>596</v>
      </c>
      <c r="D11" s="5" t="s">
        <v>595</v>
      </c>
      <c r="E11" s="5" t="s">
        <v>597</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2061</v>
      </c>
      <c r="AO11" s="3" t="s">
        <v>1847</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row>
    <row r="12" spans="1:73" ht="15.75" customHeight="1" x14ac:dyDescent="0.2">
      <c r="A12" s="3">
        <f t="shared" si="0"/>
        <v>10010</v>
      </c>
      <c r="B12" s="3" t="s">
        <v>1559</v>
      </c>
      <c r="C12" s="3" t="s">
        <v>1559</v>
      </c>
      <c r="D12" s="5" t="s">
        <v>1558</v>
      </c>
      <c r="E12" s="5" t="s">
        <v>1560</v>
      </c>
      <c r="F12" s="3">
        <v>0</v>
      </c>
      <c r="G12" s="3">
        <v>0</v>
      </c>
      <c r="H12" s="3">
        <v>0</v>
      </c>
      <c r="I12" s="3">
        <v>0</v>
      </c>
      <c r="J12" s="3">
        <v>0</v>
      </c>
      <c r="K12" s="3">
        <v>1</v>
      </c>
      <c r="L12" s="3">
        <v>0</v>
      </c>
      <c r="M12" s="3">
        <v>0</v>
      </c>
      <c r="N12" s="3">
        <v>0</v>
      </c>
      <c r="O12" s="3">
        <v>0</v>
      </c>
      <c r="P12" s="3">
        <v>20</v>
      </c>
      <c r="Q12" s="3">
        <v>20</v>
      </c>
      <c r="R12" s="3">
        <v>0</v>
      </c>
      <c r="S12" s="3">
        <v>20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2061</v>
      </c>
      <c r="AO12" s="3" t="s">
        <v>1847</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row>
    <row r="13" spans="1:73" ht="15.75" customHeight="1" x14ac:dyDescent="0.2">
      <c r="A13" s="3">
        <f t="shared" si="0"/>
        <v>10011</v>
      </c>
      <c r="B13" s="3" t="s">
        <v>2257</v>
      </c>
      <c r="C13" s="3" t="s">
        <v>2257</v>
      </c>
      <c r="D13" s="5" t="s">
        <v>2533</v>
      </c>
      <c r="E13" s="5" t="s">
        <v>2256</v>
      </c>
      <c r="F13" s="3">
        <v>0</v>
      </c>
      <c r="G13" s="3">
        <v>0</v>
      </c>
      <c r="H13" s="3">
        <v>0</v>
      </c>
      <c r="I13" s="3">
        <v>0</v>
      </c>
      <c r="J13" s="3">
        <v>0</v>
      </c>
      <c r="K13" s="3">
        <v>1</v>
      </c>
      <c r="L13" s="3">
        <v>0</v>
      </c>
      <c r="M13" s="3">
        <v>0</v>
      </c>
      <c r="N13" s="3">
        <v>0</v>
      </c>
      <c r="O13" s="3">
        <v>0</v>
      </c>
      <c r="P13" s="3">
        <v>30</v>
      </c>
      <c r="Q13" s="3">
        <v>30</v>
      </c>
      <c r="R13" s="3">
        <v>0</v>
      </c>
      <c r="S13" s="3">
        <v>30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2061</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row>
    <row r="14" spans="1:73" ht="15.75" customHeight="1" x14ac:dyDescent="0.2">
      <c r="A14" s="3">
        <f t="shared" si="0"/>
        <v>10012</v>
      </c>
      <c r="B14" s="3" t="s">
        <v>2584</v>
      </c>
      <c r="C14" s="3" t="s">
        <v>2584</v>
      </c>
      <c r="D14" s="5" t="s">
        <v>2583</v>
      </c>
      <c r="E14" s="5" t="s">
        <v>2582</v>
      </c>
      <c r="F14" s="3">
        <v>0</v>
      </c>
      <c r="G14" s="3">
        <v>0</v>
      </c>
      <c r="H14" s="3">
        <v>0</v>
      </c>
      <c r="I14" s="3">
        <v>0</v>
      </c>
      <c r="J14" s="3">
        <v>0</v>
      </c>
      <c r="K14" s="3">
        <v>1</v>
      </c>
      <c r="L14" s="3">
        <v>0</v>
      </c>
      <c r="M14" s="3">
        <v>0</v>
      </c>
      <c r="N14" s="3">
        <v>0</v>
      </c>
      <c r="O14" s="3">
        <v>0</v>
      </c>
      <c r="P14" s="3">
        <v>40</v>
      </c>
      <c r="Q14" s="3">
        <v>40</v>
      </c>
      <c r="R14" s="3">
        <v>0</v>
      </c>
      <c r="S14" s="3">
        <v>40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2061</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row>
    <row r="15" spans="1:73" ht="15.75" customHeight="1" x14ac:dyDescent="0.2">
      <c r="A15" s="3">
        <f t="shared" si="0"/>
        <v>10013</v>
      </c>
      <c r="B15" s="3" t="s">
        <v>1350</v>
      </c>
      <c r="C15" s="3" t="s">
        <v>701</v>
      </c>
      <c r="D15" s="5" t="s">
        <v>699</v>
      </c>
      <c r="E15" s="5" t="s">
        <v>700</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2062</v>
      </c>
      <c r="AO15" s="3" t="s">
        <v>1847</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row>
    <row r="16" spans="1:73" ht="15.75" customHeight="1" x14ac:dyDescent="0.2">
      <c r="A16" s="3">
        <f t="shared" si="0"/>
        <v>10014</v>
      </c>
      <c r="B16" s="3" t="s">
        <v>620</v>
      </c>
      <c r="C16" s="3" t="s">
        <v>620</v>
      </c>
      <c r="D16" s="5" t="s">
        <v>857</v>
      </c>
      <c r="E16" s="5" t="s">
        <v>621</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2191</v>
      </c>
      <c r="AO16" s="3" t="s">
        <v>1847</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row>
    <row r="17" spans="1:73" ht="15.75" customHeight="1" x14ac:dyDescent="0.2">
      <c r="A17" s="3">
        <f t="shared" si="0"/>
        <v>10015</v>
      </c>
      <c r="B17" s="3" t="s">
        <v>858</v>
      </c>
      <c r="C17" s="3" t="s">
        <v>858</v>
      </c>
      <c r="D17" s="5" t="s">
        <v>889</v>
      </c>
      <c r="E17" s="5" t="s">
        <v>887</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2192</v>
      </c>
      <c r="AO17" s="3" t="s">
        <v>1847</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row>
    <row r="18" spans="1:73" ht="15.75" customHeight="1" x14ac:dyDescent="0.2">
      <c r="A18" s="3">
        <f t="shared" si="0"/>
        <v>10016</v>
      </c>
      <c r="B18" s="3" t="s">
        <v>2264</v>
      </c>
      <c r="C18" s="3" t="s">
        <v>2264</v>
      </c>
      <c r="D18" s="5" t="s">
        <v>2585</v>
      </c>
      <c r="E18" s="5" t="s">
        <v>2259</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2192</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row>
    <row r="19" spans="1:73" ht="15.75" customHeight="1" x14ac:dyDescent="0.2">
      <c r="A19" s="3">
        <f t="shared" si="0"/>
        <v>10017</v>
      </c>
      <c r="B19" s="3" t="s">
        <v>2040</v>
      </c>
      <c r="C19" s="3" t="s">
        <v>2040</v>
      </c>
      <c r="D19" s="5" t="s">
        <v>2590</v>
      </c>
      <c r="E19" s="5" t="s">
        <v>2589</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2193</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row>
    <row r="20" spans="1:73" ht="15.75" customHeight="1" x14ac:dyDescent="0.2">
      <c r="A20" s="3">
        <f t="shared" si="0"/>
        <v>10018</v>
      </c>
      <c r="B20" s="3" t="s">
        <v>3514</v>
      </c>
      <c r="C20" s="3" t="s">
        <v>3514</v>
      </c>
      <c r="D20" s="5" t="s">
        <v>3512</v>
      </c>
      <c r="E20" s="5" t="s">
        <v>3513</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2193</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row>
    <row r="21" spans="1:73" s="9" customFormat="1" ht="15.75" customHeight="1" x14ac:dyDescent="0.2">
      <c r="A21" s="7">
        <f t="shared" si="0"/>
        <v>10019</v>
      </c>
      <c r="B21" s="7" t="s">
        <v>620</v>
      </c>
      <c r="C21" s="7" t="s">
        <v>2054</v>
      </c>
      <c r="D21" s="8" t="s">
        <v>2381</v>
      </c>
      <c r="E21" s="8" t="s">
        <v>2096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375</v>
      </c>
      <c r="AN21" s="7" t="s">
        <v>1927</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c r="BP21" s="10" t="s">
        <v>50</v>
      </c>
      <c r="BQ21" s="9">
        <v>0</v>
      </c>
      <c r="BR21" s="10" t="s">
        <v>50</v>
      </c>
      <c r="BS21" s="9">
        <v>0</v>
      </c>
      <c r="BT21" s="10" t="s">
        <v>50</v>
      </c>
      <c r="BU21" s="9">
        <v>0</v>
      </c>
    </row>
    <row r="22" spans="1:73" s="9" customFormat="1" ht="15.75" customHeight="1" x14ac:dyDescent="0.2">
      <c r="A22" s="7">
        <f t="shared" si="0"/>
        <v>10020</v>
      </c>
      <c r="B22" s="7" t="s">
        <v>620</v>
      </c>
      <c r="C22" s="7" t="s">
        <v>2094</v>
      </c>
      <c r="D22" s="8" t="s">
        <v>2382</v>
      </c>
      <c r="E22" s="8" t="s">
        <v>2095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1927</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row>
    <row r="23" spans="1:73" s="9" customFormat="1" ht="15.75" customHeight="1" x14ac:dyDescent="0.2">
      <c r="A23" s="7">
        <f t="shared" si="0"/>
        <v>10021</v>
      </c>
      <c r="B23" s="7" t="s">
        <v>620</v>
      </c>
      <c r="C23" s="7" t="s">
        <v>2098</v>
      </c>
      <c r="D23" s="8" t="s">
        <v>2383</v>
      </c>
      <c r="E23" s="8" t="s">
        <v>2097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1927</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row>
    <row r="24" spans="1:73" ht="15.75" customHeight="1" x14ac:dyDescent="0.2">
      <c r="A24" s="3">
        <f t="shared" si="0"/>
        <v>10022</v>
      </c>
      <c r="B24" s="3" t="s">
        <v>626</v>
      </c>
      <c r="C24" s="3" t="s">
        <v>626</v>
      </c>
      <c r="D24" s="5" t="s">
        <v>908</v>
      </c>
      <c r="E24" s="5" t="s">
        <v>1055</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375</v>
      </c>
      <c r="AN24" s="3" t="s">
        <v>2194</v>
      </c>
      <c r="AO24" s="3" t="s">
        <v>1847</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row>
    <row r="25" spans="1:73" s="9" customFormat="1" ht="17.25" customHeight="1" x14ac:dyDescent="0.2">
      <c r="A25" s="3">
        <f t="shared" si="0"/>
        <v>10023</v>
      </c>
      <c r="B25" s="7" t="s">
        <v>1306</v>
      </c>
      <c r="C25" s="7" t="s">
        <v>1306</v>
      </c>
      <c r="D25" s="8" t="s">
        <v>1330</v>
      </c>
      <c r="E25" s="8" t="s">
        <v>1331</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375</v>
      </c>
      <c r="AN25" s="7" t="s">
        <v>1927</v>
      </c>
      <c r="AO25" s="7" t="s">
        <v>1847</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c r="BP25" s="10" t="s">
        <v>50</v>
      </c>
      <c r="BQ25" s="9">
        <v>0</v>
      </c>
      <c r="BR25" s="10" t="s">
        <v>50</v>
      </c>
      <c r="BS25" s="9">
        <v>0</v>
      </c>
      <c r="BT25" s="10" t="s">
        <v>50</v>
      </c>
      <c r="BU25" s="9">
        <v>0</v>
      </c>
    </row>
    <row r="26" spans="1:73" ht="15.75" customHeight="1" x14ac:dyDescent="0.2">
      <c r="A26" s="3">
        <f t="shared" si="0"/>
        <v>10024</v>
      </c>
      <c r="B26" s="3" t="s">
        <v>1328</v>
      </c>
      <c r="C26" s="3" t="s">
        <v>1328</v>
      </c>
      <c r="D26" s="5" t="s">
        <v>1327</v>
      </c>
      <c r="E26" s="5" t="s">
        <v>1329</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375</v>
      </c>
      <c r="AN26" s="3" t="s">
        <v>2195</v>
      </c>
      <c r="AO26" s="3" t="s">
        <v>1847</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row>
    <row r="27" spans="1:73" s="9" customFormat="1" ht="15.75" customHeight="1" x14ac:dyDescent="0.2">
      <c r="A27" s="3">
        <f t="shared" si="0"/>
        <v>10025</v>
      </c>
      <c r="B27" s="7" t="s">
        <v>664</v>
      </c>
      <c r="C27" s="7" t="s">
        <v>664</v>
      </c>
      <c r="D27" s="8" t="s">
        <v>663</v>
      </c>
      <c r="E27" s="8" t="s">
        <v>665</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375</v>
      </c>
      <c r="AN27" s="7" t="s">
        <v>1927</v>
      </c>
      <c r="AO27" s="7" t="s">
        <v>1847</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c r="BP27" s="10" t="s">
        <v>50</v>
      </c>
      <c r="BQ27" s="9">
        <v>0</v>
      </c>
      <c r="BR27" s="10" t="s">
        <v>50</v>
      </c>
      <c r="BS27" s="9">
        <v>0</v>
      </c>
      <c r="BT27" s="10" t="s">
        <v>50</v>
      </c>
      <c r="BU27" s="9">
        <v>0</v>
      </c>
    </row>
    <row r="28" spans="1:73" ht="15.75" customHeight="1" x14ac:dyDescent="0.2">
      <c r="A28" s="3">
        <f t="shared" si="0"/>
        <v>10026</v>
      </c>
      <c r="B28" s="3" t="s">
        <v>911</v>
      </c>
      <c r="C28" s="3" t="s">
        <v>911</v>
      </c>
      <c r="D28" s="5" t="s">
        <v>1347</v>
      </c>
      <c r="E28" s="5" t="s">
        <v>1312</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375</v>
      </c>
      <c r="AN28" s="3" t="s">
        <v>2196</v>
      </c>
      <c r="AO28" s="3" t="s">
        <v>1847</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row>
    <row r="29" spans="1:73" s="9" customFormat="1" ht="15.75" customHeight="1" x14ac:dyDescent="0.2">
      <c r="A29" s="7">
        <f t="shared" si="0"/>
        <v>10027</v>
      </c>
      <c r="B29" s="7" t="s">
        <v>1559</v>
      </c>
      <c r="C29" s="7" t="s">
        <v>2260</v>
      </c>
      <c r="D29" s="8" t="s">
        <v>2252</v>
      </c>
      <c r="E29" s="8" t="s">
        <v>2394</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905</v>
      </c>
      <c r="AN29" s="7" t="s">
        <v>2258</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c r="BP29" s="10" t="s">
        <v>50</v>
      </c>
      <c r="BQ29" s="9">
        <v>0</v>
      </c>
      <c r="BR29" s="10" t="s">
        <v>50</v>
      </c>
      <c r="BS29" s="9">
        <v>0</v>
      </c>
      <c r="BT29" s="10" t="s">
        <v>50</v>
      </c>
      <c r="BU29" s="9">
        <v>0</v>
      </c>
    </row>
    <row r="30" spans="1:73" ht="15.75" customHeight="1" x14ac:dyDescent="0.2">
      <c r="A30" s="3">
        <f t="shared" si="0"/>
        <v>10028</v>
      </c>
      <c r="B30" s="3" t="s">
        <v>2266</v>
      </c>
      <c r="C30" s="3" t="s">
        <v>2266</v>
      </c>
      <c r="D30" s="5" t="s">
        <v>2265</v>
      </c>
      <c r="E30" s="5" t="s">
        <v>2390</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905</v>
      </c>
      <c r="AN30" s="3" t="s">
        <v>2258</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row>
    <row r="31" spans="1:73" ht="15.75" customHeight="1" x14ac:dyDescent="0.2">
      <c r="A31" s="3">
        <f t="shared" si="0"/>
        <v>10029</v>
      </c>
      <c r="B31" s="3" t="s">
        <v>2261</v>
      </c>
      <c r="C31" s="3" t="s">
        <v>2261</v>
      </c>
      <c r="D31" s="5" t="s">
        <v>2253</v>
      </c>
      <c r="E31" s="5" t="s">
        <v>2391</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2258</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row>
    <row r="32" spans="1:73" ht="15.75" customHeight="1" x14ac:dyDescent="0.2">
      <c r="A32" s="3">
        <f t="shared" si="0"/>
        <v>10030</v>
      </c>
      <c r="B32" s="3" t="s">
        <v>2262</v>
      </c>
      <c r="C32" s="3" t="s">
        <v>2262</v>
      </c>
      <c r="D32" s="5" t="s">
        <v>2254</v>
      </c>
      <c r="E32" s="5" t="s">
        <v>2392</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2258</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row>
    <row r="33" spans="1:73" ht="15.75" customHeight="1" x14ac:dyDescent="0.2">
      <c r="A33" s="3">
        <f t="shared" si="0"/>
        <v>10031</v>
      </c>
      <c r="B33" s="3" t="s">
        <v>2263</v>
      </c>
      <c r="C33" s="3" t="s">
        <v>2263</v>
      </c>
      <c r="D33" s="5" t="s">
        <v>2255</v>
      </c>
      <c r="E33" s="5" t="s">
        <v>2393</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2258</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row>
    <row r="34" spans="1:73" ht="15.75" customHeight="1" x14ac:dyDescent="0.2">
      <c r="A34" s="3">
        <f t="shared" si="0"/>
        <v>10032</v>
      </c>
      <c r="B34" s="3" t="s">
        <v>2957</v>
      </c>
      <c r="C34" s="3" t="s">
        <v>2957</v>
      </c>
      <c r="D34" s="5" t="s">
        <v>2602</v>
      </c>
      <c r="E34" s="5" t="s">
        <v>2603</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2618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row>
    <row r="35" spans="1:73" s="14" customFormat="1" ht="15.75" customHeight="1" x14ac:dyDescent="0.2">
      <c r="A35" s="3">
        <f t="shared" si="0"/>
        <v>10033</v>
      </c>
      <c r="B35" s="12" t="s">
        <v>1485</v>
      </c>
      <c r="C35" s="12" t="s">
        <v>662</v>
      </c>
      <c r="D35" s="13" t="s">
        <v>1476</v>
      </c>
      <c r="E35" s="13" t="s">
        <v>1477</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905</v>
      </c>
      <c r="AN35" s="3" t="s">
        <v>1928</v>
      </c>
      <c r="AO35" s="3" t="s">
        <v>1847</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c r="BP35" s="6" t="s">
        <v>50</v>
      </c>
      <c r="BQ35">
        <v>0</v>
      </c>
      <c r="BR35" s="6" t="s">
        <v>50</v>
      </c>
      <c r="BS35">
        <v>0</v>
      </c>
      <c r="BT35" s="6" t="s">
        <v>50</v>
      </c>
      <c r="BU35">
        <v>0</v>
      </c>
    </row>
    <row r="36" spans="1:73" s="14" customFormat="1" ht="15.75" customHeight="1" x14ac:dyDescent="0.2">
      <c r="A36" s="3">
        <f t="shared" si="0"/>
        <v>10034</v>
      </c>
      <c r="B36" s="12" t="s">
        <v>1483</v>
      </c>
      <c r="C36" s="12" t="s">
        <v>1478</v>
      </c>
      <c r="D36" s="13" t="s">
        <v>1480</v>
      </c>
      <c r="E36" s="13" t="s">
        <v>3654</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1928</v>
      </c>
      <c r="AO36" s="3" t="s">
        <v>1847</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row>
    <row r="37" spans="1:73" s="14" customFormat="1" ht="15.75" customHeight="1" x14ac:dyDescent="0.2">
      <c r="A37" s="3">
        <f t="shared" si="0"/>
        <v>10035</v>
      </c>
      <c r="B37" s="12" t="s">
        <v>1484</v>
      </c>
      <c r="C37" s="12" t="s">
        <v>1479</v>
      </c>
      <c r="D37" s="13" t="s">
        <v>1481</v>
      </c>
      <c r="E37" s="13" t="s">
        <v>3655</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1928</v>
      </c>
      <c r="AO37" s="3" t="s">
        <v>1847</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row>
    <row r="38" spans="1:73" ht="15.75" customHeight="1" x14ac:dyDescent="0.2">
      <c r="A38" s="3">
        <f t="shared" si="0"/>
        <v>10036</v>
      </c>
      <c r="B38" s="3" t="s">
        <v>2588</v>
      </c>
      <c r="C38" s="3" t="s">
        <v>2578</v>
      </c>
      <c r="D38" s="5" t="s">
        <v>2579</v>
      </c>
      <c r="E38" s="5" t="s">
        <v>3656</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905</v>
      </c>
      <c r="AN38" s="3" t="s">
        <v>1928</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row>
    <row r="39" spans="1:73" s="9" customFormat="1" ht="15.75" customHeight="1" x14ac:dyDescent="0.2">
      <c r="A39" s="7">
        <f t="shared" si="0"/>
        <v>10037</v>
      </c>
      <c r="B39" s="7" t="s">
        <v>2580</v>
      </c>
      <c r="C39" s="7" t="s">
        <v>2580</v>
      </c>
      <c r="D39" s="8" t="s">
        <v>3627</v>
      </c>
      <c r="E39" s="8" t="s">
        <v>3630</v>
      </c>
      <c r="F39" s="7">
        <v>0</v>
      </c>
      <c r="G39" s="7">
        <v>0</v>
      </c>
      <c r="H39" s="7">
        <v>0</v>
      </c>
      <c r="I39" s="7">
        <v>0</v>
      </c>
      <c r="J39" s="7">
        <v>0</v>
      </c>
      <c r="K39" s="7">
        <v>1</v>
      </c>
      <c r="L39" s="7">
        <v>0</v>
      </c>
      <c r="M39" s="7">
        <v>0</v>
      </c>
      <c r="N39" s="7">
        <v>0</v>
      </c>
      <c r="O39" s="7">
        <v>0</v>
      </c>
      <c r="P39" s="7">
        <v>0</v>
      </c>
      <c r="Q39" s="7">
        <v>0</v>
      </c>
      <c r="R39" s="7">
        <v>0</v>
      </c>
      <c r="S39" s="7">
        <v>0</v>
      </c>
      <c r="T39" s="7">
        <v>0</v>
      </c>
      <c r="U39" s="7">
        <v>0</v>
      </c>
      <c r="V39" s="7">
        <v>0</v>
      </c>
      <c r="W39" s="7">
        <v>0</v>
      </c>
      <c r="X39" s="7">
        <v>0</v>
      </c>
      <c r="Y39" s="7">
        <v>0</v>
      </c>
      <c r="Z39" s="7">
        <v>0</v>
      </c>
      <c r="AA39" s="7">
        <v>0</v>
      </c>
      <c r="AB39" s="7">
        <v>0</v>
      </c>
      <c r="AC39" s="7">
        <v>0</v>
      </c>
      <c r="AD39" s="7">
        <v>0</v>
      </c>
      <c r="AE39" s="7">
        <v>0</v>
      </c>
      <c r="AF39" s="7">
        <v>0</v>
      </c>
      <c r="AG39" s="7">
        <v>0</v>
      </c>
      <c r="AH39" s="7">
        <v>0</v>
      </c>
      <c r="AI39" s="7">
        <v>0</v>
      </c>
      <c r="AJ39" s="7">
        <v>0</v>
      </c>
      <c r="AK39" s="7">
        <v>0</v>
      </c>
      <c r="AL39" s="7" t="s">
        <v>72</v>
      </c>
      <c r="AM39" s="7" t="s">
        <v>905</v>
      </c>
      <c r="AN39" s="7" t="s">
        <v>1928</v>
      </c>
      <c r="AO39" s="7" t="s">
        <v>50</v>
      </c>
      <c r="AP39" s="7">
        <v>0</v>
      </c>
      <c r="AQ39" s="7">
        <v>0</v>
      </c>
      <c r="AR39" s="9">
        <v>0</v>
      </c>
      <c r="AS39" s="9">
        <v>10000</v>
      </c>
      <c r="AT39" s="10" t="s">
        <v>50</v>
      </c>
      <c r="AU39" s="10" t="s">
        <v>50</v>
      </c>
      <c r="AV39" s="10" t="s">
        <v>50</v>
      </c>
      <c r="AW39" s="10" t="s">
        <v>50</v>
      </c>
      <c r="AX39" s="10" t="s">
        <v>50</v>
      </c>
      <c r="AY39" s="10" t="s">
        <v>50</v>
      </c>
      <c r="AZ39" s="10" t="s">
        <v>50</v>
      </c>
      <c r="BA39" s="10" t="s">
        <v>50</v>
      </c>
      <c r="BB39" s="10" t="s">
        <v>50</v>
      </c>
      <c r="BC39" s="10" t="s">
        <v>50</v>
      </c>
      <c r="BD39" s="10" t="s">
        <v>50</v>
      </c>
      <c r="BE39" s="10" t="s">
        <v>50</v>
      </c>
      <c r="BF39" s="10" t="s">
        <v>50</v>
      </c>
      <c r="BG39" s="10" t="s">
        <v>50</v>
      </c>
      <c r="BH39" s="10" t="s">
        <v>50</v>
      </c>
      <c r="BI39" s="9">
        <v>1</v>
      </c>
      <c r="BJ39" s="9">
        <v>0</v>
      </c>
      <c r="BK39" s="9">
        <v>1</v>
      </c>
      <c r="BL39" s="9">
        <v>0</v>
      </c>
      <c r="BM39" s="9">
        <v>0</v>
      </c>
      <c r="BN39" s="9">
        <v>0</v>
      </c>
      <c r="BO39" s="9">
        <v>0</v>
      </c>
      <c r="BP39" s="10" t="s">
        <v>50</v>
      </c>
      <c r="BQ39" s="9">
        <v>0</v>
      </c>
      <c r="BR39" s="10" t="s">
        <v>50</v>
      </c>
      <c r="BS39" s="9">
        <v>0</v>
      </c>
      <c r="BT39" s="10" t="s">
        <v>50</v>
      </c>
      <c r="BU39" s="9">
        <v>0</v>
      </c>
    </row>
    <row r="40" spans="1:73" ht="15.75" customHeight="1" x14ac:dyDescent="0.2">
      <c r="A40" s="3">
        <f t="shared" si="0"/>
        <v>10038</v>
      </c>
      <c r="B40" s="3" t="s">
        <v>2581</v>
      </c>
      <c r="C40" s="3" t="s">
        <v>2581</v>
      </c>
      <c r="D40" s="5" t="s">
        <v>3628</v>
      </c>
      <c r="E40" s="5" t="s">
        <v>3629</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905</v>
      </c>
      <c r="AN40" s="3" t="s">
        <v>1928</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row>
    <row r="41" spans="1:73" ht="15.75" customHeight="1" x14ac:dyDescent="0.2">
      <c r="A41" s="3">
        <f t="shared" si="0"/>
        <v>10039</v>
      </c>
      <c r="B41" s="3" t="s">
        <v>2611</v>
      </c>
      <c r="C41" s="3" t="s">
        <v>2611</v>
      </c>
      <c r="D41" s="5" t="s">
        <v>2610</v>
      </c>
      <c r="E41" s="5" t="s">
        <v>2612</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2619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row>
    <row r="42" spans="1:73" ht="15.75" customHeight="1" x14ac:dyDescent="0.2">
      <c r="A42" s="3">
        <f t="shared" si="0"/>
        <v>10040</v>
      </c>
      <c r="B42" s="3" t="s">
        <v>2614</v>
      </c>
      <c r="C42" s="3" t="s">
        <v>2614</v>
      </c>
      <c r="D42" s="5" t="s">
        <v>2613</v>
      </c>
      <c r="E42" s="5" t="s">
        <v>3653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2620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row>
    <row r="43" spans="1:73" ht="15.75" customHeight="1" x14ac:dyDescent="0.2">
      <c r="A43" s="3">
        <f t="shared" si="0"/>
        <v>10041</v>
      </c>
      <c r="B43" s="3" t="s">
        <v>880</v>
      </c>
      <c r="C43" s="3" t="s">
        <v>874</v>
      </c>
      <c r="D43" s="5" t="s">
        <v>890</v>
      </c>
      <c r="E43" s="5" t="s">
        <v>875</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1929</v>
      </c>
      <c r="AO43" s="3" t="s">
        <v>1847</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row>
    <row r="44" spans="1:73" ht="15.75" customHeight="1" x14ac:dyDescent="0.2">
      <c r="A44" s="3">
        <f t="shared" si="0"/>
        <v>10042</v>
      </c>
      <c r="B44" s="3" t="s">
        <v>881</v>
      </c>
      <c r="C44" s="3" t="s">
        <v>876</v>
      </c>
      <c r="D44" s="5" t="s">
        <v>892</v>
      </c>
      <c r="E44" s="5" t="s">
        <v>877</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1929</v>
      </c>
      <c r="AO44" s="3" t="s">
        <v>1847</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row>
    <row r="45" spans="1:73" ht="15.75" customHeight="1" x14ac:dyDescent="0.2">
      <c r="A45" s="3">
        <f t="shared" si="0"/>
        <v>10043</v>
      </c>
      <c r="B45" s="3" t="s">
        <v>882</v>
      </c>
      <c r="C45" s="3" t="s">
        <v>879</v>
      </c>
      <c r="D45" s="5" t="s">
        <v>891</v>
      </c>
      <c r="E45" s="5" t="s">
        <v>878</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1929</v>
      </c>
      <c r="AO45" s="3" t="s">
        <v>1847</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row>
    <row r="46" spans="1:73" ht="15.75" customHeight="1" x14ac:dyDescent="0.2">
      <c r="A46" s="3">
        <f t="shared" si="0"/>
        <v>10044</v>
      </c>
      <c r="B46" s="3" t="s">
        <v>3394</v>
      </c>
      <c r="C46" s="3" t="s">
        <v>3394</v>
      </c>
      <c r="D46" s="5" t="s">
        <v>3395</v>
      </c>
      <c r="E46" s="5" t="s">
        <v>3396</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1930</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row>
    <row r="47" spans="1:73" ht="15.75" customHeight="1" x14ac:dyDescent="0.2">
      <c r="A47" s="3">
        <f t="shared" si="0"/>
        <v>10045</v>
      </c>
      <c r="B47" s="3" t="s">
        <v>3348</v>
      </c>
      <c r="C47" s="3" t="s">
        <v>3348</v>
      </c>
      <c r="D47" s="5" t="s">
        <v>3347</v>
      </c>
      <c r="E47" s="5" t="s">
        <v>3350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905</v>
      </c>
      <c r="AN47" s="3" t="s">
        <v>1930</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row>
    <row r="48" spans="1:73" ht="15.75" customHeight="1" x14ac:dyDescent="0.2">
      <c r="A48" s="3">
        <f t="shared" si="0"/>
        <v>10046</v>
      </c>
      <c r="B48" s="3" t="s">
        <v>3527</v>
      </c>
      <c r="C48" s="3" t="s">
        <v>3527</v>
      </c>
      <c r="D48" s="5" t="s">
        <v>3528</v>
      </c>
      <c r="E48" s="5" t="s">
        <v>3529</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905</v>
      </c>
      <c r="AN48" s="3" t="s">
        <v>1930</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row>
    <row r="49" spans="1:73" s="32" customFormat="1" ht="15.75" customHeight="1" x14ac:dyDescent="0.2">
      <c r="A49" s="30">
        <f t="shared" si="0"/>
        <v>10047</v>
      </c>
      <c r="B49" s="30" t="s">
        <v>882</v>
      </c>
      <c r="C49" s="30" t="s">
        <v>990</v>
      </c>
      <c r="D49" s="46" t="s">
        <v>989</v>
      </c>
      <c r="E49" s="46" t="s">
        <v>3349</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905</v>
      </c>
      <c r="AN49" s="30" t="s">
        <v>1930</v>
      </c>
      <c r="AO49" s="30" t="s">
        <v>1847</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c r="BP49" s="33" t="s">
        <v>50</v>
      </c>
      <c r="BQ49" s="32">
        <v>0</v>
      </c>
      <c r="BR49" s="33" t="s">
        <v>50</v>
      </c>
      <c r="BS49" s="32">
        <v>0</v>
      </c>
      <c r="BT49" s="33" t="s">
        <v>50</v>
      </c>
      <c r="BU49" s="32">
        <v>0</v>
      </c>
    </row>
    <row r="50" spans="1:73" ht="15.75" customHeight="1" x14ac:dyDescent="0.2">
      <c r="A50" s="3">
        <f t="shared" si="0"/>
        <v>10048</v>
      </c>
      <c r="B50" s="3" t="s">
        <v>1053</v>
      </c>
      <c r="C50" s="3" t="s">
        <v>1053</v>
      </c>
      <c r="D50" s="5" t="s">
        <v>1054</v>
      </c>
      <c r="E50" s="5" t="s">
        <v>1296</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905</v>
      </c>
      <c r="AN50" s="3" t="s">
        <v>1931</v>
      </c>
      <c r="AO50" s="3" t="s">
        <v>1847</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row>
    <row r="51" spans="1:73" ht="15.75" customHeight="1" x14ac:dyDescent="0.2">
      <c r="A51" s="3">
        <f t="shared" si="0"/>
        <v>10049</v>
      </c>
      <c r="B51" s="3" t="s">
        <v>981</v>
      </c>
      <c r="C51" s="3" t="s">
        <v>981</v>
      </c>
      <c r="D51" s="5" t="s">
        <v>984</v>
      </c>
      <c r="E51" s="5" t="s">
        <v>3602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905</v>
      </c>
      <c r="AN51" s="3" t="s">
        <v>1932</v>
      </c>
      <c r="AO51" s="3" t="s">
        <v>1847</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row>
    <row r="52" spans="1:73" ht="15.75" customHeight="1" x14ac:dyDescent="0.2">
      <c r="A52" s="3">
        <f t="shared" si="0"/>
        <v>10050</v>
      </c>
      <c r="B52" s="3" t="s">
        <v>983</v>
      </c>
      <c r="C52" s="3" t="s">
        <v>983</v>
      </c>
      <c r="D52" s="5" t="s">
        <v>982</v>
      </c>
      <c r="E52" s="5" t="s">
        <v>3603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905</v>
      </c>
      <c r="AN52" s="3" t="s">
        <v>1932</v>
      </c>
      <c r="AO52" s="3" t="s">
        <v>1847</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row>
    <row r="53" spans="1:73" ht="15.75" customHeight="1" x14ac:dyDescent="0.2">
      <c r="A53" s="3">
        <f t="shared" si="0"/>
        <v>10051</v>
      </c>
      <c r="B53" s="3" t="s">
        <v>986</v>
      </c>
      <c r="C53" s="3" t="s">
        <v>986</v>
      </c>
      <c r="D53" s="5" t="s">
        <v>985</v>
      </c>
      <c r="E53" s="5" t="s">
        <v>3604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905</v>
      </c>
      <c r="AN53" s="3" t="s">
        <v>1932</v>
      </c>
      <c r="AO53" s="3" t="s">
        <v>1847</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row>
    <row r="54" spans="1:73" ht="15.75" customHeight="1" x14ac:dyDescent="0.2">
      <c r="A54" s="3">
        <f t="shared" si="0"/>
        <v>10052</v>
      </c>
      <c r="B54" s="3" t="s">
        <v>1723</v>
      </c>
      <c r="C54" s="3" t="s">
        <v>1651</v>
      </c>
      <c r="D54" s="5" t="s">
        <v>1649</v>
      </c>
      <c r="E54" s="5" t="s">
        <v>1650</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905</v>
      </c>
      <c r="AN54" s="3" t="s">
        <v>1933</v>
      </c>
      <c r="AO54" s="3" t="s">
        <v>1847</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row>
    <row r="55" spans="1:73" ht="15.75" customHeight="1" x14ac:dyDescent="0.2">
      <c r="A55" s="3">
        <f t="shared" si="0"/>
        <v>10053</v>
      </c>
      <c r="B55" s="3" t="s">
        <v>1724</v>
      </c>
      <c r="C55" s="3" t="s">
        <v>1652</v>
      </c>
      <c r="D55" s="5" t="s">
        <v>1656</v>
      </c>
      <c r="E55" s="5" t="s">
        <v>2601</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905</v>
      </c>
      <c r="AN55" s="3" t="s">
        <v>1933</v>
      </c>
      <c r="AO55" s="3" t="s">
        <v>1847</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row>
    <row r="56" spans="1:73" ht="15.75" customHeight="1" x14ac:dyDescent="0.2">
      <c r="A56" s="3">
        <f t="shared" si="0"/>
        <v>10054</v>
      </c>
      <c r="B56" s="3" t="s">
        <v>1723</v>
      </c>
      <c r="C56" s="3" t="s">
        <v>1653</v>
      </c>
      <c r="D56" s="5" t="s">
        <v>1657</v>
      </c>
      <c r="E56" s="5" t="s">
        <v>1650</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905</v>
      </c>
      <c r="AN56" s="3" t="s">
        <v>1933</v>
      </c>
      <c r="AO56" s="3" t="s">
        <v>1847</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row>
    <row r="57" spans="1:73" ht="15.75" customHeight="1" x14ac:dyDescent="0.2">
      <c r="A57" s="3">
        <f t="shared" si="0"/>
        <v>10055</v>
      </c>
      <c r="B57" s="3" t="s">
        <v>1754</v>
      </c>
      <c r="C57" s="3" t="s">
        <v>1654</v>
      </c>
      <c r="D57" s="5" t="s">
        <v>1658</v>
      </c>
      <c r="E57" s="5" t="s">
        <v>1650</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905</v>
      </c>
      <c r="AN57" s="3" t="s">
        <v>1933</v>
      </c>
      <c r="AO57" s="3" t="s">
        <v>1847</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row>
    <row r="58" spans="1:73" ht="15.75" customHeight="1" x14ac:dyDescent="0.2">
      <c r="A58" s="3">
        <f t="shared" si="0"/>
        <v>10056</v>
      </c>
      <c r="B58" s="3" t="s">
        <v>1723</v>
      </c>
      <c r="C58" s="3" t="s">
        <v>1655</v>
      </c>
      <c r="D58" s="5" t="s">
        <v>1659</v>
      </c>
      <c r="E58" s="5" t="s">
        <v>1650</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905</v>
      </c>
      <c r="AN58" s="3" t="s">
        <v>1933</v>
      </c>
      <c r="AO58" s="3" t="s">
        <v>1847</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row>
    <row r="59" spans="1:73" ht="15.75" customHeight="1" x14ac:dyDescent="0.2">
      <c r="A59" s="3">
        <f t="shared" si="0"/>
        <v>10057</v>
      </c>
      <c r="B59" s="3" t="s">
        <v>1647</v>
      </c>
      <c r="C59" s="3" t="s">
        <v>1647</v>
      </c>
      <c r="D59" s="5" t="s">
        <v>1646</v>
      </c>
      <c r="E59" s="5" t="s">
        <v>1648</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906</v>
      </c>
      <c r="AN59" s="3" t="s">
        <v>1931</v>
      </c>
      <c r="AO59" s="3" t="s">
        <v>1847</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row>
    <row r="60" spans="1:73" ht="15.75" customHeight="1" x14ac:dyDescent="0.2">
      <c r="A60" s="3">
        <f t="shared" si="0"/>
        <v>10058</v>
      </c>
      <c r="B60" s="3" t="s">
        <v>1662</v>
      </c>
      <c r="C60" s="3" t="s">
        <v>1662</v>
      </c>
      <c r="D60" s="5" t="s">
        <v>1707</v>
      </c>
      <c r="E60" s="5" t="s">
        <v>1711</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906</v>
      </c>
      <c r="AN60" s="3" t="s">
        <v>1931</v>
      </c>
      <c r="AO60" s="3" t="s">
        <v>1847</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row>
    <row r="61" spans="1:73" ht="15.75" customHeight="1" x14ac:dyDescent="0.2">
      <c r="A61" s="3">
        <f t="shared" si="0"/>
        <v>10059</v>
      </c>
      <c r="B61" s="3" t="s">
        <v>1663</v>
      </c>
      <c r="C61" s="3" t="s">
        <v>1663</v>
      </c>
      <c r="D61" s="5" t="s">
        <v>1701</v>
      </c>
      <c r="E61" s="5" t="s">
        <v>1712</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1931</v>
      </c>
      <c r="AO61" s="3" t="s">
        <v>1847</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row>
    <row r="62" spans="1:73" ht="15.75" customHeight="1" x14ac:dyDescent="0.2">
      <c r="A62" s="3">
        <f t="shared" si="0"/>
        <v>10060</v>
      </c>
      <c r="B62" s="3" t="s">
        <v>1664</v>
      </c>
      <c r="C62" s="3" t="s">
        <v>1664</v>
      </c>
      <c r="D62" s="5" t="s">
        <v>1700</v>
      </c>
      <c r="E62" s="5" t="s">
        <v>1713</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1931</v>
      </c>
      <c r="AO62" s="3" t="s">
        <v>1847</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row>
    <row r="63" spans="1:73" ht="15.75" customHeight="1" x14ac:dyDescent="0.2">
      <c r="A63" s="3">
        <f t="shared" si="0"/>
        <v>10061</v>
      </c>
      <c r="B63" s="3" t="s">
        <v>1647</v>
      </c>
      <c r="C63" s="3" t="s">
        <v>1665</v>
      </c>
      <c r="D63" s="5" t="s">
        <v>1660</v>
      </c>
      <c r="E63" s="5" t="s">
        <v>1661</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1931</v>
      </c>
      <c r="AO63" s="3" t="s">
        <v>1847</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row>
    <row r="64" spans="1:73" ht="15.75" customHeight="1" x14ac:dyDescent="0.2">
      <c r="A64" s="3">
        <f t="shared" si="0"/>
        <v>10062</v>
      </c>
      <c r="B64" s="3" t="s">
        <v>1647</v>
      </c>
      <c r="C64" s="3" t="s">
        <v>1666</v>
      </c>
      <c r="D64" s="5" t="s">
        <v>1673</v>
      </c>
      <c r="E64" s="5" t="s">
        <v>1671</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906</v>
      </c>
      <c r="AN64" s="3" t="s">
        <v>1931</v>
      </c>
      <c r="AO64" s="3" t="s">
        <v>1847</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row>
    <row r="65" spans="1:73" ht="15.75" customHeight="1" x14ac:dyDescent="0.2">
      <c r="A65" s="3">
        <f t="shared" si="0"/>
        <v>10063</v>
      </c>
      <c r="B65" s="3" t="s">
        <v>1667</v>
      </c>
      <c r="C65" s="3" t="s">
        <v>1667</v>
      </c>
      <c r="D65" s="5" t="s">
        <v>1694</v>
      </c>
      <c r="E65" s="5" t="s">
        <v>1714</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906</v>
      </c>
      <c r="AN65" s="3" t="s">
        <v>1931</v>
      </c>
      <c r="AO65" s="3" t="s">
        <v>1847</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row>
    <row r="66" spans="1:73" ht="15.75" customHeight="1" x14ac:dyDescent="0.2">
      <c r="A66" s="3">
        <f t="shared" si="0"/>
        <v>10064</v>
      </c>
      <c r="B66" s="3" t="s">
        <v>1668</v>
      </c>
      <c r="C66" s="3" t="s">
        <v>1668</v>
      </c>
      <c r="D66" s="5" t="s">
        <v>1706</v>
      </c>
      <c r="E66" s="5" t="s">
        <v>1715</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1931</v>
      </c>
      <c r="AO66" s="3" t="s">
        <v>1847</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row>
    <row r="67" spans="1:73" ht="15.75" customHeight="1" x14ac:dyDescent="0.2">
      <c r="A67" s="3">
        <f t="shared" si="0"/>
        <v>10065</v>
      </c>
      <c r="B67" s="3" t="s">
        <v>1669</v>
      </c>
      <c r="C67" s="3" t="s">
        <v>1669</v>
      </c>
      <c r="D67" s="5" t="s">
        <v>1695</v>
      </c>
      <c r="E67" s="5" t="s">
        <v>1716</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906</v>
      </c>
      <c r="AN67" s="3" t="s">
        <v>1931</v>
      </c>
      <c r="AO67" s="3" t="s">
        <v>1847</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row>
    <row r="68" spans="1:73" ht="15.75" customHeight="1" x14ac:dyDescent="0.2">
      <c r="A68" s="3">
        <f t="shared" si="0"/>
        <v>10066</v>
      </c>
      <c r="B68" s="3" t="s">
        <v>1647</v>
      </c>
      <c r="C68" s="3" t="s">
        <v>1670</v>
      </c>
      <c r="D68" s="5" t="s">
        <v>1674</v>
      </c>
      <c r="E68" s="5" t="s">
        <v>1672</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1931</v>
      </c>
      <c r="AO68" s="3" t="s">
        <v>1847</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row>
    <row r="69" spans="1:73" ht="15.75" customHeight="1" x14ac:dyDescent="0.2">
      <c r="A69" s="3">
        <f t="shared" si="0"/>
        <v>10067</v>
      </c>
      <c r="B69" s="3" t="s">
        <v>1647</v>
      </c>
      <c r="C69" s="3" t="s">
        <v>1677</v>
      </c>
      <c r="D69" s="5" t="s">
        <v>1675</v>
      </c>
      <c r="E69" s="5" t="s">
        <v>1682</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906</v>
      </c>
      <c r="AN69" s="3" t="s">
        <v>1931</v>
      </c>
      <c r="AO69" s="3" t="s">
        <v>1847</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row>
    <row r="70" spans="1:73" ht="15.75" customHeight="1" x14ac:dyDescent="0.2">
      <c r="A70" s="3">
        <f t="shared" si="0"/>
        <v>10068</v>
      </c>
      <c r="B70" s="3" t="s">
        <v>1678</v>
      </c>
      <c r="C70" s="3" t="s">
        <v>1678</v>
      </c>
      <c r="D70" s="5" t="s">
        <v>1687</v>
      </c>
      <c r="E70" s="5" t="s">
        <v>1717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1931</v>
      </c>
      <c r="AO70" s="3" t="s">
        <v>1847</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row>
    <row r="71" spans="1:73" s="9" customFormat="1" ht="15.75" customHeight="1" x14ac:dyDescent="0.2">
      <c r="A71" s="3">
        <f t="shared" si="0"/>
        <v>10069</v>
      </c>
      <c r="B71" s="7" t="s">
        <v>1679</v>
      </c>
      <c r="C71" s="7" t="s">
        <v>1679</v>
      </c>
      <c r="D71" s="8" t="s">
        <v>1688</v>
      </c>
      <c r="E71" s="8" t="s">
        <v>1774</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906</v>
      </c>
      <c r="AN71" s="7" t="s">
        <v>1931</v>
      </c>
      <c r="AO71" s="7" t="s">
        <v>1847</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c r="BP71" s="10" t="s">
        <v>50</v>
      </c>
      <c r="BQ71" s="9">
        <v>0</v>
      </c>
      <c r="BR71" s="10" t="s">
        <v>50</v>
      </c>
      <c r="BS71" s="9">
        <v>0</v>
      </c>
      <c r="BT71" s="10" t="s">
        <v>50</v>
      </c>
      <c r="BU71" s="9">
        <v>0</v>
      </c>
    </row>
    <row r="72" spans="1:73" ht="15.75" customHeight="1" x14ac:dyDescent="0.2">
      <c r="A72" s="3">
        <f t="shared" si="0"/>
        <v>10070</v>
      </c>
      <c r="B72" s="3" t="s">
        <v>1680</v>
      </c>
      <c r="C72" s="3" t="s">
        <v>1680</v>
      </c>
      <c r="D72" s="5" t="s">
        <v>1699</v>
      </c>
      <c r="E72" s="5" t="s">
        <v>1773</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1931</v>
      </c>
      <c r="AO72" s="3" t="s">
        <v>1847</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row>
    <row r="73" spans="1:73" ht="15.75" customHeight="1" x14ac:dyDescent="0.2">
      <c r="A73" s="3">
        <f t="shared" si="0"/>
        <v>10071</v>
      </c>
      <c r="B73" s="3" t="s">
        <v>1647</v>
      </c>
      <c r="C73" s="3" t="s">
        <v>1681</v>
      </c>
      <c r="D73" s="5" t="s">
        <v>1676</v>
      </c>
      <c r="E73" s="5" t="s">
        <v>1683</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1931</v>
      </c>
      <c r="AO73" s="3" t="s">
        <v>1847</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row>
    <row r="74" spans="1:73" ht="15.75" customHeight="1" x14ac:dyDescent="0.2">
      <c r="A74" s="3">
        <f t="shared" si="0"/>
        <v>10072</v>
      </c>
      <c r="B74" s="3" t="s">
        <v>1709</v>
      </c>
      <c r="C74" s="3" t="s">
        <v>1689</v>
      </c>
      <c r="D74" s="5" t="s">
        <v>1710</v>
      </c>
      <c r="E74" s="5" t="s">
        <v>1719</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1931</v>
      </c>
      <c r="AO74" s="3" t="s">
        <v>1847</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row>
    <row r="75" spans="1:73" ht="15.75" customHeight="1" x14ac:dyDescent="0.2">
      <c r="A75" s="3">
        <f t="shared" si="0"/>
        <v>10073</v>
      </c>
      <c r="B75" s="3" t="s">
        <v>1708</v>
      </c>
      <c r="C75" s="3" t="s">
        <v>1690</v>
      </c>
      <c r="D75" s="5" t="s">
        <v>1684</v>
      </c>
      <c r="E75" s="5" t="s">
        <v>1718</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1931</v>
      </c>
      <c r="AO75" s="3" t="s">
        <v>1847</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row>
    <row r="76" spans="1:73" ht="15.75" customHeight="1" x14ac:dyDescent="0.2">
      <c r="A76" s="3">
        <f t="shared" si="0"/>
        <v>10074</v>
      </c>
      <c r="B76" s="3" t="s">
        <v>1702</v>
      </c>
      <c r="C76" s="3" t="s">
        <v>1702</v>
      </c>
      <c r="D76" s="5" t="s">
        <v>1685</v>
      </c>
      <c r="E76" s="5" t="s">
        <v>1770</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906</v>
      </c>
      <c r="AN76" s="3" t="s">
        <v>1931</v>
      </c>
      <c r="AO76" s="3" t="s">
        <v>1847</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row>
    <row r="77" spans="1:73" ht="15.75" customHeight="1" x14ac:dyDescent="0.2">
      <c r="A77" s="3">
        <f t="shared" si="0"/>
        <v>10075</v>
      </c>
      <c r="B77" s="3" t="s">
        <v>1703</v>
      </c>
      <c r="C77" s="3" t="s">
        <v>1703</v>
      </c>
      <c r="D77" s="5" t="s">
        <v>1686</v>
      </c>
      <c r="E77" s="5" t="s">
        <v>1771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1931</v>
      </c>
      <c r="AO77" s="3" t="s">
        <v>1847</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row>
    <row r="78" spans="1:73" ht="15.75" customHeight="1" x14ac:dyDescent="0.2">
      <c r="A78" s="3">
        <f t="shared" si="0"/>
        <v>10076</v>
      </c>
      <c r="B78" s="3" t="s">
        <v>1704</v>
      </c>
      <c r="C78" s="3" t="s">
        <v>1704</v>
      </c>
      <c r="D78" s="5" t="s">
        <v>1705</v>
      </c>
      <c r="E78" s="5" t="s">
        <v>1772</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906</v>
      </c>
      <c r="AN78" s="3" t="s">
        <v>1931</v>
      </c>
      <c r="AO78" s="3" t="s">
        <v>1847</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row>
    <row r="79" spans="1:73" ht="15.75" customHeight="1" x14ac:dyDescent="0.2">
      <c r="A79" s="3">
        <f t="shared" si="0"/>
        <v>10077</v>
      </c>
      <c r="B79" s="3" t="s">
        <v>1697</v>
      </c>
      <c r="C79" s="3" t="s">
        <v>1697</v>
      </c>
      <c r="D79" s="5" t="s">
        <v>1691</v>
      </c>
      <c r="E79" s="5" t="s">
        <v>1720</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1931</v>
      </c>
      <c r="AO79" s="3" t="s">
        <v>1847</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row>
    <row r="80" spans="1:73" s="9" customFormat="1" ht="15.75" customHeight="1" x14ac:dyDescent="0.2">
      <c r="A80" s="3">
        <f t="shared" si="0"/>
        <v>10078</v>
      </c>
      <c r="B80" s="7" t="s">
        <v>1698</v>
      </c>
      <c r="C80" s="7" t="s">
        <v>1698</v>
      </c>
      <c r="D80" s="8" t="s">
        <v>1692</v>
      </c>
      <c r="E80" s="8" t="s">
        <v>1721</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1931</v>
      </c>
      <c r="AO80" s="7" t="s">
        <v>1847</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row>
    <row r="81" spans="1:73" ht="15.75" customHeight="1" x14ac:dyDescent="0.2">
      <c r="A81" s="3">
        <f t="shared" si="0"/>
        <v>10079</v>
      </c>
      <c r="B81" s="3" t="s">
        <v>1696</v>
      </c>
      <c r="C81" s="3" t="s">
        <v>1696</v>
      </c>
      <c r="D81" s="5" t="s">
        <v>1693</v>
      </c>
      <c r="E81" s="5" t="s">
        <v>1722</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906</v>
      </c>
      <c r="AN81" s="3" t="s">
        <v>1931</v>
      </c>
      <c r="AO81" s="3" t="s">
        <v>1847</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row>
    <row r="82" spans="1:73" s="9" customFormat="1" ht="15.75" customHeight="1" x14ac:dyDescent="0.2">
      <c r="A82" s="3">
        <f t="shared" si="0"/>
        <v>10080</v>
      </c>
      <c r="B82" s="7" t="s">
        <v>1726</v>
      </c>
      <c r="C82" s="7" t="s">
        <v>1726</v>
      </c>
      <c r="D82" s="8" t="s">
        <v>1729</v>
      </c>
      <c r="E82" s="8" t="s">
        <v>1811</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906</v>
      </c>
      <c r="AN82" s="7" t="s">
        <v>1931</v>
      </c>
      <c r="AO82" s="7" t="s">
        <v>1847</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c r="BP82" s="10" t="s">
        <v>50</v>
      </c>
      <c r="BQ82" s="9">
        <v>0</v>
      </c>
      <c r="BR82" s="10" t="s">
        <v>50</v>
      </c>
      <c r="BS82" s="9">
        <v>0</v>
      </c>
      <c r="BT82" s="10" t="s">
        <v>50</v>
      </c>
      <c r="BU82" s="9">
        <v>0</v>
      </c>
    </row>
    <row r="83" spans="1:73" ht="15.75" customHeight="1" x14ac:dyDescent="0.2">
      <c r="A83" s="3">
        <f t="shared" si="0"/>
        <v>10081</v>
      </c>
      <c r="B83" s="3" t="s">
        <v>1727</v>
      </c>
      <c r="C83" s="3" t="s">
        <v>1727</v>
      </c>
      <c r="D83" s="5" t="s">
        <v>1725</v>
      </c>
      <c r="E83" s="5" t="s">
        <v>1812</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906</v>
      </c>
      <c r="AN83" s="3" t="s">
        <v>1931</v>
      </c>
      <c r="AO83" s="3" t="s">
        <v>1847</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row>
    <row r="84" spans="1:73" s="9" customFormat="1" ht="15.75" customHeight="1" x14ac:dyDescent="0.2">
      <c r="A84" s="3">
        <f t="shared" si="0"/>
        <v>10082</v>
      </c>
      <c r="B84" s="7" t="s">
        <v>1728</v>
      </c>
      <c r="C84" s="7" t="s">
        <v>1728</v>
      </c>
      <c r="D84" s="8" t="s">
        <v>1730</v>
      </c>
      <c r="E84" s="8" t="s">
        <v>1813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1931</v>
      </c>
      <c r="AO84" s="7" t="s">
        <v>1847</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row>
    <row r="85" spans="1:73" s="9" customFormat="1" ht="15.75" customHeight="1" x14ac:dyDescent="0.2">
      <c r="A85" s="3">
        <f t="shared" si="0"/>
        <v>10083</v>
      </c>
      <c r="B85" s="7" t="s">
        <v>1737</v>
      </c>
      <c r="C85" s="7" t="s">
        <v>1737</v>
      </c>
      <c r="D85" s="8" t="s">
        <v>1731</v>
      </c>
      <c r="E85" s="8" t="s">
        <v>1734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1931</v>
      </c>
      <c r="AO85" s="7" t="s">
        <v>1847</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row>
    <row r="86" spans="1:73" ht="15.75" customHeight="1" x14ac:dyDescent="0.2">
      <c r="A86" s="3">
        <f t="shared" si="0"/>
        <v>10084</v>
      </c>
      <c r="B86" s="3" t="s">
        <v>1738</v>
      </c>
      <c r="C86" s="3" t="s">
        <v>1738</v>
      </c>
      <c r="D86" s="5" t="s">
        <v>1732</v>
      </c>
      <c r="E86" s="5" t="s">
        <v>1735</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1931</v>
      </c>
      <c r="AO86" s="3" t="s">
        <v>1847</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row>
    <row r="87" spans="1:73" s="9" customFormat="1" ht="15.75" customHeight="1" x14ac:dyDescent="0.2">
      <c r="A87" s="3">
        <f t="shared" si="0"/>
        <v>10085</v>
      </c>
      <c r="B87" s="7" t="s">
        <v>1739</v>
      </c>
      <c r="C87" s="7" t="s">
        <v>1739</v>
      </c>
      <c r="D87" s="8" t="s">
        <v>1733</v>
      </c>
      <c r="E87" s="8" t="s">
        <v>1736</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906</v>
      </c>
      <c r="AN87" s="7" t="s">
        <v>1931</v>
      </c>
      <c r="AO87" s="7" t="s">
        <v>1847</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c r="BP87" s="10" t="s">
        <v>50</v>
      </c>
      <c r="BQ87" s="9">
        <v>0</v>
      </c>
      <c r="BR87" s="10" t="s">
        <v>50</v>
      </c>
      <c r="BS87" s="9">
        <v>0</v>
      </c>
      <c r="BT87" s="10" t="s">
        <v>50</v>
      </c>
      <c r="BU87" s="9">
        <v>0</v>
      </c>
    </row>
    <row r="88" spans="1:73" s="9" customFormat="1" ht="15.75" customHeight="1" x14ac:dyDescent="0.2">
      <c r="A88" s="3">
        <f t="shared" si="0"/>
        <v>10086</v>
      </c>
      <c r="B88" s="7" t="s">
        <v>1746</v>
      </c>
      <c r="C88" s="7" t="s">
        <v>1746</v>
      </c>
      <c r="D88" s="8" t="s">
        <v>1742</v>
      </c>
      <c r="E88" s="8" t="s">
        <v>1744</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1931</v>
      </c>
      <c r="AO88" s="7" t="s">
        <v>1847</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row>
    <row r="89" spans="1:73" s="9" customFormat="1" ht="15.75" customHeight="1" x14ac:dyDescent="0.2">
      <c r="A89" s="3">
        <f t="shared" si="0"/>
        <v>10087</v>
      </c>
      <c r="B89" s="7" t="s">
        <v>1747</v>
      </c>
      <c r="C89" s="7" t="s">
        <v>1747</v>
      </c>
      <c r="D89" s="8" t="s">
        <v>1743</v>
      </c>
      <c r="E89" s="8" t="s">
        <v>1745</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1931</v>
      </c>
      <c r="AO89" s="7" t="s">
        <v>1847</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row>
    <row r="90" spans="1:73" ht="15.75" customHeight="1" x14ac:dyDescent="0.2">
      <c r="A90" s="3">
        <f t="shared" si="0"/>
        <v>10088</v>
      </c>
      <c r="B90" s="3" t="s">
        <v>1740</v>
      </c>
      <c r="C90" s="3" t="s">
        <v>1740</v>
      </c>
      <c r="D90" s="5" t="s">
        <v>1741</v>
      </c>
      <c r="E90" s="5" t="s">
        <v>1779</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1931</v>
      </c>
      <c r="AO90" s="3" t="s">
        <v>1847</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row>
    <row r="91" spans="1:73" ht="15.75" customHeight="1" x14ac:dyDescent="0.2">
      <c r="A91" s="3">
        <f t="shared" si="0"/>
        <v>10089</v>
      </c>
      <c r="B91" s="3" t="s">
        <v>1753</v>
      </c>
      <c r="C91" s="3" t="s">
        <v>1753</v>
      </c>
      <c r="D91" s="5" t="s">
        <v>1748</v>
      </c>
      <c r="E91" s="5" t="s">
        <v>1783</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1931</v>
      </c>
      <c r="AO91" s="3" t="s">
        <v>1847</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row>
    <row r="92" spans="1:73" s="9" customFormat="1" ht="15.75" customHeight="1" x14ac:dyDescent="0.2">
      <c r="A92" s="3">
        <f t="shared" si="0"/>
        <v>10090</v>
      </c>
      <c r="B92" s="7" t="s">
        <v>1752</v>
      </c>
      <c r="C92" s="7" t="s">
        <v>1752</v>
      </c>
      <c r="D92" s="8" t="s">
        <v>1749</v>
      </c>
      <c r="E92" s="8" t="s">
        <v>1781</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1931</v>
      </c>
      <c r="AO92" s="7" t="s">
        <v>1847</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row>
    <row r="93" spans="1:73" s="9" customFormat="1" ht="15.75" customHeight="1" x14ac:dyDescent="0.2">
      <c r="A93" s="3">
        <f t="shared" ref="A93:A163" si="1">ROW()+9998</f>
        <v>10091</v>
      </c>
      <c r="B93" s="7" t="s">
        <v>1751</v>
      </c>
      <c r="C93" s="7" t="s">
        <v>1751</v>
      </c>
      <c r="D93" s="8" t="s">
        <v>1750</v>
      </c>
      <c r="E93" s="8" t="s">
        <v>1782</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1931</v>
      </c>
      <c r="AO93" s="7" t="s">
        <v>1847</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row>
    <row r="94" spans="1:73" ht="15.75" customHeight="1" x14ac:dyDescent="0.2">
      <c r="A94" s="3">
        <f t="shared" si="1"/>
        <v>10092</v>
      </c>
      <c r="B94" s="3" t="s">
        <v>1758</v>
      </c>
      <c r="C94" s="3" t="s">
        <v>1758</v>
      </c>
      <c r="D94" s="5" t="s">
        <v>1755</v>
      </c>
      <c r="E94" s="5" t="s">
        <v>1761</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906</v>
      </c>
      <c r="AN94" s="3" t="s">
        <v>1931</v>
      </c>
      <c r="AO94" s="3" t="s">
        <v>1847</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row>
    <row r="95" spans="1:73" ht="15.75" customHeight="1" x14ac:dyDescent="0.2">
      <c r="A95" s="3">
        <f t="shared" si="1"/>
        <v>10093</v>
      </c>
      <c r="B95" s="3" t="s">
        <v>1759</v>
      </c>
      <c r="C95" s="3" t="s">
        <v>1759</v>
      </c>
      <c r="D95" s="5" t="s">
        <v>1756</v>
      </c>
      <c r="E95" s="5" t="s">
        <v>1762</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906</v>
      </c>
      <c r="AN95" s="3" t="s">
        <v>1931</v>
      </c>
      <c r="AO95" s="3" t="s">
        <v>1847</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row>
    <row r="96" spans="1:73" s="9" customFormat="1" ht="15.75" customHeight="1" x14ac:dyDescent="0.2">
      <c r="A96" s="3">
        <f t="shared" si="1"/>
        <v>10094</v>
      </c>
      <c r="B96" s="7" t="s">
        <v>1760</v>
      </c>
      <c r="C96" s="7" t="s">
        <v>1760</v>
      </c>
      <c r="D96" s="8" t="s">
        <v>1757</v>
      </c>
      <c r="E96" s="8" t="s">
        <v>1763</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1931</v>
      </c>
      <c r="AO96" s="7" t="s">
        <v>1847</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row>
    <row r="97" spans="1:73" s="9" customFormat="1" ht="15.75" customHeight="1" x14ac:dyDescent="0.2">
      <c r="A97" s="3">
        <f t="shared" si="1"/>
        <v>10095</v>
      </c>
      <c r="B97" s="7" t="s">
        <v>1767</v>
      </c>
      <c r="C97" s="7" t="s">
        <v>1767</v>
      </c>
      <c r="D97" s="8" t="s">
        <v>1764</v>
      </c>
      <c r="E97" s="8" t="s">
        <v>1788</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1931</v>
      </c>
      <c r="AO97" s="7" t="s">
        <v>1847</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row>
    <row r="98" spans="1:73" s="9" customFormat="1" ht="15.75" customHeight="1" x14ac:dyDescent="0.2">
      <c r="A98" s="3">
        <f t="shared" si="1"/>
        <v>10096</v>
      </c>
      <c r="B98" s="7" t="s">
        <v>1768</v>
      </c>
      <c r="C98" s="7" t="s">
        <v>1768</v>
      </c>
      <c r="D98" s="8" t="s">
        <v>1765</v>
      </c>
      <c r="E98" s="8" t="s">
        <v>1786</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1931</v>
      </c>
      <c r="AO98" s="7" t="s">
        <v>1847</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row>
    <row r="99" spans="1:73" s="9" customFormat="1" ht="15.75" customHeight="1" x14ac:dyDescent="0.2">
      <c r="A99" s="3">
        <f t="shared" si="1"/>
        <v>10097</v>
      </c>
      <c r="B99" s="7" t="s">
        <v>1769</v>
      </c>
      <c r="C99" s="7" t="s">
        <v>1769</v>
      </c>
      <c r="D99" s="8" t="s">
        <v>1766</v>
      </c>
      <c r="E99" s="8" t="s">
        <v>1787</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906</v>
      </c>
      <c r="AN99" s="7" t="s">
        <v>1931</v>
      </c>
      <c r="AO99" s="7" t="s">
        <v>1847</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c r="BP99" s="10" t="s">
        <v>50</v>
      </c>
      <c r="BQ99" s="9">
        <v>0</v>
      </c>
      <c r="BR99" s="10" t="s">
        <v>50</v>
      </c>
      <c r="BS99" s="9">
        <v>0</v>
      </c>
      <c r="BT99" s="10" t="s">
        <v>50</v>
      </c>
      <c r="BU99" s="9">
        <v>0</v>
      </c>
    </row>
    <row r="100" spans="1:73" s="9" customFormat="1" ht="15.75" customHeight="1" x14ac:dyDescent="0.2">
      <c r="A100" s="3">
        <f t="shared" si="1"/>
        <v>10098</v>
      </c>
      <c r="B100" s="7" t="s">
        <v>1790</v>
      </c>
      <c r="C100" s="7" t="s">
        <v>1775</v>
      </c>
      <c r="D100" s="8" t="s">
        <v>1795</v>
      </c>
      <c r="E100" s="8" t="s">
        <v>1793</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906</v>
      </c>
      <c r="AN100" s="7" t="s">
        <v>1931</v>
      </c>
      <c r="AO100" s="7" t="s">
        <v>1847</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c r="BP100" s="10" t="s">
        <v>50</v>
      </c>
      <c r="BQ100" s="9">
        <v>0</v>
      </c>
      <c r="BR100" s="10" t="s">
        <v>50</v>
      </c>
      <c r="BS100" s="9">
        <v>0</v>
      </c>
      <c r="BT100" s="10" t="s">
        <v>50</v>
      </c>
      <c r="BU100" s="9">
        <v>0</v>
      </c>
    </row>
    <row r="101" spans="1:73" s="9" customFormat="1" ht="15.75" customHeight="1" x14ac:dyDescent="0.2">
      <c r="A101" s="3">
        <f t="shared" si="1"/>
        <v>10099</v>
      </c>
      <c r="B101" s="7" t="s">
        <v>1791</v>
      </c>
      <c r="C101" s="7" t="s">
        <v>1776</v>
      </c>
      <c r="D101" s="8" t="s">
        <v>1796</v>
      </c>
      <c r="E101" s="8" t="s">
        <v>1794</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1931</v>
      </c>
      <c r="AO101" s="7" t="s">
        <v>1847</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row>
    <row r="102" spans="1:73" s="9" customFormat="1" ht="15.75" customHeight="1" x14ac:dyDescent="0.2">
      <c r="A102" s="3">
        <f t="shared" si="1"/>
        <v>10100</v>
      </c>
      <c r="B102" s="7" t="s">
        <v>1792</v>
      </c>
      <c r="C102" s="7" t="s">
        <v>1777</v>
      </c>
      <c r="D102" s="8" t="s">
        <v>1797</v>
      </c>
      <c r="E102" s="8" t="s">
        <v>1785</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1931</v>
      </c>
      <c r="AO102" s="7" t="s">
        <v>1847</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row>
    <row r="103" spans="1:73" ht="15.75" customHeight="1" x14ac:dyDescent="0.2">
      <c r="A103" s="3">
        <f t="shared" si="1"/>
        <v>10101</v>
      </c>
      <c r="B103" s="3" t="s">
        <v>1804</v>
      </c>
      <c r="C103" s="3" t="s">
        <v>1814</v>
      </c>
      <c r="D103" s="5" t="s">
        <v>1801</v>
      </c>
      <c r="E103" s="5" t="s">
        <v>1808</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906</v>
      </c>
      <c r="AN103" s="3" t="s">
        <v>1931</v>
      </c>
      <c r="AO103" s="3" t="s">
        <v>1847</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row>
    <row r="104" spans="1:73" ht="15.75" customHeight="1" x14ac:dyDescent="0.2">
      <c r="A104" s="3">
        <f t="shared" si="1"/>
        <v>10102</v>
      </c>
      <c r="B104" s="3" t="s">
        <v>1805</v>
      </c>
      <c r="C104" s="3" t="s">
        <v>1780</v>
      </c>
      <c r="D104" s="5" t="s">
        <v>1807</v>
      </c>
      <c r="E104" s="5" t="s">
        <v>1802</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906</v>
      </c>
      <c r="AN104" s="3" t="s">
        <v>1931</v>
      </c>
      <c r="AO104" s="3" t="s">
        <v>1847</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row>
    <row r="105" spans="1:73" ht="15.75" customHeight="1" x14ac:dyDescent="0.2">
      <c r="A105" s="3">
        <f t="shared" si="1"/>
        <v>10103</v>
      </c>
      <c r="B105" s="3" t="s">
        <v>1809</v>
      </c>
      <c r="C105" s="3" t="s">
        <v>1784</v>
      </c>
      <c r="D105" s="5" t="s">
        <v>1810</v>
      </c>
      <c r="E105" s="5" t="s">
        <v>1803</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1931</v>
      </c>
      <c r="AO105" s="3" t="s">
        <v>1847</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row>
    <row r="106" spans="1:73" ht="15.75" customHeight="1" x14ac:dyDescent="0.2">
      <c r="A106" s="3">
        <f t="shared" si="1"/>
        <v>10104</v>
      </c>
      <c r="B106" s="3" t="s">
        <v>1789</v>
      </c>
      <c r="C106" s="3" t="s">
        <v>1778</v>
      </c>
      <c r="D106" s="5" t="s">
        <v>1800</v>
      </c>
      <c r="E106" s="5" t="s">
        <v>1799</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1931</v>
      </c>
      <c r="AO106" s="3" t="s">
        <v>1847</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row>
    <row r="107" spans="1:73" s="9" customFormat="1" ht="15.75" customHeight="1" x14ac:dyDescent="0.2">
      <c r="A107" s="3">
        <f t="shared" si="1"/>
        <v>10105</v>
      </c>
      <c r="B107" s="7" t="s">
        <v>1816</v>
      </c>
      <c r="C107" s="7" t="s">
        <v>1816</v>
      </c>
      <c r="D107" s="8" t="s">
        <v>1815</v>
      </c>
      <c r="E107" s="8" t="s">
        <v>1820</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906</v>
      </c>
      <c r="AN107" s="7" t="s">
        <v>1931</v>
      </c>
      <c r="AO107" s="7" t="s">
        <v>1847</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c r="BP107" s="10" t="s">
        <v>50</v>
      </c>
      <c r="BQ107" s="9">
        <v>0</v>
      </c>
      <c r="BR107" s="10" t="s">
        <v>50</v>
      </c>
      <c r="BS107" s="9">
        <v>0</v>
      </c>
      <c r="BT107" s="10" t="s">
        <v>50</v>
      </c>
      <c r="BU107" s="9">
        <v>0</v>
      </c>
    </row>
    <row r="108" spans="1:73" s="9" customFormat="1" ht="15.75" customHeight="1" x14ac:dyDescent="0.2">
      <c r="A108" s="3">
        <f t="shared" si="1"/>
        <v>10106</v>
      </c>
      <c r="B108" s="7" t="s">
        <v>1817</v>
      </c>
      <c r="C108" s="7" t="s">
        <v>1817</v>
      </c>
      <c r="D108" s="8" t="s">
        <v>1818</v>
      </c>
      <c r="E108" s="8" t="s">
        <v>1819</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906</v>
      </c>
      <c r="AN108" s="7" t="s">
        <v>1931</v>
      </c>
      <c r="AO108" s="7" t="s">
        <v>1847</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c r="BP108" s="10" t="s">
        <v>50</v>
      </c>
      <c r="BQ108" s="9">
        <v>0</v>
      </c>
      <c r="BR108" s="10" t="s">
        <v>50</v>
      </c>
      <c r="BS108" s="9">
        <v>0</v>
      </c>
      <c r="BT108" s="10" t="s">
        <v>50</v>
      </c>
      <c r="BU108" s="9">
        <v>0</v>
      </c>
    </row>
    <row r="109" spans="1:73" ht="15.75" customHeight="1" x14ac:dyDescent="0.2">
      <c r="A109" s="3">
        <f t="shared" si="1"/>
        <v>10107</v>
      </c>
      <c r="B109" s="3" t="s">
        <v>1430</v>
      </c>
      <c r="C109" s="3" t="s">
        <v>1430</v>
      </c>
      <c r="D109" s="5" t="s">
        <v>1428</v>
      </c>
      <c r="E109" s="5" t="s">
        <v>1429</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1931</v>
      </c>
      <c r="AO109" s="3" t="s">
        <v>1847</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row>
    <row r="110" spans="1:73" ht="15.75" customHeight="1" x14ac:dyDescent="0.2">
      <c r="A110" s="3">
        <f t="shared" si="1"/>
        <v>10108</v>
      </c>
      <c r="B110" s="3" t="s">
        <v>1639</v>
      </c>
      <c r="C110" s="3" t="s">
        <v>1639</v>
      </c>
      <c r="D110" s="5" t="s">
        <v>1640</v>
      </c>
      <c r="E110" s="5" t="s">
        <v>1798</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1931</v>
      </c>
      <c r="AO110" s="3" t="s">
        <v>1847</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row>
    <row r="111" spans="1:73" ht="15.75" customHeight="1" x14ac:dyDescent="0.2">
      <c r="A111" s="3">
        <f t="shared" si="1"/>
        <v>10109</v>
      </c>
      <c r="B111" s="3" t="s">
        <v>3533</v>
      </c>
      <c r="C111" s="3" t="s">
        <v>3533</v>
      </c>
      <c r="D111" s="5" t="s">
        <v>3531</v>
      </c>
      <c r="E111" s="5" t="s">
        <v>3532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1931</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row>
    <row r="112" spans="1:73" ht="15.75" customHeight="1" x14ac:dyDescent="0.2">
      <c r="A112" s="3">
        <f t="shared" si="1"/>
        <v>10110</v>
      </c>
      <c r="B112" s="3" t="s">
        <v>886</v>
      </c>
      <c r="C112" s="3" t="s">
        <v>886</v>
      </c>
      <c r="D112" s="5" t="s">
        <v>885</v>
      </c>
      <c r="E112" s="5" t="s">
        <v>1042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1931</v>
      </c>
      <c r="AO112" s="3" t="s">
        <v>1847</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row>
    <row r="113" spans="1:73" ht="15.75" customHeight="1" x14ac:dyDescent="0.2">
      <c r="A113" s="3">
        <f t="shared" si="1"/>
        <v>10111</v>
      </c>
      <c r="B113" s="3" t="s">
        <v>939</v>
      </c>
      <c r="C113" s="3" t="s">
        <v>939</v>
      </c>
      <c r="D113" s="5" t="s">
        <v>1297</v>
      </c>
      <c r="E113" s="5" t="s">
        <v>1298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1931</v>
      </c>
      <c r="AO113" s="3" t="s">
        <v>1847</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row>
    <row r="114" spans="1:73" ht="15.75" customHeight="1" x14ac:dyDescent="0.2">
      <c r="A114" s="3">
        <f t="shared" si="1"/>
        <v>10112</v>
      </c>
      <c r="B114" s="3" t="s">
        <v>1544</v>
      </c>
      <c r="C114" s="3" t="s">
        <v>1544</v>
      </c>
      <c r="D114" s="5" t="s">
        <v>1543</v>
      </c>
      <c r="E114" s="5" t="s">
        <v>1545</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1931</v>
      </c>
      <c r="AO114" s="3" t="s">
        <v>1847</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row>
    <row r="115" spans="1:73" ht="15.75" customHeight="1" x14ac:dyDescent="0.2">
      <c r="A115" s="3">
        <f t="shared" si="1"/>
        <v>10113</v>
      </c>
      <c r="B115" s="3" t="s">
        <v>1557</v>
      </c>
      <c r="C115" s="3" t="s">
        <v>1546</v>
      </c>
      <c r="D115" s="5" t="s">
        <v>1606</v>
      </c>
      <c r="E115" s="5" t="s">
        <v>1607</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1645</v>
      </c>
      <c r="AN115" s="3" t="s">
        <v>1934</v>
      </c>
      <c r="AO115" s="3" t="s">
        <v>1847</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row>
    <row r="116" spans="1:73" ht="15.75" customHeight="1" x14ac:dyDescent="0.2">
      <c r="A116" s="3">
        <f t="shared" si="1"/>
        <v>10114</v>
      </c>
      <c r="B116" s="3" t="s">
        <v>1557</v>
      </c>
      <c r="C116" s="3" t="s">
        <v>1547</v>
      </c>
      <c r="D116" s="5" t="s">
        <v>1610</v>
      </c>
      <c r="E116" s="5" t="s">
        <v>1553</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1645</v>
      </c>
      <c r="AN116" s="3" t="s">
        <v>1934</v>
      </c>
      <c r="AO116" s="3" t="s">
        <v>1847</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row>
    <row r="117" spans="1:73" ht="15.75" customHeight="1" x14ac:dyDescent="0.2">
      <c r="A117" s="3">
        <f t="shared" si="1"/>
        <v>10115</v>
      </c>
      <c r="B117" s="3" t="s">
        <v>1557</v>
      </c>
      <c r="C117" s="3" t="s">
        <v>1548</v>
      </c>
      <c r="D117" s="5" t="s">
        <v>1568</v>
      </c>
      <c r="E117" s="5" t="s">
        <v>1569</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1645</v>
      </c>
      <c r="AN117" s="3" t="s">
        <v>1934</v>
      </c>
      <c r="AO117" s="3" t="s">
        <v>1847</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row>
    <row r="118" spans="1:73" ht="15.75" customHeight="1" x14ac:dyDescent="0.2">
      <c r="A118" s="3">
        <f t="shared" si="1"/>
        <v>10116</v>
      </c>
      <c r="B118" s="3" t="s">
        <v>1557</v>
      </c>
      <c r="C118" s="3" t="s">
        <v>1549</v>
      </c>
      <c r="D118" s="5" t="s">
        <v>1567</v>
      </c>
      <c r="E118" s="5" t="s">
        <v>1555</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1645</v>
      </c>
      <c r="AN118" s="3" t="s">
        <v>1934</v>
      </c>
      <c r="AO118" s="3" t="s">
        <v>1847</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row>
    <row r="119" spans="1:73" ht="15.75" customHeight="1" x14ac:dyDescent="0.2">
      <c r="A119" s="3">
        <f t="shared" si="1"/>
        <v>10117</v>
      </c>
      <c r="B119" s="3" t="s">
        <v>1557</v>
      </c>
      <c r="C119" s="3" t="s">
        <v>1550</v>
      </c>
      <c r="D119" s="5" t="s">
        <v>1551</v>
      </c>
      <c r="E119" s="5" t="s">
        <v>1556</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1645</v>
      </c>
      <c r="AN119" s="3" t="s">
        <v>1934</v>
      </c>
      <c r="AO119" s="3" t="s">
        <v>1847</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row>
    <row r="120" spans="1:73" ht="15.75" customHeight="1" x14ac:dyDescent="0.2">
      <c r="A120" s="3">
        <f t="shared" si="1"/>
        <v>10118</v>
      </c>
      <c r="B120" s="3" t="s">
        <v>1557</v>
      </c>
      <c r="C120" s="3" t="s">
        <v>1561</v>
      </c>
      <c r="D120" s="5" t="s">
        <v>1562</v>
      </c>
      <c r="E120" s="5" t="s">
        <v>1554</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1645</v>
      </c>
      <c r="AN120" s="3" t="s">
        <v>1934</v>
      </c>
      <c r="AO120" s="3" t="s">
        <v>1847</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c r="BP120" s="6" t="s">
        <v>50</v>
      </c>
      <c r="BQ120">
        <v>0</v>
      </c>
      <c r="BR120" s="6" t="s">
        <v>50</v>
      </c>
      <c r="BS120">
        <v>0</v>
      </c>
      <c r="BT120" s="6" t="s">
        <v>50</v>
      </c>
      <c r="BU120">
        <v>0</v>
      </c>
    </row>
    <row r="121" spans="1:73" ht="15.75" customHeight="1" x14ac:dyDescent="0.2">
      <c r="A121" s="3">
        <f t="shared" si="1"/>
        <v>10119</v>
      </c>
      <c r="B121" s="3" t="s">
        <v>1557</v>
      </c>
      <c r="C121" s="3" t="s">
        <v>1563</v>
      </c>
      <c r="D121" s="5" t="s">
        <v>1564</v>
      </c>
      <c r="E121" s="5" t="s">
        <v>1577</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1645</v>
      </c>
      <c r="AN121" s="3" t="s">
        <v>1934</v>
      </c>
      <c r="AO121" s="3" t="s">
        <v>1847</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row>
    <row r="122" spans="1:73" ht="15.75" customHeight="1" x14ac:dyDescent="0.2">
      <c r="A122" s="3">
        <f t="shared" si="1"/>
        <v>10120</v>
      </c>
      <c r="B122" s="3" t="s">
        <v>1557</v>
      </c>
      <c r="C122" s="3" t="s">
        <v>1565</v>
      </c>
      <c r="D122" s="5" t="s">
        <v>1566</v>
      </c>
      <c r="E122" s="5" t="s">
        <v>1576</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1645</v>
      </c>
      <c r="AN122" s="3" t="s">
        <v>1934</v>
      </c>
      <c r="AO122" s="3" t="s">
        <v>1847</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row>
    <row r="123" spans="1:73" ht="15.75" customHeight="1" x14ac:dyDescent="0.2">
      <c r="A123" s="3">
        <f t="shared" si="1"/>
        <v>10121</v>
      </c>
      <c r="B123" s="3" t="s">
        <v>1557</v>
      </c>
      <c r="C123" s="3" t="s">
        <v>1570</v>
      </c>
      <c r="D123" s="5" t="s">
        <v>1571</v>
      </c>
      <c r="E123" s="5" t="s">
        <v>1572</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1645</v>
      </c>
      <c r="AN123" s="3" t="s">
        <v>1934</v>
      </c>
      <c r="AO123" s="3" t="s">
        <v>1847</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row>
    <row r="124" spans="1:73" ht="15.75" customHeight="1" x14ac:dyDescent="0.2">
      <c r="A124" s="3">
        <f t="shared" si="1"/>
        <v>10122</v>
      </c>
      <c r="B124" s="3" t="s">
        <v>1557</v>
      </c>
      <c r="C124" s="3" t="s">
        <v>1573</v>
      </c>
      <c r="D124" s="5" t="s">
        <v>1574</v>
      </c>
      <c r="E124" s="5" t="s">
        <v>1575</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1645</v>
      </c>
      <c r="AN124" s="3" t="s">
        <v>1934</v>
      </c>
      <c r="AO124" s="3" t="s">
        <v>1847</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row>
    <row r="125" spans="1:73" ht="15.75" customHeight="1" x14ac:dyDescent="0.2">
      <c r="A125" s="3">
        <f t="shared" si="1"/>
        <v>10123</v>
      </c>
      <c r="B125" s="3" t="s">
        <v>1557</v>
      </c>
      <c r="C125" s="3" t="s">
        <v>1578</v>
      </c>
      <c r="D125" s="5" t="s">
        <v>1579</v>
      </c>
      <c r="E125" s="5" t="s">
        <v>1580</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1645</v>
      </c>
      <c r="AN125" s="3" t="s">
        <v>1934</v>
      </c>
      <c r="AO125" s="3" t="s">
        <v>1847</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row>
    <row r="126" spans="1:73" ht="15.75" customHeight="1" x14ac:dyDescent="0.2">
      <c r="A126" s="3">
        <f t="shared" si="1"/>
        <v>10124</v>
      </c>
      <c r="B126" s="3" t="s">
        <v>1557</v>
      </c>
      <c r="C126" s="3" t="s">
        <v>1581</v>
      </c>
      <c r="D126" s="5" t="s">
        <v>1609</v>
      </c>
      <c r="E126" s="5" t="s">
        <v>1582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1645</v>
      </c>
      <c r="AN126" s="3" t="s">
        <v>1934</v>
      </c>
      <c r="AO126" s="3" t="s">
        <v>1847</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row>
    <row r="127" spans="1:73" ht="15.75" customHeight="1" x14ac:dyDescent="0.2">
      <c r="A127" s="3">
        <f t="shared" si="1"/>
        <v>10125</v>
      </c>
      <c r="B127" s="3" t="s">
        <v>1557</v>
      </c>
      <c r="C127" s="3" t="s">
        <v>1584</v>
      </c>
      <c r="D127" s="5" t="s">
        <v>1583</v>
      </c>
      <c r="E127" s="5" t="s">
        <v>1585</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1645</v>
      </c>
      <c r="AN127" s="3" t="s">
        <v>1934</v>
      </c>
      <c r="AO127" s="3" t="s">
        <v>1847</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row>
    <row r="128" spans="1:73" ht="15.75" customHeight="1" x14ac:dyDescent="0.2">
      <c r="A128" s="3">
        <f t="shared" si="1"/>
        <v>10126</v>
      </c>
      <c r="B128" s="3" t="s">
        <v>1557</v>
      </c>
      <c r="C128" s="3" t="s">
        <v>1586</v>
      </c>
      <c r="D128" s="5" t="s">
        <v>1604</v>
      </c>
      <c r="E128" s="5" t="s">
        <v>1608</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1645</v>
      </c>
      <c r="AN128" s="3" t="s">
        <v>1934</v>
      </c>
      <c r="AO128" s="3" t="s">
        <v>1847</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row>
    <row r="129" spans="1:73" ht="15.75" customHeight="1" x14ac:dyDescent="0.2">
      <c r="A129" s="3">
        <f t="shared" si="1"/>
        <v>10127</v>
      </c>
      <c r="B129" s="3" t="s">
        <v>1557</v>
      </c>
      <c r="C129" s="3" t="s">
        <v>1587</v>
      </c>
      <c r="D129" s="5" t="s">
        <v>1588</v>
      </c>
      <c r="E129" s="5" t="s">
        <v>1552</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1645</v>
      </c>
      <c r="AN129" s="3" t="s">
        <v>1934</v>
      </c>
      <c r="AO129" s="3" t="s">
        <v>1847</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row>
    <row r="130" spans="1:73" ht="15.75" customHeight="1" x14ac:dyDescent="0.2">
      <c r="A130" s="3">
        <f t="shared" si="1"/>
        <v>10128</v>
      </c>
      <c r="B130" s="3" t="s">
        <v>1557</v>
      </c>
      <c r="C130" s="3" t="s">
        <v>1612</v>
      </c>
      <c r="D130" s="5" t="s">
        <v>1613</v>
      </c>
      <c r="E130" s="5" t="s">
        <v>1614</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1645</v>
      </c>
      <c r="AN130" s="3" t="s">
        <v>1934</v>
      </c>
      <c r="AO130" s="3" t="s">
        <v>1847</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row>
    <row r="131" spans="1:73" ht="15.75" customHeight="1" x14ac:dyDescent="0.2">
      <c r="A131" s="3">
        <f t="shared" si="1"/>
        <v>10129</v>
      </c>
      <c r="B131" s="3" t="s">
        <v>1557</v>
      </c>
      <c r="C131" s="3" t="s">
        <v>1615</v>
      </c>
      <c r="D131" s="5" t="s">
        <v>1616</v>
      </c>
      <c r="E131" s="5" t="s">
        <v>1617</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1645</v>
      </c>
      <c r="AN131" s="3" t="s">
        <v>1934</v>
      </c>
      <c r="AO131" s="3" t="s">
        <v>1847</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row>
    <row r="132" spans="1:73" ht="15.75" customHeight="1" x14ac:dyDescent="0.2">
      <c r="A132" s="3">
        <f t="shared" si="1"/>
        <v>10130</v>
      </c>
      <c r="B132" s="3" t="s">
        <v>1557</v>
      </c>
      <c r="C132" s="3" t="s">
        <v>1618</v>
      </c>
      <c r="D132" s="5" t="s">
        <v>1619</v>
      </c>
      <c r="E132" s="5" t="s">
        <v>1620</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1645</v>
      </c>
      <c r="AN132" s="3" t="s">
        <v>1934</v>
      </c>
      <c r="AO132" s="3" t="s">
        <v>1847</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row>
    <row r="133" spans="1:73" ht="15.75" customHeight="1" x14ac:dyDescent="0.2">
      <c r="A133" s="3">
        <f t="shared" si="1"/>
        <v>10131</v>
      </c>
      <c r="B133" s="3" t="s">
        <v>1557</v>
      </c>
      <c r="C133" s="3" t="s">
        <v>1621</v>
      </c>
      <c r="D133" s="5" t="s">
        <v>1623</v>
      </c>
      <c r="E133" s="5" t="s">
        <v>1625</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1645</v>
      </c>
      <c r="AN133" s="3" t="s">
        <v>1934</v>
      </c>
      <c r="AO133" s="3" t="s">
        <v>1847</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row>
    <row r="134" spans="1:73" ht="15.75" customHeight="1" x14ac:dyDescent="0.2">
      <c r="A134" s="3">
        <f t="shared" si="1"/>
        <v>10132</v>
      </c>
      <c r="B134" s="3" t="s">
        <v>1557</v>
      </c>
      <c r="C134" s="3" t="s">
        <v>1622</v>
      </c>
      <c r="D134" s="5" t="s">
        <v>1624</v>
      </c>
      <c r="E134" s="5" t="s">
        <v>1626</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1645</v>
      </c>
      <c r="AN134" s="3" t="s">
        <v>1934</v>
      </c>
      <c r="AO134" s="3" t="s">
        <v>1847</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row>
    <row r="135" spans="1:73" ht="15.75" customHeight="1" x14ac:dyDescent="0.2">
      <c r="A135" s="3">
        <f t="shared" si="1"/>
        <v>10133</v>
      </c>
      <c r="B135" s="3" t="s">
        <v>1557</v>
      </c>
      <c r="C135" s="3" t="s">
        <v>1636</v>
      </c>
      <c r="D135" s="5" t="s">
        <v>1638</v>
      </c>
      <c r="E135" s="5" t="s">
        <v>1637</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1645</v>
      </c>
      <c r="AN135" s="3" t="s">
        <v>1934</v>
      </c>
      <c r="AO135" s="3" t="s">
        <v>1847</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row>
    <row r="136" spans="1:73" ht="15.75" customHeight="1" x14ac:dyDescent="0.2">
      <c r="A136" s="3">
        <f t="shared" si="1"/>
        <v>10134</v>
      </c>
      <c r="B136" s="3" t="s">
        <v>988</v>
      </c>
      <c r="C136" s="3" t="s">
        <v>988</v>
      </c>
      <c r="D136" s="5" t="s">
        <v>987</v>
      </c>
      <c r="E136" s="5" t="s">
        <v>1300</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906</v>
      </c>
      <c r="AN136" s="3" t="s">
        <v>1931</v>
      </c>
      <c r="AO136" s="3" t="s">
        <v>1847</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row>
    <row r="137" spans="1:73" ht="15.75" customHeight="1" x14ac:dyDescent="0.2">
      <c r="A137" s="3">
        <f t="shared" si="1"/>
        <v>10135</v>
      </c>
      <c r="B137" s="3" t="s">
        <v>1427</v>
      </c>
      <c r="C137" s="3" t="s">
        <v>1427</v>
      </c>
      <c r="D137" s="5" t="s">
        <v>1426</v>
      </c>
      <c r="E137" s="5" t="s">
        <v>1431</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906</v>
      </c>
      <c r="AN137" s="3" t="s">
        <v>1931</v>
      </c>
      <c r="AO137" s="3" t="s">
        <v>1847</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row>
    <row r="138" spans="1:73" ht="15.75" customHeight="1" x14ac:dyDescent="0.2">
      <c r="A138" s="3">
        <f t="shared" si="1"/>
        <v>10136</v>
      </c>
      <c r="B138" s="3" t="s">
        <v>1058</v>
      </c>
      <c r="C138" s="3" t="s">
        <v>1058</v>
      </c>
      <c r="D138" s="5" t="s">
        <v>1056</v>
      </c>
      <c r="E138" s="5" t="s">
        <v>1057</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906</v>
      </c>
      <c r="AN138" s="3" t="s">
        <v>1931</v>
      </c>
      <c r="AO138" s="3" t="s">
        <v>1847</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row>
    <row r="139" spans="1:73" s="18" customFormat="1" ht="15.75" customHeight="1" x14ac:dyDescent="0.2">
      <c r="A139" s="16">
        <f t="shared" si="1"/>
        <v>10137</v>
      </c>
      <c r="B139" s="16" t="s">
        <v>1058</v>
      </c>
      <c r="C139" s="16" t="s">
        <v>2606</v>
      </c>
      <c r="D139" s="17" t="s">
        <v>2604</v>
      </c>
      <c r="E139" s="17" t="s">
        <v>2605</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906</v>
      </c>
      <c r="AN139" s="16" t="s">
        <v>1931</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c r="BP139" s="19" t="s">
        <v>50</v>
      </c>
      <c r="BQ139" s="18">
        <v>0</v>
      </c>
      <c r="BR139" s="19" t="s">
        <v>50</v>
      </c>
      <c r="BS139" s="18">
        <v>0</v>
      </c>
      <c r="BT139" s="19" t="s">
        <v>50</v>
      </c>
      <c r="BU139" s="18">
        <v>0</v>
      </c>
    </row>
    <row r="140" spans="1:73" s="18" customFormat="1" ht="15.75" customHeight="1" x14ac:dyDescent="0.2">
      <c r="A140" s="16">
        <f t="shared" si="1"/>
        <v>10138</v>
      </c>
      <c r="B140" s="16" t="s">
        <v>1058</v>
      </c>
      <c r="C140" s="16" t="s">
        <v>2397</v>
      </c>
      <c r="D140" s="17" t="s">
        <v>2395</v>
      </c>
      <c r="E140" s="17" t="s">
        <v>2396</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906</v>
      </c>
      <c r="AN140" s="16" t="s">
        <v>1931</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c r="BP140" s="19" t="s">
        <v>50</v>
      </c>
      <c r="BQ140" s="18">
        <v>0</v>
      </c>
      <c r="BR140" s="19" t="s">
        <v>50</v>
      </c>
      <c r="BS140" s="18">
        <v>0</v>
      </c>
      <c r="BT140" s="19" t="s">
        <v>50</v>
      </c>
      <c r="BU140" s="18">
        <v>0</v>
      </c>
    </row>
    <row r="141" spans="1:73" s="18" customFormat="1" ht="15.75" customHeight="1" x14ac:dyDescent="0.2">
      <c r="A141" s="16">
        <f t="shared" si="1"/>
        <v>10139</v>
      </c>
      <c r="B141" s="16" t="s">
        <v>1058</v>
      </c>
      <c r="C141" s="16" t="s">
        <v>2424</v>
      </c>
      <c r="D141" s="17" t="s">
        <v>2398</v>
      </c>
      <c r="E141" s="17" t="s">
        <v>2399</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906</v>
      </c>
      <c r="AN141" s="16" t="s">
        <v>1931</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c r="BP141" s="19" t="s">
        <v>50</v>
      </c>
      <c r="BQ141" s="18">
        <v>0</v>
      </c>
      <c r="BR141" s="19" t="s">
        <v>50</v>
      </c>
      <c r="BS141" s="18">
        <v>0</v>
      </c>
      <c r="BT141" s="19" t="s">
        <v>50</v>
      </c>
      <c r="BU141" s="18">
        <v>0</v>
      </c>
    </row>
    <row r="142" spans="1:73" ht="15.75" customHeight="1" x14ac:dyDescent="0.2">
      <c r="A142" s="3">
        <f t="shared" si="1"/>
        <v>10140</v>
      </c>
      <c r="B142" s="3" t="s">
        <v>609</v>
      </c>
      <c r="C142" s="3" t="s">
        <v>605</v>
      </c>
      <c r="D142" s="5" t="s">
        <v>606</v>
      </c>
      <c r="E142" s="5" t="s">
        <v>607</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608</v>
      </c>
      <c r="AN142" s="3" t="s">
        <v>1935</v>
      </c>
      <c r="AO142" s="3" t="s">
        <v>1847</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row>
    <row r="143" spans="1:73" ht="15.75" customHeight="1" x14ac:dyDescent="0.2">
      <c r="A143" s="3">
        <f t="shared" si="1"/>
        <v>10141</v>
      </c>
      <c r="B143" s="3" t="s">
        <v>998</v>
      </c>
      <c r="C143" s="3" t="s">
        <v>997</v>
      </c>
      <c r="D143" s="5" t="s">
        <v>995</v>
      </c>
      <c r="E143" s="5" t="s">
        <v>996</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608</v>
      </c>
      <c r="AN143" s="3" t="s">
        <v>1935</v>
      </c>
      <c r="AO143" s="3" t="s">
        <v>1847</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row>
    <row r="144" spans="1:73" ht="15.75" customHeight="1" x14ac:dyDescent="0.2">
      <c r="A144" s="3">
        <f t="shared" si="1"/>
        <v>10142</v>
      </c>
      <c r="B144" s="3" t="s">
        <v>1644</v>
      </c>
      <c r="C144" s="3" t="s">
        <v>1641</v>
      </c>
      <c r="D144" s="5" t="s">
        <v>1642</v>
      </c>
      <c r="E144" s="5" t="s">
        <v>1643</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1935</v>
      </c>
      <c r="AO144" s="3" t="s">
        <v>1847</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row>
    <row r="145" spans="1:73" ht="15.75" customHeight="1" x14ac:dyDescent="0.2">
      <c r="A145" s="3">
        <f t="shared" si="1"/>
        <v>10143</v>
      </c>
      <c r="B145" s="3" t="s">
        <v>698</v>
      </c>
      <c r="C145" s="3" t="s">
        <v>698</v>
      </c>
      <c r="D145" s="5" t="s">
        <v>904</v>
      </c>
      <c r="E145" s="5" t="s">
        <v>888</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859</v>
      </c>
      <c r="AN145" s="3" t="s">
        <v>1936</v>
      </c>
      <c r="AO145" s="3" t="s">
        <v>1847</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row>
    <row r="146" spans="1:73" ht="15.75" customHeight="1" x14ac:dyDescent="0.2">
      <c r="A146" s="3">
        <f t="shared" si="1"/>
        <v>10144</v>
      </c>
      <c r="B146" s="3" t="s">
        <v>1332</v>
      </c>
      <c r="C146" s="3" t="s">
        <v>1332</v>
      </c>
      <c r="D146" s="5" t="s">
        <v>1333</v>
      </c>
      <c r="E146" s="5" t="s">
        <v>1334</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859</v>
      </c>
      <c r="AN146" s="3" t="s">
        <v>1936</v>
      </c>
      <c r="AO146" s="3" t="s">
        <v>1847</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c r="BP146" s="6" t="s">
        <v>50</v>
      </c>
      <c r="BQ146">
        <v>0</v>
      </c>
      <c r="BR146" s="6" t="s">
        <v>50</v>
      </c>
      <c r="BS146">
        <v>0</v>
      </c>
      <c r="BT146" s="6" t="s">
        <v>50</v>
      </c>
      <c r="BU146">
        <v>0</v>
      </c>
    </row>
    <row r="147" spans="1:73" ht="15.75" customHeight="1" x14ac:dyDescent="0.2">
      <c r="A147" s="3">
        <f t="shared" si="1"/>
        <v>10145</v>
      </c>
      <c r="B147" s="3" t="s">
        <v>1337</v>
      </c>
      <c r="C147" s="3" t="s">
        <v>1337</v>
      </c>
      <c r="D147" s="5" t="s">
        <v>1335</v>
      </c>
      <c r="E147" s="5" t="s">
        <v>1336</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1936</v>
      </c>
      <c r="AO147" s="3" t="s">
        <v>1847</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c r="BP147" s="6" t="s">
        <v>50</v>
      </c>
      <c r="BQ147">
        <v>0</v>
      </c>
      <c r="BR147" s="6" t="s">
        <v>50</v>
      </c>
      <c r="BS147">
        <v>0</v>
      </c>
      <c r="BT147" s="6" t="s">
        <v>50</v>
      </c>
      <c r="BU147">
        <v>0</v>
      </c>
    </row>
    <row r="148" spans="1:73" ht="15.75" customHeight="1" x14ac:dyDescent="0.2">
      <c r="A148" s="3">
        <f t="shared" si="1"/>
        <v>10146</v>
      </c>
      <c r="B148" s="3" t="s">
        <v>2422</v>
      </c>
      <c r="C148" s="3" t="s">
        <v>2422</v>
      </c>
      <c r="D148" s="5" t="s">
        <v>2586</v>
      </c>
      <c r="E148" s="5" t="s">
        <v>2423</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1936</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c r="BP148" s="6" t="s">
        <v>50</v>
      </c>
      <c r="BQ148">
        <v>0</v>
      </c>
      <c r="BR148" s="6" t="s">
        <v>50</v>
      </c>
      <c r="BS148">
        <v>0</v>
      </c>
      <c r="BT148" s="6" t="s">
        <v>50</v>
      </c>
      <c r="BU148">
        <v>0</v>
      </c>
    </row>
    <row r="149" spans="1:73" ht="15.75" customHeight="1" x14ac:dyDescent="0.2">
      <c r="A149" s="3">
        <f t="shared" si="1"/>
        <v>10147</v>
      </c>
      <c r="B149" s="3" t="s">
        <v>893</v>
      </c>
      <c r="C149" s="3" t="s">
        <v>893</v>
      </c>
      <c r="D149" s="5" t="s">
        <v>894</v>
      </c>
      <c r="E149" s="5" t="s">
        <v>895</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1936</v>
      </c>
      <c r="AO149" s="3" t="s">
        <v>1847</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row>
    <row r="150" spans="1:73" ht="15.75" customHeight="1" x14ac:dyDescent="0.2">
      <c r="A150" s="3">
        <f t="shared" si="1"/>
        <v>10148</v>
      </c>
      <c r="B150" s="3" t="s">
        <v>896</v>
      </c>
      <c r="C150" s="3" t="s">
        <v>896</v>
      </c>
      <c r="D150" s="5" t="s">
        <v>897</v>
      </c>
      <c r="E150" s="5" t="s">
        <v>898</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1936</v>
      </c>
      <c r="AO150" s="3" t="s">
        <v>1847</v>
      </c>
      <c r="AP150" s="3">
        <v>0</v>
      </c>
      <c r="AQ150" s="3">
        <v>0</v>
      </c>
      <c r="AR150">
        <v>0</v>
      </c>
      <c r="AS150">
        <v>2000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row>
    <row r="151" spans="1:73" ht="15.75" customHeight="1" x14ac:dyDescent="0.2">
      <c r="A151" s="3">
        <f t="shared" si="1"/>
        <v>10149</v>
      </c>
      <c r="B151" s="3" t="s">
        <v>899</v>
      </c>
      <c r="C151" s="3" t="s">
        <v>899</v>
      </c>
      <c r="D151" s="5" t="s">
        <v>900</v>
      </c>
      <c r="E151" s="5" t="s">
        <v>901</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1936</v>
      </c>
      <c r="AO151" s="3" t="s">
        <v>1847</v>
      </c>
      <c r="AP151" s="3">
        <v>0</v>
      </c>
      <c r="AQ151" s="3">
        <v>0</v>
      </c>
      <c r="AR151">
        <v>0</v>
      </c>
      <c r="AS151">
        <v>10000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row>
    <row r="152" spans="1:73" ht="15.75" customHeight="1" x14ac:dyDescent="0.2">
      <c r="A152" s="3">
        <f t="shared" si="1"/>
        <v>10150</v>
      </c>
      <c r="B152" s="3" t="s">
        <v>902</v>
      </c>
      <c r="C152" s="3" t="s">
        <v>902</v>
      </c>
      <c r="D152" s="5" t="s">
        <v>903</v>
      </c>
      <c r="E152" s="5" t="s">
        <v>3631</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1936</v>
      </c>
      <c r="AO152" s="3" t="s">
        <v>1847</v>
      </c>
      <c r="AP152" s="3">
        <v>0</v>
      </c>
      <c r="AQ152" s="3">
        <v>0</v>
      </c>
      <c r="AR152">
        <v>0</v>
      </c>
      <c r="AS152">
        <v>50000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row>
    <row r="153" spans="1:73" ht="15.75" customHeight="1" x14ac:dyDescent="0.2">
      <c r="A153" s="3">
        <f t="shared" si="1"/>
        <v>10151</v>
      </c>
      <c r="B153" s="3" t="s">
        <v>910</v>
      </c>
      <c r="C153" s="3" t="s">
        <v>910</v>
      </c>
      <c r="D153" s="5" t="s">
        <v>909</v>
      </c>
      <c r="E153" s="5" t="s">
        <v>1301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1936</v>
      </c>
      <c r="AO153" s="3" t="s">
        <v>1847</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row>
    <row r="154" spans="1:73" ht="15.75" customHeight="1" x14ac:dyDescent="0.2">
      <c r="A154" s="3">
        <f t="shared" si="1"/>
        <v>10152</v>
      </c>
      <c r="B154" s="3" t="s">
        <v>1024</v>
      </c>
      <c r="C154" s="3" t="s">
        <v>1024</v>
      </c>
      <c r="D154" s="5" t="s">
        <v>1025</v>
      </c>
      <c r="E154" s="5" t="s">
        <v>1806</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1936</v>
      </c>
      <c r="AO154" s="3" t="s">
        <v>1847</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row>
    <row r="155" spans="1:73" ht="15.75" customHeight="1" x14ac:dyDescent="0.2">
      <c r="A155" s="3">
        <f t="shared" si="1"/>
        <v>10153</v>
      </c>
      <c r="B155" s="3" t="s">
        <v>1027</v>
      </c>
      <c r="C155" s="3" t="s">
        <v>1027</v>
      </c>
      <c r="D155" s="5" t="s">
        <v>1026</v>
      </c>
      <c r="E155" s="5" t="s">
        <v>1302</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1936</v>
      </c>
      <c r="AO155" s="3" t="s">
        <v>1847</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row>
    <row r="156" spans="1:73" ht="15.75" customHeight="1" x14ac:dyDescent="0.2">
      <c r="A156" s="3">
        <f t="shared" si="1"/>
        <v>10154</v>
      </c>
      <c r="B156" s="3" t="s">
        <v>1027</v>
      </c>
      <c r="C156" s="3" t="s">
        <v>1052</v>
      </c>
      <c r="D156" s="5" t="s">
        <v>1051</v>
      </c>
      <c r="E156" s="5" t="s">
        <v>1299</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859</v>
      </c>
      <c r="AN156" s="3" t="s">
        <v>1936</v>
      </c>
      <c r="AO156" s="3" t="s">
        <v>1847</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row>
    <row r="157" spans="1:73" ht="15.75" customHeight="1" x14ac:dyDescent="0.2">
      <c r="A157" s="3">
        <f t="shared" si="1"/>
        <v>10155</v>
      </c>
      <c r="B157" s="3" t="s">
        <v>2597</v>
      </c>
      <c r="C157" s="3" t="s">
        <v>2597</v>
      </c>
      <c r="D157" s="5" t="s">
        <v>2595</v>
      </c>
      <c r="E157" s="5" t="s">
        <v>2596</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859</v>
      </c>
      <c r="AN157" s="3" t="s">
        <v>1936</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row>
    <row r="158" spans="1:73" ht="15.75" customHeight="1" x14ac:dyDescent="0.2">
      <c r="A158" s="3">
        <f t="shared" si="1"/>
        <v>10156</v>
      </c>
      <c r="B158" s="3" t="s">
        <v>2600</v>
      </c>
      <c r="C158" s="3" t="s">
        <v>2600</v>
      </c>
      <c r="D158" s="5" t="s">
        <v>2598</v>
      </c>
      <c r="E158" s="5" t="s">
        <v>2599</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859</v>
      </c>
      <c r="AN158" s="3" t="s">
        <v>1936</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row>
    <row r="159" spans="1:73" ht="15.75" customHeight="1" x14ac:dyDescent="0.2">
      <c r="A159" s="3">
        <f t="shared" si="1"/>
        <v>10157</v>
      </c>
      <c r="B159" s="3" t="s">
        <v>3351</v>
      </c>
      <c r="C159" s="3" t="s">
        <v>3351</v>
      </c>
      <c r="D159" s="5" t="s">
        <v>3554</v>
      </c>
      <c r="E159" s="5" t="s">
        <v>3555</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859</v>
      </c>
      <c r="AN159" s="3" t="s">
        <v>1936</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row>
    <row r="160" spans="1:73" ht="15.75" customHeight="1" x14ac:dyDescent="0.2">
      <c r="A160" s="3">
        <f t="shared" si="1"/>
        <v>10158</v>
      </c>
      <c r="B160" s="3" t="s">
        <v>2600</v>
      </c>
      <c r="C160" s="3" t="s">
        <v>3110</v>
      </c>
      <c r="D160" s="5" t="s">
        <v>3108</v>
      </c>
      <c r="E160" s="5" t="s">
        <v>3109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859</v>
      </c>
      <c r="AN160" s="3" t="s">
        <v>1936</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row>
    <row r="161" spans="1:73" s="9" customFormat="1" ht="15.75" customHeight="1" x14ac:dyDescent="0.2">
      <c r="A161" s="7">
        <f t="shared" si="1"/>
        <v>10159</v>
      </c>
      <c r="B161" s="7" t="s">
        <v>2600</v>
      </c>
      <c r="C161" s="7" t="s">
        <v>3427</v>
      </c>
      <c r="D161" s="8" t="s">
        <v>3426</v>
      </c>
      <c r="E161" s="8" t="s">
        <v>3428</v>
      </c>
      <c r="F161" s="7">
        <v>0</v>
      </c>
      <c r="G161" s="7">
        <v>0</v>
      </c>
      <c r="H161" s="7">
        <v>0</v>
      </c>
      <c r="I161" s="7">
        <v>0</v>
      </c>
      <c r="J161" s="7">
        <v>0</v>
      </c>
      <c r="K161" s="7">
        <v>0</v>
      </c>
      <c r="L161" s="7">
        <v>0</v>
      </c>
      <c r="M161" s="7">
        <v>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72</v>
      </c>
      <c r="AM161" s="7" t="s">
        <v>2379</v>
      </c>
      <c r="AN161" s="7" t="s">
        <v>2380</v>
      </c>
      <c r="AO161" s="7" t="s">
        <v>50</v>
      </c>
      <c r="AP161" s="7">
        <v>0</v>
      </c>
      <c r="AQ161" s="7">
        <v>0</v>
      </c>
      <c r="AR161" s="9">
        <v>0</v>
      </c>
      <c r="AS161" s="9">
        <v>200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1</v>
      </c>
      <c r="BJ161" s="9">
        <v>0</v>
      </c>
      <c r="BK161" s="9">
        <v>1</v>
      </c>
      <c r="BL161" s="9">
        <v>0</v>
      </c>
      <c r="BM161" s="9">
        <v>0</v>
      </c>
      <c r="BN161" s="9">
        <v>0</v>
      </c>
      <c r="BO161" s="9">
        <v>0</v>
      </c>
      <c r="BP161" s="10" t="s">
        <v>50</v>
      </c>
      <c r="BQ161" s="9">
        <v>0</v>
      </c>
      <c r="BR161" s="10" t="s">
        <v>50</v>
      </c>
      <c r="BS161" s="9">
        <v>0</v>
      </c>
      <c r="BT161" s="10" t="s">
        <v>50</v>
      </c>
      <c r="BU161" s="9">
        <v>0</v>
      </c>
    </row>
    <row r="162" spans="1:73" ht="15.75" customHeight="1" x14ac:dyDescent="0.2">
      <c r="A162" s="3">
        <f t="shared" si="1"/>
        <v>10160</v>
      </c>
      <c r="B162" s="3" t="s">
        <v>2377</v>
      </c>
      <c r="C162" s="3" t="s">
        <v>2377</v>
      </c>
      <c r="D162" s="5" t="s">
        <v>2376</v>
      </c>
      <c r="E162" s="5" t="s">
        <v>2378</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2379</v>
      </c>
      <c r="AN162" s="3" t="s">
        <v>2380</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c r="BP162" s="6" t="s">
        <v>50</v>
      </c>
      <c r="BQ162">
        <v>0</v>
      </c>
      <c r="BR162" s="6" t="s">
        <v>50</v>
      </c>
      <c r="BS162">
        <v>0</v>
      </c>
      <c r="BT162" s="6" t="s">
        <v>50</v>
      </c>
      <c r="BU162">
        <v>0</v>
      </c>
    </row>
    <row r="163" spans="1:73" ht="15.75" customHeight="1" x14ac:dyDescent="0.2">
      <c r="A163" s="3">
        <f t="shared" si="1"/>
        <v>10161</v>
      </c>
      <c r="B163" s="3" t="s">
        <v>1027</v>
      </c>
      <c r="C163" s="3" t="s">
        <v>1903</v>
      </c>
      <c r="D163" s="5" t="s">
        <v>1904</v>
      </c>
      <c r="E163" s="5" t="s">
        <v>1905</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1906</v>
      </c>
      <c r="AN163" s="3" t="s">
        <v>1937</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c r="BP163" s="6" t="s">
        <v>50</v>
      </c>
      <c r="BQ163">
        <v>0</v>
      </c>
      <c r="BR163" s="6" t="s">
        <v>50</v>
      </c>
      <c r="BS163">
        <v>0</v>
      </c>
      <c r="BT163" s="6" t="s">
        <v>50</v>
      </c>
      <c r="BU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2025-03-12T13:10:48Z</dcterms:modified>
</cp:coreProperties>
</file>